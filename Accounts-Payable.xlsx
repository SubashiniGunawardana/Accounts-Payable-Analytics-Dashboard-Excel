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E:\Upskilling\Excel\Portfolio\"/>
    </mc:Choice>
  </mc:AlternateContent>
  <xr:revisionPtr revIDLastSave="0" documentId="13_ncr:1_{EA2E4092-DD29-4AE8-9247-F593FEC625AD}" xr6:coauthVersionLast="47" xr6:coauthVersionMax="47" xr10:uidLastSave="{00000000-0000-0000-0000-000000000000}"/>
  <bookViews>
    <workbookView xWindow="-110" yWindow="-110" windowWidth="19420" windowHeight="10300" xr2:uid="{00000000-000D-0000-FFFF-FFFF00000000}"/>
  </bookViews>
  <sheets>
    <sheet name="Financial Overview" sheetId="10" r:id="rId1"/>
    <sheet name="Payment Performance" sheetId="11" r:id="rId2"/>
    <sheet name="Pivot Tables" sheetId="7" r:id="rId3"/>
    <sheet name="Analysis" sheetId="3" r:id="rId4"/>
    <sheet name="Raw Data" sheetId="1" r:id="rId5"/>
    <sheet name="Raw Data bck" sheetId="2" r:id="rId6"/>
  </sheets>
  <definedNames>
    <definedName name="_xlnm._FilterDatabase" localSheetId="3" hidden="1">Analysis!$A$1:$R$801</definedName>
    <definedName name="_xlnm._FilterDatabase" localSheetId="4" hidden="1">'Raw Data'!$A$1:$L$801</definedName>
    <definedName name="_xlnm._FilterDatabase" localSheetId="5" hidden="1">'Raw Data bck'!$A$1:$I$1</definedName>
    <definedName name="Slicer_Status">#N/A</definedName>
    <definedName name="Slicer_Vendor">#N/A</definedName>
    <definedName name="Slicer_Years">#N/A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2" i="11" l="1"/>
  <c r="P2" i="3"/>
  <c r="Q2" i="3"/>
  <c r="L2" i="3"/>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2" i="3"/>
  <c r="V3" i="10" s="1"/>
  <c r="M2" i="3"/>
  <c r="V9" i="11"/>
  <c r="V9" i="10"/>
  <c r="L9" i="3"/>
  <c r="L3" i="3"/>
  <c r="L4" i="3"/>
  <c r="L5" i="3"/>
  <c r="L6" i="3"/>
  <c r="L7" i="3"/>
  <c r="L8"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V2" i="10"/>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Q9" i="3"/>
  <c r="Q10" i="3"/>
  <c r="Q15" i="3"/>
  <c r="Q17" i="3"/>
  <c r="Q20" i="3"/>
  <c r="Q28" i="3"/>
  <c r="Q29" i="3"/>
  <c r="Q33" i="3"/>
  <c r="Q34" i="3"/>
  <c r="Q36" i="3"/>
  <c r="Q44" i="3"/>
  <c r="Q48" i="3"/>
  <c r="Q50" i="3"/>
  <c r="Q51" i="3"/>
  <c r="Q53" i="3"/>
  <c r="Q54" i="3"/>
  <c r="Q58" i="3"/>
  <c r="Q62" i="3"/>
  <c r="Q64" i="3"/>
  <c r="Q65" i="3"/>
  <c r="Q68" i="3"/>
  <c r="Q69" i="3"/>
  <c r="Q72" i="3"/>
  <c r="Q74" i="3"/>
  <c r="Q76" i="3"/>
  <c r="Q79" i="3"/>
  <c r="Q80" i="3"/>
  <c r="Q81" i="3"/>
  <c r="Q88" i="3"/>
  <c r="Q89" i="3"/>
  <c r="Q96" i="3"/>
  <c r="Q98" i="3"/>
  <c r="Q100" i="3"/>
  <c r="Q106" i="3"/>
  <c r="Q109" i="3"/>
  <c r="Q110" i="3"/>
  <c r="Q113" i="3"/>
  <c r="Q122" i="3"/>
  <c r="Q133" i="3"/>
  <c r="Q137" i="3"/>
  <c r="Q138" i="3"/>
  <c r="Q139" i="3"/>
  <c r="Q140" i="3"/>
  <c r="Q147" i="3"/>
  <c r="Q151" i="3"/>
  <c r="Q153" i="3"/>
  <c r="Q155" i="3"/>
  <c r="Q161" i="3"/>
  <c r="Q167" i="3"/>
  <c r="Q170" i="3"/>
  <c r="Q172" i="3"/>
  <c r="Q177" i="3"/>
  <c r="Q178" i="3"/>
  <c r="Q180" i="3"/>
  <c r="Q183" i="3"/>
  <c r="Q184" i="3"/>
  <c r="Q188" i="3"/>
  <c r="Q191" i="3"/>
  <c r="Q193" i="3"/>
  <c r="Q199" i="3"/>
  <c r="Q201" i="3"/>
  <c r="Q203" i="3"/>
  <c r="Q204" i="3"/>
  <c r="Q207" i="3"/>
  <c r="Q208" i="3"/>
  <c r="Q209" i="3"/>
  <c r="Q210" i="3"/>
  <c r="Q214" i="3"/>
  <c r="Q218" i="3"/>
  <c r="Q228" i="3"/>
  <c r="Q230" i="3"/>
  <c r="Q233" i="3"/>
  <c r="Q237" i="3"/>
  <c r="Q239" i="3"/>
  <c r="Q243" i="3"/>
  <c r="Q248" i="3"/>
  <c r="Q250" i="3"/>
  <c r="Q253" i="3"/>
  <c r="Q254" i="3"/>
  <c r="Q257" i="3"/>
  <c r="Q262" i="3"/>
  <c r="Q263" i="3"/>
  <c r="Q264" i="3"/>
  <c r="Q272" i="3"/>
  <c r="Q275" i="3"/>
  <c r="Q277" i="3"/>
  <c r="Q281" i="3"/>
  <c r="Q288" i="3"/>
  <c r="Q290" i="3"/>
  <c r="Q292" i="3"/>
  <c r="Q294" i="3"/>
  <c r="Q296" i="3"/>
  <c r="Q298" i="3"/>
  <c r="Q303" i="3"/>
  <c r="Q304" i="3"/>
  <c r="Q308" i="3"/>
  <c r="Q313" i="3"/>
  <c r="Q315" i="3"/>
  <c r="Q316" i="3"/>
  <c r="Q320" i="3"/>
  <c r="Q323" i="3"/>
  <c r="Q327" i="3"/>
  <c r="Q329" i="3"/>
  <c r="Q333" i="3"/>
  <c r="Q334" i="3"/>
  <c r="Q337" i="3"/>
  <c r="Q340" i="3"/>
  <c r="Q342" i="3"/>
  <c r="Q345" i="3"/>
  <c r="Q349" i="3"/>
  <c r="Q351" i="3"/>
  <c r="Q353" i="3"/>
  <c r="Q354" i="3"/>
  <c r="Q355" i="3"/>
  <c r="Q359" i="3"/>
  <c r="Q362" i="3"/>
  <c r="Q363" i="3"/>
  <c r="Q364" i="3"/>
  <c r="Q365" i="3"/>
  <c r="Q372" i="3"/>
  <c r="Q374" i="3"/>
  <c r="Q376" i="3"/>
  <c r="Q378" i="3"/>
  <c r="Q381" i="3"/>
  <c r="Q383" i="3"/>
  <c r="Q385" i="3"/>
  <c r="Q387" i="3"/>
  <c r="Q393" i="3"/>
  <c r="Q398" i="3"/>
  <c r="Q400" i="3"/>
  <c r="Q401" i="3"/>
  <c r="Q402" i="3"/>
  <c r="Q403" i="3"/>
  <c r="Q407" i="3"/>
  <c r="Q412" i="3"/>
  <c r="Q416" i="3"/>
  <c r="Q421" i="3"/>
  <c r="Q427" i="3"/>
  <c r="Q434" i="3"/>
  <c r="Q437" i="3"/>
  <c r="Q439" i="3"/>
  <c r="Q441" i="3"/>
  <c r="Q442" i="3"/>
  <c r="Q443" i="3"/>
  <c r="Q445" i="3"/>
  <c r="Q448" i="3"/>
  <c r="Q451" i="3"/>
  <c r="Q453" i="3"/>
  <c r="Q454" i="3"/>
  <c r="Q455" i="3"/>
  <c r="Q458" i="3"/>
  <c r="Q460" i="3"/>
  <c r="Q467" i="3"/>
  <c r="Q473" i="3"/>
  <c r="Q476" i="3"/>
  <c r="Q477" i="3"/>
  <c r="Q479" i="3"/>
  <c r="Q484" i="3"/>
  <c r="Q485" i="3"/>
  <c r="Q486" i="3"/>
  <c r="Q492" i="3"/>
  <c r="Q497" i="3"/>
  <c r="Q504" i="3"/>
  <c r="Q508" i="3"/>
  <c r="Q509" i="3"/>
  <c r="Q524" i="3"/>
  <c r="Q526" i="3"/>
  <c r="Q532" i="3"/>
  <c r="Q533" i="3"/>
  <c r="Q536" i="3"/>
  <c r="Q540" i="3"/>
  <c r="Q541" i="3"/>
  <c r="Q544" i="3"/>
  <c r="Q545" i="3"/>
  <c r="Q551" i="3"/>
  <c r="Q554" i="3"/>
  <c r="Q557" i="3"/>
  <c r="Q559" i="3"/>
  <c r="Q561" i="3"/>
  <c r="Q563" i="3"/>
  <c r="Q565" i="3"/>
  <c r="Q568" i="3"/>
  <c r="Q572" i="3"/>
  <c r="Q575" i="3"/>
  <c r="Q578" i="3"/>
  <c r="Q579" i="3"/>
  <c r="Q582" i="3"/>
  <c r="Q583" i="3"/>
  <c r="Q586" i="3"/>
  <c r="Q589" i="3"/>
  <c r="Q590" i="3"/>
  <c r="Q591" i="3"/>
  <c r="Q592" i="3"/>
  <c r="Q593" i="3"/>
  <c r="Q594" i="3"/>
  <c r="Q595" i="3"/>
  <c r="Q600" i="3"/>
  <c r="Q601" i="3"/>
  <c r="Q603" i="3"/>
  <c r="Q612" i="3"/>
  <c r="Q618" i="3"/>
  <c r="Q624" i="3"/>
  <c r="Q627" i="3"/>
  <c r="Q639" i="3"/>
  <c r="Q642" i="3"/>
  <c r="Q643" i="3"/>
  <c r="Q646" i="3"/>
  <c r="Q649" i="3"/>
  <c r="Q653" i="3"/>
  <c r="Q655" i="3"/>
  <c r="Q662" i="3"/>
  <c r="Q669" i="3"/>
  <c r="Q672" i="3"/>
  <c r="Q673" i="3"/>
  <c r="Q675" i="3"/>
  <c r="Q689" i="3"/>
  <c r="Q694" i="3"/>
  <c r="Q696" i="3"/>
  <c r="Q698" i="3"/>
  <c r="Q699" i="3"/>
  <c r="Q705" i="3"/>
  <c r="Q710" i="3"/>
  <c r="Q711" i="3"/>
  <c r="Q713" i="3"/>
  <c r="Q715" i="3"/>
  <c r="Q719" i="3"/>
  <c r="Q720" i="3"/>
  <c r="Q721" i="3"/>
  <c r="Q727" i="3"/>
  <c r="Q730" i="3"/>
  <c r="Q739" i="3"/>
  <c r="Q740" i="3"/>
  <c r="Q741" i="3"/>
  <c r="Q742" i="3"/>
  <c r="Q743" i="3"/>
  <c r="Q744" i="3"/>
  <c r="Q746" i="3"/>
  <c r="Q752" i="3"/>
  <c r="Q754" i="3"/>
  <c r="Q756" i="3"/>
  <c r="Q757" i="3"/>
  <c r="Q760" i="3"/>
  <c r="Q762" i="3"/>
  <c r="Q763" i="3"/>
  <c r="Q765" i="3"/>
  <c r="Q766" i="3"/>
  <c r="Q767" i="3"/>
  <c r="Q768" i="3"/>
  <c r="Q781" i="3"/>
  <c r="Q783" i="3"/>
  <c r="Q785" i="3"/>
  <c r="Q786" i="3"/>
  <c r="Q787" i="3"/>
  <c r="Q789" i="3"/>
  <c r="Q793" i="3"/>
  <c r="Q795" i="3"/>
  <c r="Q797" i="3"/>
  <c r="P9" i="3"/>
  <c r="P10" i="3"/>
  <c r="R10" i="3" s="1"/>
  <c r="P15" i="3"/>
  <c r="P17" i="3"/>
  <c r="P20" i="3"/>
  <c r="R20" i="3" s="1"/>
  <c r="P28" i="3"/>
  <c r="P29" i="3"/>
  <c r="P33" i="3"/>
  <c r="P34" i="3"/>
  <c r="R34" i="3" s="1"/>
  <c r="P36" i="3"/>
  <c r="P44" i="3"/>
  <c r="P48" i="3"/>
  <c r="P50" i="3"/>
  <c r="R50" i="3" s="1"/>
  <c r="P51" i="3"/>
  <c r="P53" i="3"/>
  <c r="P54" i="3"/>
  <c r="P58" i="3"/>
  <c r="R58" i="3" s="1"/>
  <c r="P62" i="3"/>
  <c r="P64" i="3"/>
  <c r="P65" i="3"/>
  <c r="P68" i="3"/>
  <c r="R68" i="3" s="1"/>
  <c r="P69" i="3"/>
  <c r="P72" i="3"/>
  <c r="P74" i="3"/>
  <c r="R74" i="3" s="1"/>
  <c r="P76" i="3"/>
  <c r="P79" i="3"/>
  <c r="P80" i="3"/>
  <c r="P81" i="3"/>
  <c r="P88" i="3"/>
  <c r="R88" i="3" s="1"/>
  <c r="P89" i="3"/>
  <c r="P96" i="3"/>
  <c r="P98" i="3"/>
  <c r="P100" i="3"/>
  <c r="P106" i="3"/>
  <c r="R106" i="3" s="1"/>
  <c r="P109" i="3"/>
  <c r="P110" i="3"/>
  <c r="P113" i="3"/>
  <c r="R113" i="3" s="1"/>
  <c r="P122" i="3"/>
  <c r="R122" i="3" s="1"/>
  <c r="P133" i="3"/>
  <c r="P137" i="3"/>
  <c r="P138" i="3"/>
  <c r="R138" i="3" s="1"/>
  <c r="P139" i="3"/>
  <c r="P140" i="3"/>
  <c r="P147" i="3"/>
  <c r="P151" i="3"/>
  <c r="R151" i="3" s="1"/>
  <c r="P153" i="3"/>
  <c r="P155" i="3"/>
  <c r="P161" i="3"/>
  <c r="P167" i="3"/>
  <c r="P170" i="3"/>
  <c r="P172" i="3"/>
  <c r="P177" i="3"/>
  <c r="P178" i="3"/>
  <c r="R178" i="3" s="1"/>
  <c r="P180" i="3"/>
  <c r="P183" i="3"/>
  <c r="P184" i="3"/>
  <c r="P188" i="3"/>
  <c r="P191" i="3"/>
  <c r="P193" i="3"/>
  <c r="P199" i="3"/>
  <c r="P201" i="3"/>
  <c r="R201" i="3" s="1"/>
  <c r="P203" i="3"/>
  <c r="P204" i="3"/>
  <c r="P207" i="3"/>
  <c r="P208" i="3"/>
  <c r="P209" i="3"/>
  <c r="P210" i="3"/>
  <c r="R210" i="3" s="1"/>
  <c r="P214" i="3"/>
  <c r="P218" i="3"/>
  <c r="R218" i="3" s="1"/>
  <c r="P228" i="3"/>
  <c r="P230" i="3"/>
  <c r="P233" i="3"/>
  <c r="P237" i="3"/>
  <c r="P239" i="3"/>
  <c r="P243" i="3"/>
  <c r="P248" i="3"/>
  <c r="P250" i="3"/>
  <c r="R250" i="3" s="1"/>
  <c r="P253" i="3"/>
  <c r="P254" i="3"/>
  <c r="P257" i="3"/>
  <c r="P262" i="3"/>
  <c r="P263" i="3"/>
  <c r="P264" i="3"/>
  <c r="P272" i="3"/>
  <c r="P275" i="3"/>
  <c r="R275" i="3" s="1"/>
  <c r="P277" i="3"/>
  <c r="P281" i="3"/>
  <c r="P288" i="3"/>
  <c r="P290" i="3"/>
  <c r="P292" i="3"/>
  <c r="P294" i="3"/>
  <c r="P296" i="3"/>
  <c r="P298" i="3"/>
  <c r="R298" i="3" s="1"/>
  <c r="P303" i="3"/>
  <c r="P304" i="3"/>
  <c r="P308" i="3"/>
  <c r="P313" i="3"/>
  <c r="P315" i="3"/>
  <c r="P316" i="3"/>
  <c r="P320" i="3"/>
  <c r="P323" i="3"/>
  <c r="R323" i="3" s="1"/>
  <c r="P327" i="3"/>
  <c r="P329" i="3"/>
  <c r="P333" i="3"/>
  <c r="P334" i="3"/>
  <c r="P337" i="3"/>
  <c r="P340" i="3"/>
  <c r="P342" i="3"/>
  <c r="P345" i="3"/>
  <c r="R345" i="3" s="1"/>
  <c r="P349" i="3"/>
  <c r="P351" i="3"/>
  <c r="P353" i="3"/>
  <c r="P354" i="3"/>
  <c r="R354" i="3" s="1"/>
  <c r="P355" i="3"/>
  <c r="P359" i="3"/>
  <c r="P362" i="3"/>
  <c r="R362" i="3" s="1"/>
  <c r="P363" i="3"/>
  <c r="R363" i="3" s="1"/>
  <c r="P364" i="3"/>
  <c r="P365" i="3"/>
  <c r="P372" i="3"/>
  <c r="P374" i="3"/>
  <c r="P376" i="3"/>
  <c r="P378" i="3"/>
  <c r="R378" i="3" s="1"/>
  <c r="P381" i="3"/>
  <c r="P383" i="3"/>
  <c r="R383" i="3" s="1"/>
  <c r="P385" i="3"/>
  <c r="P387" i="3"/>
  <c r="P393" i="3"/>
  <c r="P398" i="3"/>
  <c r="P400" i="3"/>
  <c r="P401" i="3"/>
  <c r="P402" i="3"/>
  <c r="R402" i="3" s="1"/>
  <c r="P403" i="3"/>
  <c r="R403" i="3" s="1"/>
  <c r="P407" i="3"/>
  <c r="P412" i="3"/>
  <c r="P416" i="3"/>
  <c r="P421" i="3"/>
  <c r="P427" i="3"/>
  <c r="P434" i="3"/>
  <c r="R434" i="3" s="1"/>
  <c r="P437" i="3"/>
  <c r="P439" i="3"/>
  <c r="R439" i="3" s="1"/>
  <c r="P441" i="3"/>
  <c r="P442" i="3"/>
  <c r="R442" i="3" s="1"/>
  <c r="P443" i="3"/>
  <c r="P445" i="3"/>
  <c r="P448" i="3"/>
  <c r="P451" i="3"/>
  <c r="P453" i="3"/>
  <c r="P454" i="3"/>
  <c r="R454" i="3" s="1"/>
  <c r="P455" i="3"/>
  <c r="P458" i="3"/>
  <c r="P460" i="3"/>
  <c r="P467" i="3"/>
  <c r="P473" i="3"/>
  <c r="P476" i="3"/>
  <c r="P477" i="3"/>
  <c r="P479" i="3"/>
  <c r="R479" i="3" s="1"/>
  <c r="P484" i="3"/>
  <c r="P485" i="3"/>
  <c r="P486" i="3"/>
  <c r="P492" i="3"/>
  <c r="P497" i="3"/>
  <c r="P504" i="3"/>
  <c r="P508" i="3"/>
  <c r="P509" i="3"/>
  <c r="R509" i="3" s="1"/>
  <c r="P524" i="3"/>
  <c r="P526" i="3"/>
  <c r="P532" i="3"/>
  <c r="P533" i="3"/>
  <c r="P536" i="3"/>
  <c r="P540" i="3"/>
  <c r="P541" i="3"/>
  <c r="P544" i="3"/>
  <c r="R544" i="3" s="1"/>
  <c r="P545" i="3"/>
  <c r="P551" i="3"/>
  <c r="P554" i="3"/>
  <c r="R554" i="3" s="1"/>
  <c r="P557" i="3"/>
  <c r="P559" i="3"/>
  <c r="P561" i="3"/>
  <c r="P563" i="3"/>
  <c r="P565" i="3"/>
  <c r="R565" i="3" s="1"/>
  <c r="P568" i="3"/>
  <c r="P572" i="3"/>
  <c r="P575" i="3"/>
  <c r="P578" i="3"/>
  <c r="R578" i="3" s="1"/>
  <c r="P579" i="3"/>
  <c r="P582" i="3"/>
  <c r="P583" i="3"/>
  <c r="P586" i="3"/>
  <c r="R586" i="3" s="1"/>
  <c r="P589" i="3"/>
  <c r="P590" i="3"/>
  <c r="P591" i="3"/>
  <c r="P592" i="3"/>
  <c r="P593" i="3"/>
  <c r="P594" i="3"/>
  <c r="R594" i="3" s="1"/>
  <c r="P595" i="3"/>
  <c r="P600" i="3"/>
  <c r="R600" i="3" s="1"/>
  <c r="P601" i="3"/>
  <c r="P603" i="3"/>
  <c r="P612" i="3"/>
  <c r="P618" i="3"/>
  <c r="R618" i="3" s="1"/>
  <c r="P624" i="3"/>
  <c r="P627" i="3"/>
  <c r="P639" i="3"/>
  <c r="P642" i="3"/>
  <c r="R642" i="3" s="1"/>
  <c r="P643" i="3"/>
  <c r="P646" i="3"/>
  <c r="P649" i="3"/>
  <c r="P653" i="3"/>
  <c r="P655" i="3"/>
  <c r="P662" i="3"/>
  <c r="P669" i="3"/>
  <c r="P672" i="3"/>
  <c r="R672" i="3" s="1"/>
  <c r="P673" i="3"/>
  <c r="P675" i="3"/>
  <c r="P689" i="3"/>
  <c r="P694" i="3"/>
  <c r="P696" i="3"/>
  <c r="P698" i="3"/>
  <c r="R698" i="3" s="1"/>
  <c r="P699" i="3"/>
  <c r="P705" i="3"/>
  <c r="R705" i="3" s="1"/>
  <c r="P710" i="3"/>
  <c r="P711" i="3"/>
  <c r="P713" i="3"/>
  <c r="P715" i="3"/>
  <c r="P719" i="3"/>
  <c r="P720" i="3"/>
  <c r="P721" i="3"/>
  <c r="P727" i="3"/>
  <c r="R727" i="3" s="1"/>
  <c r="P730" i="3"/>
  <c r="R730" i="3" s="1"/>
  <c r="P739" i="3"/>
  <c r="P740" i="3"/>
  <c r="P741" i="3"/>
  <c r="P742" i="3"/>
  <c r="P743" i="3"/>
  <c r="P744" i="3"/>
  <c r="P746" i="3"/>
  <c r="R746" i="3" s="1"/>
  <c r="P752" i="3"/>
  <c r="P754" i="3"/>
  <c r="P756" i="3"/>
  <c r="P757" i="3"/>
  <c r="P760" i="3"/>
  <c r="P762" i="3"/>
  <c r="R762" i="3" s="1"/>
  <c r="P763" i="3"/>
  <c r="P765" i="3"/>
  <c r="R765" i="3" s="1"/>
  <c r="P766" i="3"/>
  <c r="P767" i="3"/>
  <c r="P768" i="3"/>
  <c r="P781" i="3"/>
  <c r="P783" i="3"/>
  <c r="P785" i="3"/>
  <c r="P786" i="3"/>
  <c r="R786" i="3" s="1"/>
  <c r="P787" i="3"/>
  <c r="R787" i="3" s="1"/>
  <c r="P789" i="3"/>
  <c r="P793" i="3"/>
  <c r="P795" i="3"/>
  <c r="P797" i="3"/>
  <c r="O3" i="3"/>
  <c r="P3" i="3" s="1"/>
  <c r="Q3" i="3" s="1"/>
  <c r="O4" i="3"/>
  <c r="P4" i="3" s="1"/>
  <c r="Q4" i="3" s="1"/>
  <c r="O5" i="3"/>
  <c r="P5" i="3" s="1"/>
  <c r="Q5" i="3" s="1"/>
  <c r="O6" i="3"/>
  <c r="P6" i="3" s="1"/>
  <c r="Q6" i="3" s="1"/>
  <c r="O7" i="3"/>
  <c r="P7" i="3" s="1"/>
  <c r="Q7" i="3" s="1"/>
  <c r="O8" i="3"/>
  <c r="P8" i="3" s="1"/>
  <c r="Q8" i="3" s="1"/>
  <c r="O9" i="3"/>
  <c r="O10" i="3"/>
  <c r="O11" i="3"/>
  <c r="P11" i="3" s="1"/>
  <c r="Q11" i="3" s="1"/>
  <c r="O12" i="3"/>
  <c r="P12" i="3" s="1"/>
  <c r="Q12" i="3" s="1"/>
  <c r="O13" i="3"/>
  <c r="P13" i="3" s="1"/>
  <c r="Q13" i="3" s="1"/>
  <c r="O14" i="3"/>
  <c r="P14" i="3" s="1"/>
  <c r="Q14" i="3" s="1"/>
  <c r="O15" i="3"/>
  <c r="O16" i="3"/>
  <c r="P16" i="3" s="1"/>
  <c r="Q16" i="3" s="1"/>
  <c r="O17" i="3"/>
  <c r="O18" i="3"/>
  <c r="P18" i="3" s="1"/>
  <c r="Q18" i="3" s="1"/>
  <c r="O19" i="3"/>
  <c r="P19" i="3" s="1"/>
  <c r="Q19" i="3" s="1"/>
  <c r="O20" i="3"/>
  <c r="O21" i="3"/>
  <c r="P21" i="3" s="1"/>
  <c r="Q21" i="3" s="1"/>
  <c r="O22" i="3"/>
  <c r="P22" i="3" s="1"/>
  <c r="Q22" i="3" s="1"/>
  <c r="O23" i="3"/>
  <c r="P23" i="3" s="1"/>
  <c r="Q23" i="3" s="1"/>
  <c r="O24" i="3"/>
  <c r="P24" i="3" s="1"/>
  <c r="Q24" i="3" s="1"/>
  <c r="O25" i="3"/>
  <c r="P25" i="3" s="1"/>
  <c r="Q25" i="3" s="1"/>
  <c r="O26" i="3"/>
  <c r="P26" i="3" s="1"/>
  <c r="Q26" i="3" s="1"/>
  <c r="O27" i="3"/>
  <c r="P27" i="3" s="1"/>
  <c r="Q27" i="3" s="1"/>
  <c r="O28" i="3"/>
  <c r="O29" i="3"/>
  <c r="O30" i="3"/>
  <c r="P30" i="3" s="1"/>
  <c r="Q30" i="3" s="1"/>
  <c r="O31" i="3"/>
  <c r="P31" i="3" s="1"/>
  <c r="Q31" i="3" s="1"/>
  <c r="O32" i="3"/>
  <c r="P32" i="3" s="1"/>
  <c r="Q32" i="3" s="1"/>
  <c r="O33" i="3"/>
  <c r="O34" i="3"/>
  <c r="O35" i="3"/>
  <c r="P35" i="3" s="1"/>
  <c r="Q35" i="3" s="1"/>
  <c r="O36" i="3"/>
  <c r="O37" i="3"/>
  <c r="P37" i="3" s="1"/>
  <c r="Q37" i="3" s="1"/>
  <c r="O38" i="3"/>
  <c r="P38" i="3" s="1"/>
  <c r="Q38" i="3" s="1"/>
  <c r="O39" i="3"/>
  <c r="P39" i="3" s="1"/>
  <c r="Q39" i="3" s="1"/>
  <c r="O40" i="3"/>
  <c r="P40" i="3" s="1"/>
  <c r="Q40" i="3" s="1"/>
  <c r="O41" i="3"/>
  <c r="P41" i="3" s="1"/>
  <c r="Q41" i="3" s="1"/>
  <c r="O42" i="3"/>
  <c r="P42" i="3" s="1"/>
  <c r="Q42" i="3" s="1"/>
  <c r="O43" i="3"/>
  <c r="P43" i="3" s="1"/>
  <c r="Q43" i="3" s="1"/>
  <c r="O44" i="3"/>
  <c r="O45" i="3"/>
  <c r="P45" i="3" s="1"/>
  <c r="Q45" i="3" s="1"/>
  <c r="O46" i="3"/>
  <c r="P46" i="3" s="1"/>
  <c r="Q46" i="3" s="1"/>
  <c r="O47" i="3"/>
  <c r="P47" i="3" s="1"/>
  <c r="Q47" i="3" s="1"/>
  <c r="O48" i="3"/>
  <c r="O49" i="3"/>
  <c r="P49" i="3" s="1"/>
  <c r="Q49" i="3" s="1"/>
  <c r="O50" i="3"/>
  <c r="O51" i="3"/>
  <c r="O52" i="3"/>
  <c r="P52" i="3" s="1"/>
  <c r="Q52" i="3" s="1"/>
  <c r="O53" i="3"/>
  <c r="O54" i="3"/>
  <c r="O55" i="3"/>
  <c r="P55" i="3" s="1"/>
  <c r="Q55" i="3" s="1"/>
  <c r="O56" i="3"/>
  <c r="P56" i="3" s="1"/>
  <c r="Q56" i="3" s="1"/>
  <c r="O57" i="3"/>
  <c r="P57" i="3" s="1"/>
  <c r="Q57" i="3" s="1"/>
  <c r="O58" i="3"/>
  <c r="O59" i="3"/>
  <c r="P59" i="3" s="1"/>
  <c r="Q59" i="3" s="1"/>
  <c r="O60" i="3"/>
  <c r="P60" i="3" s="1"/>
  <c r="Q60" i="3" s="1"/>
  <c r="O61" i="3"/>
  <c r="P61" i="3" s="1"/>
  <c r="Q61" i="3" s="1"/>
  <c r="O62" i="3"/>
  <c r="O63" i="3"/>
  <c r="P63" i="3" s="1"/>
  <c r="Q63" i="3" s="1"/>
  <c r="O64" i="3"/>
  <c r="O65" i="3"/>
  <c r="O66" i="3"/>
  <c r="P66" i="3" s="1"/>
  <c r="Q66" i="3" s="1"/>
  <c r="O67" i="3"/>
  <c r="P67" i="3" s="1"/>
  <c r="Q67" i="3" s="1"/>
  <c r="O68" i="3"/>
  <c r="O69" i="3"/>
  <c r="O70" i="3"/>
  <c r="P70" i="3" s="1"/>
  <c r="Q70" i="3" s="1"/>
  <c r="O71" i="3"/>
  <c r="P71" i="3" s="1"/>
  <c r="Q71" i="3" s="1"/>
  <c r="O72" i="3"/>
  <c r="O73" i="3"/>
  <c r="P73" i="3" s="1"/>
  <c r="Q73" i="3" s="1"/>
  <c r="O74" i="3"/>
  <c r="O75" i="3"/>
  <c r="P75" i="3" s="1"/>
  <c r="Q75" i="3" s="1"/>
  <c r="O76" i="3"/>
  <c r="O77" i="3"/>
  <c r="P77" i="3" s="1"/>
  <c r="Q77" i="3" s="1"/>
  <c r="O78" i="3"/>
  <c r="P78" i="3" s="1"/>
  <c r="Q78" i="3" s="1"/>
  <c r="O79" i="3"/>
  <c r="O80" i="3"/>
  <c r="O81" i="3"/>
  <c r="O82" i="3"/>
  <c r="P82" i="3" s="1"/>
  <c r="Q82" i="3" s="1"/>
  <c r="O83" i="3"/>
  <c r="P83" i="3" s="1"/>
  <c r="Q83" i="3" s="1"/>
  <c r="O84" i="3"/>
  <c r="P84" i="3" s="1"/>
  <c r="Q84" i="3" s="1"/>
  <c r="O85" i="3"/>
  <c r="P85" i="3" s="1"/>
  <c r="Q85" i="3" s="1"/>
  <c r="O86" i="3"/>
  <c r="P86" i="3" s="1"/>
  <c r="Q86" i="3" s="1"/>
  <c r="O87" i="3"/>
  <c r="P87" i="3" s="1"/>
  <c r="Q87" i="3" s="1"/>
  <c r="O88" i="3"/>
  <c r="O89" i="3"/>
  <c r="O90" i="3"/>
  <c r="P90" i="3" s="1"/>
  <c r="Q90" i="3" s="1"/>
  <c r="O91" i="3"/>
  <c r="P91" i="3" s="1"/>
  <c r="Q91" i="3" s="1"/>
  <c r="O92" i="3"/>
  <c r="P92" i="3" s="1"/>
  <c r="Q92" i="3" s="1"/>
  <c r="O93" i="3"/>
  <c r="P93" i="3" s="1"/>
  <c r="Q93" i="3" s="1"/>
  <c r="O94" i="3"/>
  <c r="P94" i="3" s="1"/>
  <c r="Q94" i="3" s="1"/>
  <c r="O95" i="3"/>
  <c r="P95" i="3" s="1"/>
  <c r="Q95" i="3" s="1"/>
  <c r="O96" i="3"/>
  <c r="O97" i="3"/>
  <c r="P97" i="3" s="1"/>
  <c r="Q97" i="3" s="1"/>
  <c r="O98" i="3"/>
  <c r="O99" i="3"/>
  <c r="P99" i="3" s="1"/>
  <c r="Q99" i="3" s="1"/>
  <c r="O100" i="3"/>
  <c r="O101" i="3"/>
  <c r="P101" i="3" s="1"/>
  <c r="Q101" i="3" s="1"/>
  <c r="O102" i="3"/>
  <c r="P102" i="3" s="1"/>
  <c r="Q102" i="3" s="1"/>
  <c r="O103" i="3"/>
  <c r="P103" i="3" s="1"/>
  <c r="Q103" i="3" s="1"/>
  <c r="O104" i="3"/>
  <c r="P104" i="3" s="1"/>
  <c r="Q104" i="3" s="1"/>
  <c r="O105" i="3"/>
  <c r="P105" i="3" s="1"/>
  <c r="Q105" i="3" s="1"/>
  <c r="O106" i="3"/>
  <c r="O107" i="3"/>
  <c r="P107" i="3" s="1"/>
  <c r="Q107" i="3" s="1"/>
  <c r="O108" i="3"/>
  <c r="P108" i="3" s="1"/>
  <c r="Q108" i="3" s="1"/>
  <c r="O109" i="3"/>
  <c r="O110" i="3"/>
  <c r="O111" i="3"/>
  <c r="P111" i="3" s="1"/>
  <c r="Q111" i="3" s="1"/>
  <c r="O112" i="3"/>
  <c r="P112" i="3" s="1"/>
  <c r="Q112" i="3" s="1"/>
  <c r="O113" i="3"/>
  <c r="O114" i="3"/>
  <c r="P114" i="3" s="1"/>
  <c r="Q114" i="3" s="1"/>
  <c r="O115" i="3"/>
  <c r="P115" i="3" s="1"/>
  <c r="Q115" i="3" s="1"/>
  <c r="O116" i="3"/>
  <c r="P116" i="3" s="1"/>
  <c r="Q116" i="3" s="1"/>
  <c r="O117" i="3"/>
  <c r="P117" i="3" s="1"/>
  <c r="Q117" i="3" s="1"/>
  <c r="O118" i="3"/>
  <c r="P118" i="3" s="1"/>
  <c r="Q118" i="3" s="1"/>
  <c r="O119" i="3"/>
  <c r="P119" i="3" s="1"/>
  <c r="Q119" i="3" s="1"/>
  <c r="O120" i="3"/>
  <c r="P120" i="3" s="1"/>
  <c r="Q120" i="3" s="1"/>
  <c r="O121" i="3"/>
  <c r="P121" i="3" s="1"/>
  <c r="Q121" i="3" s="1"/>
  <c r="O122" i="3"/>
  <c r="O123" i="3"/>
  <c r="P123" i="3" s="1"/>
  <c r="Q123" i="3" s="1"/>
  <c r="O124" i="3"/>
  <c r="P124" i="3" s="1"/>
  <c r="Q124" i="3" s="1"/>
  <c r="O125" i="3"/>
  <c r="P125" i="3" s="1"/>
  <c r="Q125" i="3" s="1"/>
  <c r="O126" i="3"/>
  <c r="P126" i="3" s="1"/>
  <c r="Q126" i="3" s="1"/>
  <c r="O127" i="3"/>
  <c r="P127" i="3" s="1"/>
  <c r="Q127" i="3" s="1"/>
  <c r="O128" i="3"/>
  <c r="P128" i="3" s="1"/>
  <c r="Q128" i="3" s="1"/>
  <c r="O129" i="3"/>
  <c r="P129" i="3" s="1"/>
  <c r="Q129" i="3" s="1"/>
  <c r="O130" i="3"/>
  <c r="P130" i="3" s="1"/>
  <c r="Q130" i="3" s="1"/>
  <c r="O131" i="3"/>
  <c r="P131" i="3" s="1"/>
  <c r="Q131" i="3" s="1"/>
  <c r="O132" i="3"/>
  <c r="P132" i="3" s="1"/>
  <c r="Q132" i="3" s="1"/>
  <c r="O133" i="3"/>
  <c r="O134" i="3"/>
  <c r="P134" i="3" s="1"/>
  <c r="Q134" i="3" s="1"/>
  <c r="O135" i="3"/>
  <c r="P135" i="3" s="1"/>
  <c r="Q135" i="3" s="1"/>
  <c r="O136" i="3"/>
  <c r="P136" i="3" s="1"/>
  <c r="Q136" i="3" s="1"/>
  <c r="O137" i="3"/>
  <c r="O138" i="3"/>
  <c r="O139" i="3"/>
  <c r="O140" i="3"/>
  <c r="O141" i="3"/>
  <c r="P141" i="3" s="1"/>
  <c r="Q141" i="3" s="1"/>
  <c r="O142" i="3"/>
  <c r="P142" i="3" s="1"/>
  <c r="Q142" i="3" s="1"/>
  <c r="O143" i="3"/>
  <c r="P143" i="3" s="1"/>
  <c r="Q143" i="3" s="1"/>
  <c r="O144" i="3"/>
  <c r="P144" i="3" s="1"/>
  <c r="Q144" i="3" s="1"/>
  <c r="O145" i="3"/>
  <c r="P145" i="3" s="1"/>
  <c r="Q145" i="3" s="1"/>
  <c r="O146" i="3"/>
  <c r="P146" i="3" s="1"/>
  <c r="Q146" i="3" s="1"/>
  <c r="O147" i="3"/>
  <c r="O148" i="3"/>
  <c r="P148" i="3" s="1"/>
  <c r="Q148" i="3" s="1"/>
  <c r="O149" i="3"/>
  <c r="P149" i="3" s="1"/>
  <c r="Q149" i="3" s="1"/>
  <c r="O150" i="3"/>
  <c r="P150" i="3" s="1"/>
  <c r="Q150" i="3" s="1"/>
  <c r="O151" i="3"/>
  <c r="O152" i="3"/>
  <c r="P152" i="3" s="1"/>
  <c r="Q152" i="3" s="1"/>
  <c r="O153" i="3"/>
  <c r="O154" i="3"/>
  <c r="P154" i="3" s="1"/>
  <c r="Q154" i="3" s="1"/>
  <c r="O155" i="3"/>
  <c r="O156" i="3"/>
  <c r="P156" i="3" s="1"/>
  <c r="Q156" i="3" s="1"/>
  <c r="O157" i="3"/>
  <c r="P157" i="3" s="1"/>
  <c r="Q157" i="3" s="1"/>
  <c r="O158" i="3"/>
  <c r="P158" i="3" s="1"/>
  <c r="Q158" i="3" s="1"/>
  <c r="O159" i="3"/>
  <c r="P159" i="3" s="1"/>
  <c r="Q159" i="3" s="1"/>
  <c r="O160" i="3"/>
  <c r="P160" i="3" s="1"/>
  <c r="Q160" i="3" s="1"/>
  <c r="O161" i="3"/>
  <c r="O162" i="3"/>
  <c r="P162" i="3" s="1"/>
  <c r="Q162" i="3" s="1"/>
  <c r="O163" i="3"/>
  <c r="P163" i="3" s="1"/>
  <c r="Q163" i="3" s="1"/>
  <c r="O164" i="3"/>
  <c r="P164" i="3" s="1"/>
  <c r="Q164" i="3" s="1"/>
  <c r="O165" i="3"/>
  <c r="P165" i="3" s="1"/>
  <c r="Q165" i="3" s="1"/>
  <c r="O166" i="3"/>
  <c r="P166" i="3" s="1"/>
  <c r="Q166" i="3" s="1"/>
  <c r="O167" i="3"/>
  <c r="O168" i="3"/>
  <c r="P168" i="3" s="1"/>
  <c r="Q168" i="3" s="1"/>
  <c r="O169" i="3"/>
  <c r="P169" i="3" s="1"/>
  <c r="Q169" i="3" s="1"/>
  <c r="O170" i="3"/>
  <c r="O171" i="3"/>
  <c r="P171" i="3" s="1"/>
  <c r="Q171" i="3" s="1"/>
  <c r="O172" i="3"/>
  <c r="O173" i="3"/>
  <c r="P173" i="3" s="1"/>
  <c r="Q173" i="3" s="1"/>
  <c r="O174" i="3"/>
  <c r="P174" i="3" s="1"/>
  <c r="Q174" i="3" s="1"/>
  <c r="O175" i="3"/>
  <c r="P175" i="3" s="1"/>
  <c r="Q175" i="3" s="1"/>
  <c r="O176" i="3"/>
  <c r="P176" i="3" s="1"/>
  <c r="Q176" i="3" s="1"/>
  <c r="O177" i="3"/>
  <c r="O178" i="3"/>
  <c r="O179" i="3"/>
  <c r="P179" i="3" s="1"/>
  <c r="Q179" i="3" s="1"/>
  <c r="O180" i="3"/>
  <c r="O181" i="3"/>
  <c r="P181" i="3" s="1"/>
  <c r="Q181" i="3" s="1"/>
  <c r="O182" i="3"/>
  <c r="P182" i="3" s="1"/>
  <c r="Q182" i="3" s="1"/>
  <c r="O183" i="3"/>
  <c r="O184" i="3"/>
  <c r="O185" i="3"/>
  <c r="P185" i="3" s="1"/>
  <c r="Q185" i="3" s="1"/>
  <c r="O186" i="3"/>
  <c r="P186" i="3" s="1"/>
  <c r="Q186" i="3" s="1"/>
  <c r="O187" i="3"/>
  <c r="P187" i="3" s="1"/>
  <c r="Q187" i="3" s="1"/>
  <c r="O188" i="3"/>
  <c r="O189" i="3"/>
  <c r="P189" i="3" s="1"/>
  <c r="Q189" i="3" s="1"/>
  <c r="O190" i="3"/>
  <c r="P190" i="3" s="1"/>
  <c r="Q190" i="3" s="1"/>
  <c r="O191" i="3"/>
  <c r="O192" i="3"/>
  <c r="P192" i="3" s="1"/>
  <c r="Q192" i="3" s="1"/>
  <c r="O193" i="3"/>
  <c r="O194" i="3"/>
  <c r="P194" i="3" s="1"/>
  <c r="Q194" i="3" s="1"/>
  <c r="O195" i="3"/>
  <c r="P195" i="3" s="1"/>
  <c r="Q195" i="3" s="1"/>
  <c r="O196" i="3"/>
  <c r="P196" i="3" s="1"/>
  <c r="Q196" i="3" s="1"/>
  <c r="O197" i="3"/>
  <c r="P197" i="3" s="1"/>
  <c r="Q197" i="3" s="1"/>
  <c r="O198" i="3"/>
  <c r="P198" i="3" s="1"/>
  <c r="Q198" i="3" s="1"/>
  <c r="O199" i="3"/>
  <c r="O200" i="3"/>
  <c r="P200" i="3" s="1"/>
  <c r="Q200" i="3" s="1"/>
  <c r="O201" i="3"/>
  <c r="O202" i="3"/>
  <c r="P202" i="3" s="1"/>
  <c r="Q202" i="3" s="1"/>
  <c r="O203" i="3"/>
  <c r="O204" i="3"/>
  <c r="O205" i="3"/>
  <c r="P205" i="3" s="1"/>
  <c r="Q205" i="3" s="1"/>
  <c r="O206" i="3"/>
  <c r="P206" i="3" s="1"/>
  <c r="Q206" i="3" s="1"/>
  <c r="O207" i="3"/>
  <c r="O208" i="3"/>
  <c r="O209" i="3"/>
  <c r="O210" i="3"/>
  <c r="O211" i="3"/>
  <c r="P211" i="3" s="1"/>
  <c r="Q211" i="3" s="1"/>
  <c r="O212" i="3"/>
  <c r="P212" i="3" s="1"/>
  <c r="Q212" i="3" s="1"/>
  <c r="O213" i="3"/>
  <c r="P213" i="3" s="1"/>
  <c r="Q213" i="3" s="1"/>
  <c r="O214" i="3"/>
  <c r="O215" i="3"/>
  <c r="P215" i="3" s="1"/>
  <c r="Q215" i="3" s="1"/>
  <c r="O216" i="3"/>
  <c r="P216" i="3" s="1"/>
  <c r="Q216" i="3" s="1"/>
  <c r="O217" i="3"/>
  <c r="P217" i="3" s="1"/>
  <c r="Q217" i="3" s="1"/>
  <c r="O218" i="3"/>
  <c r="O219" i="3"/>
  <c r="P219" i="3" s="1"/>
  <c r="Q219" i="3" s="1"/>
  <c r="O220" i="3"/>
  <c r="P220" i="3" s="1"/>
  <c r="Q220" i="3" s="1"/>
  <c r="O221" i="3"/>
  <c r="P221" i="3" s="1"/>
  <c r="Q221" i="3" s="1"/>
  <c r="O222" i="3"/>
  <c r="P222" i="3" s="1"/>
  <c r="Q222" i="3" s="1"/>
  <c r="O223" i="3"/>
  <c r="P223" i="3" s="1"/>
  <c r="Q223" i="3" s="1"/>
  <c r="O224" i="3"/>
  <c r="P224" i="3" s="1"/>
  <c r="Q224" i="3" s="1"/>
  <c r="O225" i="3"/>
  <c r="P225" i="3" s="1"/>
  <c r="Q225" i="3" s="1"/>
  <c r="O226" i="3"/>
  <c r="P226" i="3" s="1"/>
  <c r="Q226" i="3" s="1"/>
  <c r="O227" i="3"/>
  <c r="P227" i="3" s="1"/>
  <c r="Q227" i="3" s="1"/>
  <c r="O228" i="3"/>
  <c r="O229" i="3"/>
  <c r="P229" i="3" s="1"/>
  <c r="Q229" i="3" s="1"/>
  <c r="O230" i="3"/>
  <c r="O231" i="3"/>
  <c r="P231" i="3" s="1"/>
  <c r="Q231" i="3" s="1"/>
  <c r="O232" i="3"/>
  <c r="P232" i="3" s="1"/>
  <c r="Q232" i="3" s="1"/>
  <c r="O233" i="3"/>
  <c r="O234" i="3"/>
  <c r="P234" i="3" s="1"/>
  <c r="Q234" i="3" s="1"/>
  <c r="O235" i="3"/>
  <c r="P235" i="3" s="1"/>
  <c r="Q235" i="3" s="1"/>
  <c r="O236" i="3"/>
  <c r="P236" i="3" s="1"/>
  <c r="Q236" i="3" s="1"/>
  <c r="O237" i="3"/>
  <c r="O238" i="3"/>
  <c r="P238" i="3" s="1"/>
  <c r="Q238" i="3" s="1"/>
  <c r="O239" i="3"/>
  <c r="O240" i="3"/>
  <c r="P240" i="3" s="1"/>
  <c r="Q240" i="3" s="1"/>
  <c r="O241" i="3"/>
  <c r="P241" i="3" s="1"/>
  <c r="Q241" i="3" s="1"/>
  <c r="O242" i="3"/>
  <c r="P242" i="3" s="1"/>
  <c r="Q242" i="3" s="1"/>
  <c r="O243" i="3"/>
  <c r="O244" i="3"/>
  <c r="P244" i="3" s="1"/>
  <c r="O245" i="3"/>
  <c r="P245" i="3" s="1"/>
  <c r="Q245" i="3" s="1"/>
  <c r="O246" i="3"/>
  <c r="P246" i="3" s="1"/>
  <c r="Q246" i="3" s="1"/>
  <c r="O247" i="3"/>
  <c r="P247" i="3" s="1"/>
  <c r="Q247" i="3" s="1"/>
  <c r="O248" i="3"/>
  <c r="O249" i="3"/>
  <c r="P249" i="3" s="1"/>
  <c r="Q249" i="3" s="1"/>
  <c r="O250" i="3"/>
  <c r="O251" i="3"/>
  <c r="P251" i="3" s="1"/>
  <c r="Q251" i="3" s="1"/>
  <c r="O252" i="3"/>
  <c r="P252" i="3" s="1"/>
  <c r="Q252" i="3" s="1"/>
  <c r="O253" i="3"/>
  <c r="O254" i="3"/>
  <c r="O255" i="3"/>
  <c r="P255" i="3" s="1"/>
  <c r="Q255" i="3" s="1"/>
  <c r="O256" i="3"/>
  <c r="P256" i="3" s="1"/>
  <c r="Q256" i="3" s="1"/>
  <c r="O257" i="3"/>
  <c r="O258" i="3"/>
  <c r="P258" i="3" s="1"/>
  <c r="Q258" i="3" s="1"/>
  <c r="O259" i="3"/>
  <c r="P259" i="3" s="1"/>
  <c r="Q259" i="3" s="1"/>
  <c r="O260" i="3"/>
  <c r="P260" i="3" s="1"/>
  <c r="Q260" i="3" s="1"/>
  <c r="O261" i="3"/>
  <c r="P261" i="3" s="1"/>
  <c r="Q261" i="3" s="1"/>
  <c r="O262" i="3"/>
  <c r="O263" i="3"/>
  <c r="O264" i="3"/>
  <c r="O265" i="3"/>
  <c r="P265" i="3" s="1"/>
  <c r="Q265" i="3" s="1"/>
  <c r="O266" i="3"/>
  <c r="P266" i="3" s="1"/>
  <c r="Q266" i="3" s="1"/>
  <c r="O267" i="3"/>
  <c r="P267" i="3" s="1"/>
  <c r="Q267" i="3" s="1"/>
  <c r="O268" i="3"/>
  <c r="P268" i="3" s="1"/>
  <c r="O269" i="3"/>
  <c r="P269" i="3" s="1"/>
  <c r="Q269" i="3" s="1"/>
  <c r="O270" i="3"/>
  <c r="P270" i="3" s="1"/>
  <c r="Q270" i="3" s="1"/>
  <c r="O271" i="3"/>
  <c r="P271" i="3" s="1"/>
  <c r="Q271" i="3" s="1"/>
  <c r="O272" i="3"/>
  <c r="O273" i="3"/>
  <c r="P273" i="3" s="1"/>
  <c r="Q273" i="3" s="1"/>
  <c r="O274" i="3"/>
  <c r="P274" i="3" s="1"/>
  <c r="Q274" i="3" s="1"/>
  <c r="O275" i="3"/>
  <c r="O276" i="3"/>
  <c r="P276" i="3" s="1"/>
  <c r="Q276" i="3" s="1"/>
  <c r="O277" i="3"/>
  <c r="O278" i="3"/>
  <c r="P278" i="3" s="1"/>
  <c r="Q278" i="3" s="1"/>
  <c r="O279" i="3"/>
  <c r="P279" i="3" s="1"/>
  <c r="Q279" i="3" s="1"/>
  <c r="O280" i="3"/>
  <c r="P280" i="3" s="1"/>
  <c r="Q280" i="3" s="1"/>
  <c r="O281" i="3"/>
  <c r="O282" i="3"/>
  <c r="P282" i="3" s="1"/>
  <c r="Q282" i="3" s="1"/>
  <c r="O283" i="3"/>
  <c r="P283" i="3" s="1"/>
  <c r="Q283" i="3" s="1"/>
  <c r="O284" i="3"/>
  <c r="P284" i="3" s="1"/>
  <c r="Q284" i="3" s="1"/>
  <c r="O285" i="3"/>
  <c r="P285" i="3" s="1"/>
  <c r="Q285" i="3" s="1"/>
  <c r="O286" i="3"/>
  <c r="P286" i="3" s="1"/>
  <c r="Q286" i="3" s="1"/>
  <c r="O287" i="3"/>
  <c r="P287" i="3" s="1"/>
  <c r="Q287" i="3" s="1"/>
  <c r="O288" i="3"/>
  <c r="O289" i="3"/>
  <c r="P289" i="3" s="1"/>
  <c r="Q289" i="3" s="1"/>
  <c r="O290" i="3"/>
  <c r="O291" i="3"/>
  <c r="P291" i="3" s="1"/>
  <c r="Q291" i="3" s="1"/>
  <c r="O292" i="3"/>
  <c r="O293" i="3"/>
  <c r="P293" i="3" s="1"/>
  <c r="Q293" i="3" s="1"/>
  <c r="O294" i="3"/>
  <c r="O295" i="3"/>
  <c r="P295" i="3" s="1"/>
  <c r="Q295" i="3" s="1"/>
  <c r="O296" i="3"/>
  <c r="O297" i="3"/>
  <c r="P297" i="3" s="1"/>
  <c r="Q297" i="3" s="1"/>
  <c r="O298" i="3"/>
  <c r="O299" i="3"/>
  <c r="P299" i="3" s="1"/>
  <c r="Q299" i="3" s="1"/>
  <c r="O300" i="3"/>
  <c r="P300" i="3" s="1"/>
  <c r="Q300" i="3" s="1"/>
  <c r="O301" i="3"/>
  <c r="P301" i="3" s="1"/>
  <c r="Q301" i="3" s="1"/>
  <c r="O302" i="3"/>
  <c r="P302" i="3" s="1"/>
  <c r="Q302" i="3" s="1"/>
  <c r="O303" i="3"/>
  <c r="O304" i="3"/>
  <c r="O305" i="3"/>
  <c r="P305" i="3" s="1"/>
  <c r="Q305" i="3" s="1"/>
  <c r="O306" i="3"/>
  <c r="P306" i="3" s="1"/>
  <c r="Q306" i="3" s="1"/>
  <c r="O307" i="3"/>
  <c r="P307" i="3" s="1"/>
  <c r="Q307" i="3" s="1"/>
  <c r="O308" i="3"/>
  <c r="O309" i="3"/>
  <c r="P309" i="3" s="1"/>
  <c r="Q309" i="3" s="1"/>
  <c r="O310" i="3"/>
  <c r="P310" i="3" s="1"/>
  <c r="Q310" i="3" s="1"/>
  <c r="O311" i="3"/>
  <c r="P311" i="3" s="1"/>
  <c r="Q311" i="3" s="1"/>
  <c r="O312" i="3"/>
  <c r="P312" i="3" s="1"/>
  <c r="Q312" i="3" s="1"/>
  <c r="O313" i="3"/>
  <c r="O314" i="3"/>
  <c r="P314" i="3" s="1"/>
  <c r="Q314" i="3" s="1"/>
  <c r="O315" i="3"/>
  <c r="O316" i="3"/>
  <c r="O317" i="3"/>
  <c r="P317" i="3" s="1"/>
  <c r="Q317" i="3" s="1"/>
  <c r="O318" i="3"/>
  <c r="P318" i="3" s="1"/>
  <c r="Q318" i="3" s="1"/>
  <c r="O319" i="3"/>
  <c r="P319" i="3" s="1"/>
  <c r="Q319" i="3" s="1"/>
  <c r="O320" i="3"/>
  <c r="O321" i="3"/>
  <c r="P321" i="3" s="1"/>
  <c r="Q321" i="3" s="1"/>
  <c r="O322" i="3"/>
  <c r="P322" i="3" s="1"/>
  <c r="Q322" i="3" s="1"/>
  <c r="O323" i="3"/>
  <c r="O324" i="3"/>
  <c r="P324" i="3" s="1"/>
  <c r="Q324" i="3" s="1"/>
  <c r="O325" i="3"/>
  <c r="P325" i="3" s="1"/>
  <c r="Q325" i="3" s="1"/>
  <c r="O326" i="3"/>
  <c r="P326" i="3" s="1"/>
  <c r="Q326" i="3" s="1"/>
  <c r="O327" i="3"/>
  <c r="O328" i="3"/>
  <c r="P328" i="3" s="1"/>
  <c r="Q328" i="3" s="1"/>
  <c r="O329" i="3"/>
  <c r="O330" i="3"/>
  <c r="P330" i="3" s="1"/>
  <c r="Q330" i="3" s="1"/>
  <c r="O331" i="3"/>
  <c r="P331" i="3" s="1"/>
  <c r="Q331" i="3" s="1"/>
  <c r="O332" i="3"/>
  <c r="P332" i="3" s="1"/>
  <c r="Q332" i="3" s="1"/>
  <c r="O333" i="3"/>
  <c r="O334" i="3"/>
  <c r="O335" i="3"/>
  <c r="P335" i="3" s="1"/>
  <c r="Q335" i="3" s="1"/>
  <c r="O336" i="3"/>
  <c r="P336" i="3" s="1"/>
  <c r="Q336" i="3" s="1"/>
  <c r="O337" i="3"/>
  <c r="O338" i="3"/>
  <c r="P338" i="3" s="1"/>
  <c r="Q338" i="3" s="1"/>
  <c r="O339" i="3"/>
  <c r="P339" i="3" s="1"/>
  <c r="Q339" i="3" s="1"/>
  <c r="O340" i="3"/>
  <c r="O341" i="3"/>
  <c r="P341" i="3" s="1"/>
  <c r="Q341" i="3" s="1"/>
  <c r="O342" i="3"/>
  <c r="O343" i="3"/>
  <c r="P343" i="3" s="1"/>
  <c r="Q343" i="3" s="1"/>
  <c r="O344" i="3"/>
  <c r="P344" i="3" s="1"/>
  <c r="Q344" i="3" s="1"/>
  <c r="O345" i="3"/>
  <c r="O346" i="3"/>
  <c r="P346" i="3" s="1"/>
  <c r="Q346" i="3" s="1"/>
  <c r="O347" i="3"/>
  <c r="P347" i="3" s="1"/>
  <c r="Q347" i="3" s="1"/>
  <c r="O348" i="3"/>
  <c r="P348" i="3" s="1"/>
  <c r="Q348" i="3" s="1"/>
  <c r="O349" i="3"/>
  <c r="O350" i="3"/>
  <c r="P350" i="3" s="1"/>
  <c r="Q350" i="3" s="1"/>
  <c r="O351" i="3"/>
  <c r="O352" i="3"/>
  <c r="P352" i="3" s="1"/>
  <c r="Q352" i="3" s="1"/>
  <c r="O353" i="3"/>
  <c r="O354" i="3"/>
  <c r="O355" i="3"/>
  <c r="O356" i="3"/>
  <c r="P356" i="3" s="1"/>
  <c r="Q356" i="3" s="1"/>
  <c r="O357" i="3"/>
  <c r="P357" i="3" s="1"/>
  <c r="Q357" i="3" s="1"/>
  <c r="O358" i="3"/>
  <c r="P358" i="3" s="1"/>
  <c r="Q358" i="3" s="1"/>
  <c r="O359" i="3"/>
  <c r="O360" i="3"/>
  <c r="P360" i="3" s="1"/>
  <c r="Q360" i="3" s="1"/>
  <c r="O361" i="3"/>
  <c r="P361" i="3" s="1"/>
  <c r="Q361" i="3" s="1"/>
  <c r="O362" i="3"/>
  <c r="O363" i="3"/>
  <c r="O364" i="3"/>
  <c r="O365" i="3"/>
  <c r="O366" i="3"/>
  <c r="P366" i="3" s="1"/>
  <c r="Q366" i="3" s="1"/>
  <c r="O367" i="3"/>
  <c r="P367" i="3" s="1"/>
  <c r="Q367" i="3" s="1"/>
  <c r="O368" i="3"/>
  <c r="P368" i="3" s="1"/>
  <c r="Q368" i="3" s="1"/>
  <c r="O369" i="3"/>
  <c r="P369" i="3" s="1"/>
  <c r="Q369" i="3" s="1"/>
  <c r="O370" i="3"/>
  <c r="P370" i="3" s="1"/>
  <c r="Q370" i="3" s="1"/>
  <c r="O371" i="3"/>
  <c r="P371" i="3" s="1"/>
  <c r="Q371" i="3" s="1"/>
  <c r="O372" i="3"/>
  <c r="O373" i="3"/>
  <c r="P373" i="3" s="1"/>
  <c r="Q373" i="3" s="1"/>
  <c r="O374" i="3"/>
  <c r="O375" i="3"/>
  <c r="P375" i="3" s="1"/>
  <c r="Q375" i="3" s="1"/>
  <c r="O376" i="3"/>
  <c r="O377" i="3"/>
  <c r="P377" i="3" s="1"/>
  <c r="Q377" i="3" s="1"/>
  <c r="O378" i="3"/>
  <c r="O379" i="3"/>
  <c r="P379" i="3" s="1"/>
  <c r="Q379" i="3" s="1"/>
  <c r="O380" i="3"/>
  <c r="P380" i="3" s="1"/>
  <c r="Q380" i="3" s="1"/>
  <c r="O381" i="3"/>
  <c r="O382" i="3"/>
  <c r="P382" i="3" s="1"/>
  <c r="Q382" i="3" s="1"/>
  <c r="O383" i="3"/>
  <c r="O384" i="3"/>
  <c r="P384" i="3" s="1"/>
  <c r="Q384" i="3" s="1"/>
  <c r="O385" i="3"/>
  <c r="O386" i="3"/>
  <c r="P386" i="3" s="1"/>
  <c r="Q386" i="3" s="1"/>
  <c r="O387" i="3"/>
  <c r="O388" i="3"/>
  <c r="P388" i="3" s="1"/>
  <c r="Q388" i="3" s="1"/>
  <c r="O389" i="3"/>
  <c r="P389" i="3" s="1"/>
  <c r="Q389" i="3" s="1"/>
  <c r="O390" i="3"/>
  <c r="P390" i="3" s="1"/>
  <c r="Q390" i="3" s="1"/>
  <c r="O391" i="3"/>
  <c r="P391" i="3" s="1"/>
  <c r="Q391" i="3" s="1"/>
  <c r="O392" i="3"/>
  <c r="P392" i="3" s="1"/>
  <c r="Q392" i="3" s="1"/>
  <c r="O393" i="3"/>
  <c r="O394" i="3"/>
  <c r="P394" i="3" s="1"/>
  <c r="Q394" i="3" s="1"/>
  <c r="O395" i="3"/>
  <c r="P395" i="3" s="1"/>
  <c r="Q395" i="3" s="1"/>
  <c r="O396" i="3"/>
  <c r="P396" i="3" s="1"/>
  <c r="Q396" i="3" s="1"/>
  <c r="O397" i="3"/>
  <c r="P397" i="3" s="1"/>
  <c r="Q397" i="3" s="1"/>
  <c r="O398" i="3"/>
  <c r="O399" i="3"/>
  <c r="P399" i="3" s="1"/>
  <c r="Q399" i="3" s="1"/>
  <c r="O400" i="3"/>
  <c r="O401" i="3"/>
  <c r="O402" i="3"/>
  <c r="O403" i="3"/>
  <c r="O404" i="3"/>
  <c r="P404" i="3" s="1"/>
  <c r="Q404" i="3" s="1"/>
  <c r="O405" i="3"/>
  <c r="P405" i="3" s="1"/>
  <c r="Q405" i="3" s="1"/>
  <c r="O406" i="3"/>
  <c r="P406" i="3" s="1"/>
  <c r="Q406" i="3" s="1"/>
  <c r="O407" i="3"/>
  <c r="O408" i="3"/>
  <c r="P408" i="3" s="1"/>
  <c r="Q408" i="3" s="1"/>
  <c r="O409" i="3"/>
  <c r="P409" i="3" s="1"/>
  <c r="Q409" i="3" s="1"/>
  <c r="O410" i="3"/>
  <c r="P410" i="3" s="1"/>
  <c r="Q410" i="3" s="1"/>
  <c r="O411" i="3"/>
  <c r="P411" i="3" s="1"/>
  <c r="Q411" i="3" s="1"/>
  <c r="O412" i="3"/>
  <c r="O413" i="3"/>
  <c r="P413" i="3" s="1"/>
  <c r="Q413" i="3" s="1"/>
  <c r="O414" i="3"/>
  <c r="P414" i="3" s="1"/>
  <c r="Q414" i="3" s="1"/>
  <c r="O415" i="3"/>
  <c r="P415" i="3" s="1"/>
  <c r="Q415" i="3" s="1"/>
  <c r="O416" i="3"/>
  <c r="O417" i="3"/>
  <c r="P417" i="3" s="1"/>
  <c r="Q417" i="3" s="1"/>
  <c r="O418" i="3"/>
  <c r="P418" i="3" s="1"/>
  <c r="Q418" i="3" s="1"/>
  <c r="O419" i="3"/>
  <c r="P419" i="3" s="1"/>
  <c r="Q419" i="3" s="1"/>
  <c r="O420" i="3"/>
  <c r="P420" i="3" s="1"/>
  <c r="Q420" i="3" s="1"/>
  <c r="O421" i="3"/>
  <c r="O422" i="3"/>
  <c r="P422" i="3" s="1"/>
  <c r="Q422" i="3" s="1"/>
  <c r="O423" i="3"/>
  <c r="P423" i="3" s="1"/>
  <c r="Q423" i="3" s="1"/>
  <c r="O424" i="3"/>
  <c r="P424" i="3" s="1"/>
  <c r="Q424" i="3" s="1"/>
  <c r="O425" i="3"/>
  <c r="P425" i="3" s="1"/>
  <c r="Q425" i="3" s="1"/>
  <c r="O426" i="3"/>
  <c r="P426" i="3" s="1"/>
  <c r="Q426" i="3" s="1"/>
  <c r="O427" i="3"/>
  <c r="O428" i="3"/>
  <c r="P428" i="3" s="1"/>
  <c r="Q428" i="3" s="1"/>
  <c r="O429" i="3"/>
  <c r="P429" i="3" s="1"/>
  <c r="Q429" i="3" s="1"/>
  <c r="O430" i="3"/>
  <c r="P430" i="3" s="1"/>
  <c r="Q430" i="3" s="1"/>
  <c r="O431" i="3"/>
  <c r="P431" i="3" s="1"/>
  <c r="Q431" i="3" s="1"/>
  <c r="O432" i="3"/>
  <c r="P432" i="3" s="1"/>
  <c r="Q432" i="3" s="1"/>
  <c r="O433" i="3"/>
  <c r="P433" i="3" s="1"/>
  <c r="Q433" i="3" s="1"/>
  <c r="O434" i="3"/>
  <c r="O435" i="3"/>
  <c r="P435" i="3" s="1"/>
  <c r="Q435" i="3" s="1"/>
  <c r="O436" i="3"/>
  <c r="P436" i="3" s="1"/>
  <c r="Q436" i="3" s="1"/>
  <c r="O437" i="3"/>
  <c r="O438" i="3"/>
  <c r="P438" i="3" s="1"/>
  <c r="Q438" i="3" s="1"/>
  <c r="O439" i="3"/>
  <c r="O440" i="3"/>
  <c r="P440" i="3" s="1"/>
  <c r="Q440" i="3" s="1"/>
  <c r="O441" i="3"/>
  <c r="O442" i="3"/>
  <c r="O443" i="3"/>
  <c r="O444" i="3"/>
  <c r="P444" i="3" s="1"/>
  <c r="Q444" i="3" s="1"/>
  <c r="O445" i="3"/>
  <c r="O446" i="3"/>
  <c r="P446" i="3" s="1"/>
  <c r="Q446" i="3" s="1"/>
  <c r="O447" i="3"/>
  <c r="P447" i="3" s="1"/>
  <c r="Q447" i="3" s="1"/>
  <c r="O448" i="3"/>
  <c r="O449" i="3"/>
  <c r="P449" i="3" s="1"/>
  <c r="Q449" i="3" s="1"/>
  <c r="O450" i="3"/>
  <c r="P450" i="3" s="1"/>
  <c r="Q450" i="3" s="1"/>
  <c r="O451" i="3"/>
  <c r="O452" i="3"/>
  <c r="P452" i="3" s="1"/>
  <c r="Q452" i="3" s="1"/>
  <c r="O453" i="3"/>
  <c r="O454" i="3"/>
  <c r="O455" i="3"/>
  <c r="O456" i="3"/>
  <c r="P456" i="3" s="1"/>
  <c r="Q456" i="3" s="1"/>
  <c r="O457" i="3"/>
  <c r="P457" i="3" s="1"/>
  <c r="Q457" i="3" s="1"/>
  <c r="O458" i="3"/>
  <c r="O459" i="3"/>
  <c r="P459" i="3" s="1"/>
  <c r="Q459" i="3" s="1"/>
  <c r="O460" i="3"/>
  <c r="O461" i="3"/>
  <c r="P461" i="3" s="1"/>
  <c r="Q461" i="3" s="1"/>
  <c r="O462" i="3"/>
  <c r="P462" i="3" s="1"/>
  <c r="Q462" i="3" s="1"/>
  <c r="O463" i="3"/>
  <c r="P463" i="3" s="1"/>
  <c r="Q463" i="3" s="1"/>
  <c r="O464" i="3"/>
  <c r="P464" i="3" s="1"/>
  <c r="Q464" i="3" s="1"/>
  <c r="O465" i="3"/>
  <c r="P465" i="3" s="1"/>
  <c r="Q465" i="3" s="1"/>
  <c r="O466" i="3"/>
  <c r="P466" i="3" s="1"/>
  <c r="Q466" i="3" s="1"/>
  <c r="O467" i="3"/>
  <c r="O468" i="3"/>
  <c r="P468" i="3" s="1"/>
  <c r="Q468" i="3" s="1"/>
  <c r="O469" i="3"/>
  <c r="P469" i="3" s="1"/>
  <c r="Q469" i="3" s="1"/>
  <c r="O470" i="3"/>
  <c r="P470" i="3" s="1"/>
  <c r="Q470" i="3" s="1"/>
  <c r="O471" i="3"/>
  <c r="P471" i="3" s="1"/>
  <c r="Q471" i="3" s="1"/>
  <c r="O472" i="3"/>
  <c r="P472" i="3" s="1"/>
  <c r="Q472" i="3" s="1"/>
  <c r="O473" i="3"/>
  <c r="O474" i="3"/>
  <c r="P474" i="3" s="1"/>
  <c r="Q474" i="3" s="1"/>
  <c r="O475" i="3"/>
  <c r="P475" i="3" s="1"/>
  <c r="Q475" i="3" s="1"/>
  <c r="O476" i="3"/>
  <c r="O477" i="3"/>
  <c r="O478" i="3"/>
  <c r="P478" i="3" s="1"/>
  <c r="Q478" i="3" s="1"/>
  <c r="O479" i="3"/>
  <c r="O480" i="3"/>
  <c r="P480" i="3" s="1"/>
  <c r="Q480" i="3" s="1"/>
  <c r="O481" i="3"/>
  <c r="P481" i="3" s="1"/>
  <c r="Q481" i="3" s="1"/>
  <c r="O482" i="3"/>
  <c r="P482" i="3" s="1"/>
  <c r="Q482" i="3" s="1"/>
  <c r="O483" i="3"/>
  <c r="P483" i="3" s="1"/>
  <c r="Q483" i="3" s="1"/>
  <c r="O484" i="3"/>
  <c r="O485" i="3"/>
  <c r="O486" i="3"/>
  <c r="O487" i="3"/>
  <c r="P487" i="3" s="1"/>
  <c r="Q487" i="3" s="1"/>
  <c r="O488" i="3"/>
  <c r="P488" i="3" s="1"/>
  <c r="Q488" i="3" s="1"/>
  <c r="O489" i="3"/>
  <c r="P489" i="3" s="1"/>
  <c r="Q489" i="3" s="1"/>
  <c r="O490" i="3"/>
  <c r="P490" i="3" s="1"/>
  <c r="Q490" i="3" s="1"/>
  <c r="O491" i="3"/>
  <c r="P491" i="3" s="1"/>
  <c r="Q491" i="3" s="1"/>
  <c r="O492" i="3"/>
  <c r="O493" i="3"/>
  <c r="P493" i="3" s="1"/>
  <c r="Q493" i="3" s="1"/>
  <c r="O494" i="3"/>
  <c r="P494" i="3" s="1"/>
  <c r="Q494" i="3" s="1"/>
  <c r="O495" i="3"/>
  <c r="P495" i="3" s="1"/>
  <c r="Q495" i="3" s="1"/>
  <c r="O496" i="3"/>
  <c r="P496" i="3" s="1"/>
  <c r="Q496" i="3" s="1"/>
  <c r="O497" i="3"/>
  <c r="O498" i="3"/>
  <c r="P498" i="3" s="1"/>
  <c r="Q498" i="3" s="1"/>
  <c r="O499" i="3"/>
  <c r="P499" i="3" s="1"/>
  <c r="Q499" i="3" s="1"/>
  <c r="O500" i="3"/>
  <c r="P500" i="3" s="1"/>
  <c r="Q500" i="3" s="1"/>
  <c r="O501" i="3"/>
  <c r="P501" i="3" s="1"/>
  <c r="Q501" i="3" s="1"/>
  <c r="O502" i="3"/>
  <c r="P502" i="3" s="1"/>
  <c r="Q502" i="3" s="1"/>
  <c r="O503" i="3"/>
  <c r="P503" i="3" s="1"/>
  <c r="Q503" i="3" s="1"/>
  <c r="O504" i="3"/>
  <c r="O505" i="3"/>
  <c r="P505" i="3" s="1"/>
  <c r="Q505" i="3" s="1"/>
  <c r="O506" i="3"/>
  <c r="P506" i="3" s="1"/>
  <c r="Q506" i="3" s="1"/>
  <c r="O507" i="3"/>
  <c r="P507" i="3" s="1"/>
  <c r="Q507" i="3" s="1"/>
  <c r="O508" i="3"/>
  <c r="O509" i="3"/>
  <c r="O510" i="3"/>
  <c r="P510" i="3" s="1"/>
  <c r="Q510" i="3" s="1"/>
  <c r="O511" i="3"/>
  <c r="P511" i="3" s="1"/>
  <c r="Q511" i="3" s="1"/>
  <c r="O512" i="3"/>
  <c r="P512" i="3" s="1"/>
  <c r="Q512" i="3" s="1"/>
  <c r="O513" i="3"/>
  <c r="P513" i="3" s="1"/>
  <c r="Q513" i="3" s="1"/>
  <c r="O514" i="3"/>
  <c r="P514" i="3" s="1"/>
  <c r="Q514" i="3" s="1"/>
  <c r="O515" i="3"/>
  <c r="P515" i="3" s="1"/>
  <c r="Q515" i="3" s="1"/>
  <c r="O516" i="3"/>
  <c r="P516" i="3" s="1"/>
  <c r="Q516" i="3" s="1"/>
  <c r="O517" i="3"/>
  <c r="P517" i="3" s="1"/>
  <c r="Q517" i="3" s="1"/>
  <c r="O518" i="3"/>
  <c r="P518" i="3" s="1"/>
  <c r="Q518" i="3" s="1"/>
  <c r="O519" i="3"/>
  <c r="P519" i="3" s="1"/>
  <c r="Q519" i="3" s="1"/>
  <c r="O520" i="3"/>
  <c r="P520" i="3" s="1"/>
  <c r="Q520" i="3" s="1"/>
  <c r="O521" i="3"/>
  <c r="P521" i="3" s="1"/>
  <c r="Q521" i="3" s="1"/>
  <c r="O522" i="3"/>
  <c r="P522" i="3" s="1"/>
  <c r="Q522" i="3" s="1"/>
  <c r="O523" i="3"/>
  <c r="P523" i="3" s="1"/>
  <c r="Q523" i="3" s="1"/>
  <c r="O524" i="3"/>
  <c r="O525" i="3"/>
  <c r="P525" i="3" s="1"/>
  <c r="Q525" i="3" s="1"/>
  <c r="O526" i="3"/>
  <c r="O527" i="3"/>
  <c r="P527" i="3" s="1"/>
  <c r="Q527" i="3" s="1"/>
  <c r="O528" i="3"/>
  <c r="P528" i="3" s="1"/>
  <c r="Q528" i="3" s="1"/>
  <c r="O529" i="3"/>
  <c r="P529" i="3" s="1"/>
  <c r="Q529" i="3" s="1"/>
  <c r="O530" i="3"/>
  <c r="P530" i="3" s="1"/>
  <c r="Q530" i="3" s="1"/>
  <c r="O531" i="3"/>
  <c r="P531" i="3" s="1"/>
  <c r="Q531" i="3" s="1"/>
  <c r="O532" i="3"/>
  <c r="O533" i="3"/>
  <c r="O534" i="3"/>
  <c r="P534" i="3" s="1"/>
  <c r="Q534" i="3" s="1"/>
  <c r="O535" i="3"/>
  <c r="P535" i="3" s="1"/>
  <c r="Q535" i="3" s="1"/>
  <c r="O536" i="3"/>
  <c r="O537" i="3"/>
  <c r="P537" i="3" s="1"/>
  <c r="Q537" i="3" s="1"/>
  <c r="O538" i="3"/>
  <c r="P538" i="3" s="1"/>
  <c r="Q538" i="3" s="1"/>
  <c r="O539" i="3"/>
  <c r="P539" i="3" s="1"/>
  <c r="Q539" i="3" s="1"/>
  <c r="O540" i="3"/>
  <c r="O541" i="3"/>
  <c r="O542" i="3"/>
  <c r="P542" i="3" s="1"/>
  <c r="Q542" i="3" s="1"/>
  <c r="O543" i="3"/>
  <c r="P543" i="3" s="1"/>
  <c r="Q543" i="3" s="1"/>
  <c r="O544" i="3"/>
  <c r="O545" i="3"/>
  <c r="O546" i="3"/>
  <c r="P546" i="3" s="1"/>
  <c r="Q546" i="3" s="1"/>
  <c r="O547" i="3"/>
  <c r="P547" i="3" s="1"/>
  <c r="Q547" i="3" s="1"/>
  <c r="O548" i="3"/>
  <c r="P548" i="3" s="1"/>
  <c r="Q548" i="3" s="1"/>
  <c r="O549" i="3"/>
  <c r="P549" i="3" s="1"/>
  <c r="Q549" i="3" s="1"/>
  <c r="O550" i="3"/>
  <c r="P550" i="3" s="1"/>
  <c r="Q550" i="3" s="1"/>
  <c r="O551" i="3"/>
  <c r="O552" i="3"/>
  <c r="P552" i="3" s="1"/>
  <c r="Q552" i="3" s="1"/>
  <c r="O553" i="3"/>
  <c r="P553" i="3" s="1"/>
  <c r="Q553" i="3" s="1"/>
  <c r="O554" i="3"/>
  <c r="O555" i="3"/>
  <c r="P555" i="3" s="1"/>
  <c r="Q555" i="3" s="1"/>
  <c r="O556" i="3"/>
  <c r="P556" i="3" s="1"/>
  <c r="Q556" i="3" s="1"/>
  <c r="O557" i="3"/>
  <c r="O558" i="3"/>
  <c r="P558" i="3" s="1"/>
  <c r="Q558" i="3" s="1"/>
  <c r="O559" i="3"/>
  <c r="O560" i="3"/>
  <c r="P560" i="3" s="1"/>
  <c r="Q560" i="3" s="1"/>
  <c r="O561" i="3"/>
  <c r="O562" i="3"/>
  <c r="P562" i="3" s="1"/>
  <c r="Q562" i="3" s="1"/>
  <c r="O563" i="3"/>
  <c r="O564" i="3"/>
  <c r="P564" i="3" s="1"/>
  <c r="Q564" i="3" s="1"/>
  <c r="O565" i="3"/>
  <c r="O566" i="3"/>
  <c r="P566" i="3" s="1"/>
  <c r="Q566" i="3" s="1"/>
  <c r="O567" i="3"/>
  <c r="P567" i="3" s="1"/>
  <c r="Q567" i="3" s="1"/>
  <c r="O568" i="3"/>
  <c r="O569" i="3"/>
  <c r="P569" i="3" s="1"/>
  <c r="Q569" i="3" s="1"/>
  <c r="O570" i="3"/>
  <c r="P570" i="3" s="1"/>
  <c r="Q570" i="3" s="1"/>
  <c r="O571" i="3"/>
  <c r="P571" i="3" s="1"/>
  <c r="Q571" i="3" s="1"/>
  <c r="O572" i="3"/>
  <c r="O573" i="3"/>
  <c r="P573" i="3" s="1"/>
  <c r="Q573" i="3" s="1"/>
  <c r="O574" i="3"/>
  <c r="P574" i="3" s="1"/>
  <c r="Q574" i="3" s="1"/>
  <c r="O575" i="3"/>
  <c r="O576" i="3"/>
  <c r="P576" i="3" s="1"/>
  <c r="Q576" i="3" s="1"/>
  <c r="O577" i="3"/>
  <c r="P577" i="3" s="1"/>
  <c r="Q577" i="3" s="1"/>
  <c r="O578" i="3"/>
  <c r="O579" i="3"/>
  <c r="O580" i="3"/>
  <c r="P580" i="3" s="1"/>
  <c r="Q580" i="3" s="1"/>
  <c r="O581" i="3"/>
  <c r="P581" i="3" s="1"/>
  <c r="Q581" i="3" s="1"/>
  <c r="O582" i="3"/>
  <c r="O583" i="3"/>
  <c r="O584" i="3"/>
  <c r="P584" i="3" s="1"/>
  <c r="Q584" i="3" s="1"/>
  <c r="O585" i="3"/>
  <c r="P585" i="3" s="1"/>
  <c r="Q585" i="3" s="1"/>
  <c r="O586" i="3"/>
  <c r="O587" i="3"/>
  <c r="P587" i="3" s="1"/>
  <c r="Q587" i="3" s="1"/>
  <c r="O588" i="3"/>
  <c r="P588" i="3" s="1"/>
  <c r="Q588" i="3" s="1"/>
  <c r="O589" i="3"/>
  <c r="O590" i="3"/>
  <c r="O591" i="3"/>
  <c r="O592" i="3"/>
  <c r="O593" i="3"/>
  <c r="O594" i="3"/>
  <c r="O595" i="3"/>
  <c r="O596" i="3"/>
  <c r="P596" i="3" s="1"/>
  <c r="Q596" i="3" s="1"/>
  <c r="O597" i="3"/>
  <c r="P597" i="3" s="1"/>
  <c r="Q597" i="3" s="1"/>
  <c r="O598" i="3"/>
  <c r="P598" i="3" s="1"/>
  <c r="Q598" i="3" s="1"/>
  <c r="O599" i="3"/>
  <c r="P599" i="3" s="1"/>
  <c r="Q599" i="3" s="1"/>
  <c r="O600" i="3"/>
  <c r="O601" i="3"/>
  <c r="O602" i="3"/>
  <c r="P602" i="3" s="1"/>
  <c r="Q602" i="3" s="1"/>
  <c r="O603" i="3"/>
  <c r="O604" i="3"/>
  <c r="P604" i="3" s="1"/>
  <c r="Q604" i="3" s="1"/>
  <c r="O605" i="3"/>
  <c r="P605" i="3" s="1"/>
  <c r="Q605" i="3" s="1"/>
  <c r="O606" i="3"/>
  <c r="P606" i="3" s="1"/>
  <c r="Q606" i="3" s="1"/>
  <c r="O607" i="3"/>
  <c r="P607" i="3" s="1"/>
  <c r="Q607" i="3" s="1"/>
  <c r="O608" i="3"/>
  <c r="P608" i="3" s="1"/>
  <c r="Q608" i="3" s="1"/>
  <c r="O609" i="3"/>
  <c r="P609" i="3" s="1"/>
  <c r="Q609" i="3" s="1"/>
  <c r="O610" i="3"/>
  <c r="P610" i="3" s="1"/>
  <c r="Q610" i="3" s="1"/>
  <c r="O611" i="3"/>
  <c r="P611" i="3" s="1"/>
  <c r="Q611" i="3" s="1"/>
  <c r="O612" i="3"/>
  <c r="O613" i="3"/>
  <c r="P613" i="3" s="1"/>
  <c r="Q613" i="3" s="1"/>
  <c r="O614" i="3"/>
  <c r="P614" i="3" s="1"/>
  <c r="Q614" i="3" s="1"/>
  <c r="O615" i="3"/>
  <c r="P615" i="3" s="1"/>
  <c r="Q615" i="3" s="1"/>
  <c r="O616" i="3"/>
  <c r="P616" i="3" s="1"/>
  <c r="Q616" i="3" s="1"/>
  <c r="O617" i="3"/>
  <c r="P617" i="3" s="1"/>
  <c r="Q617" i="3" s="1"/>
  <c r="O618" i="3"/>
  <c r="O619" i="3"/>
  <c r="P619" i="3" s="1"/>
  <c r="R619" i="3" s="1"/>
  <c r="O620" i="3"/>
  <c r="P620" i="3" s="1"/>
  <c r="Q620" i="3" s="1"/>
  <c r="O621" i="3"/>
  <c r="P621" i="3" s="1"/>
  <c r="Q621" i="3" s="1"/>
  <c r="O622" i="3"/>
  <c r="P622" i="3" s="1"/>
  <c r="Q622" i="3" s="1"/>
  <c r="O623" i="3"/>
  <c r="P623" i="3" s="1"/>
  <c r="Q623" i="3" s="1"/>
  <c r="O624" i="3"/>
  <c r="O625" i="3"/>
  <c r="P625" i="3" s="1"/>
  <c r="Q625" i="3" s="1"/>
  <c r="O626" i="3"/>
  <c r="P626" i="3" s="1"/>
  <c r="Q626" i="3" s="1"/>
  <c r="O627" i="3"/>
  <c r="O628" i="3"/>
  <c r="P628" i="3" s="1"/>
  <c r="Q628" i="3" s="1"/>
  <c r="O629" i="3"/>
  <c r="P629" i="3" s="1"/>
  <c r="Q629" i="3" s="1"/>
  <c r="O630" i="3"/>
  <c r="P630" i="3" s="1"/>
  <c r="Q630" i="3" s="1"/>
  <c r="O631" i="3"/>
  <c r="P631" i="3" s="1"/>
  <c r="Q631" i="3" s="1"/>
  <c r="O632" i="3"/>
  <c r="P632" i="3" s="1"/>
  <c r="Q632" i="3" s="1"/>
  <c r="O633" i="3"/>
  <c r="P633" i="3" s="1"/>
  <c r="Q633" i="3" s="1"/>
  <c r="O634" i="3"/>
  <c r="P634" i="3" s="1"/>
  <c r="Q634" i="3" s="1"/>
  <c r="O635" i="3"/>
  <c r="P635" i="3" s="1"/>
  <c r="Q635" i="3" s="1"/>
  <c r="O636" i="3"/>
  <c r="P636" i="3" s="1"/>
  <c r="Q636" i="3" s="1"/>
  <c r="O637" i="3"/>
  <c r="P637" i="3" s="1"/>
  <c r="Q637" i="3" s="1"/>
  <c r="O638" i="3"/>
  <c r="P638" i="3" s="1"/>
  <c r="Q638" i="3" s="1"/>
  <c r="O639" i="3"/>
  <c r="O640" i="3"/>
  <c r="P640" i="3" s="1"/>
  <c r="Q640" i="3" s="1"/>
  <c r="O641" i="3"/>
  <c r="P641" i="3" s="1"/>
  <c r="Q641" i="3" s="1"/>
  <c r="O642" i="3"/>
  <c r="O643" i="3"/>
  <c r="O644" i="3"/>
  <c r="P644" i="3" s="1"/>
  <c r="Q644" i="3" s="1"/>
  <c r="O645" i="3"/>
  <c r="P645" i="3" s="1"/>
  <c r="Q645" i="3" s="1"/>
  <c r="O646" i="3"/>
  <c r="O647" i="3"/>
  <c r="P647" i="3" s="1"/>
  <c r="Q647" i="3" s="1"/>
  <c r="O648" i="3"/>
  <c r="P648" i="3" s="1"/>
  <c r="Q648" i="3" s="1"/>
  <c r="O649" i="3"/>
  <c r="O650" i="3"/>
  <c r="P650" i="3" s="1"/>
  <c r="Q650" i="3" s="1"/>
  <c r="O651" i="3"/>
  <c r="P651" i="3" s="1"/>
  <c r="Q651" i="3" s="1"/>
  <c r="O652" i="3"/>
  <c r="P652" i="3" s="1"/>
  <c r="Q652" i="3" s="1"/>
  <c r="O653" i="3"/>
  <c r="O654" i="3"/>
  <c r="P654" i="3" s="1"/>
  <c r="Q654" i="3" s="1"/>
  <c r="O655" i="3"/>
  <c r="O656" i="3"/>
  <c r="P656" i="3" s="1"/>
  <c r="Q656" i="3" s="1"/>
  <c r="O657" i="3"/>
  <c r="P657" i="3" s="1"/>
  <c r="Q657" i="3" s="1"/>
  <c r="O658" i="3"/>
  <c r="P658" i="3" s="1"/>
  <c r="Q658" i="3" s="1"/>
  <c r="O659" i="3"/>
  <c r="P659" i="3" s="1"/>
  <c r="Q659" i="3" s="1"/>
  <c r="O660" i="3"/>
  <c r="P660" i="3" s="1"/>
  <c r="Q660" i="3" s="1"/>
  <c r="O661" i="3"/>
  <c r="P661" i="3" s="1"/>
  <c r="Q661" i="3" s="1"/>
  <c r="O662" i="3"/>
  <c r="O663" i="3"/>
  <c r="P663" i="3" s="1"/>
  <c r="Q663" i="3" s="1"/>
  <c r="O664" i="3"/>
  <c r="P664" i="3" s="1"/>
  <c r="Q664" i="3" s="1"/>
  <c r="O665" i="3"/>
  <c r="P665" i="3" s="1"/>
  <c r="Q665" i="3" s="1"/>
  <c r="O666" i="3"/>
  <c r="P666" i="3" s="1"/>
  <c r="Q666" i="3" s="1"/>
  <c r="O667" i="3"/>
  <c r="P667" i="3" s="1"/>
  <c r="Q667" i="3" s="1"/>
  <c r="O668" i="3"/>
  <c r="P668" i="3" s="1"/>
  <c r="Q668" i="3" s="1"/>
  <c r="O669" i="3"/>
  <c r="O670" i="3"/>
  <c r="P670" i="3" s="1"/>
  <c r="Q670" i="3" s="1"/>
  <c r="O671" i="3"/>
  <c r="P671" i="3" s="1"/>
  <c r="Q671" i="3" s="1"/>
  <c r="O672" i="3"/>
  <c r="O673" i="3"/>
  <c r="O674" i="3"/>
  <c r="P674" i="3" s="1"/>
  <c r="Q674" i="3" s="1"/>
  <c r="O675" i="3"/>
  <c r="O676" i="3"/>
  <c r="P676" i="3" s="1"/>
  <c r="Q676" i="3" s="1"/>
  <c r="O677" i="3"/>
  <c r="P677" i="3" s="1"/>
  <c r="Q677" i="3" s="1"/>
  <c r="O678" i="3"/>
  <c r="P678" i="3" s="1"/>
  <c r="Q678" i="3" s="1"/>
  <c r="O679" i="3"/>
  <c r="P679" i="3" s="1"/>
  <c r="Q679" i="3" s="1"/>
  <c r="O680" i="3"/>
  <c r="P680" i="3" s="1"/>
  <c r="Q680" i="3" s="1"/>
  <c r="O681" i="3"/>
  <c r="P681" i="3" s="1"/>
  <c r="Q681" i="3" s="1"/>
  <c r="O682" i="3"/>
  <c r="P682" i="3" s="1"/>
  <c r="Q682" i="3" s="1"/>
  <c r="O683" i="3"/>
  <c r="P683" i="3" s="1"/>
  <c r="Q683" i="3" s="1"/>
  <c r="O684" i="3"/>
  <c r="P684" i="3" s="1"/>
  <c r="Q684" i="3" s="1"/>
  <c r="O685" i="3"/>
  <c r="P685" i="3" s="1"/>
  <c r="Q685" i="3" s="1"/>
  <c r="O686" i="3"/>
  <c r="P686" i="3" s="1"/>
  <c r="Q686" i="3" s="1"/>
  <c r="O687" i="3"/>
  <c r="P687" i="3" s="1"/>
  <c r="Q687" i="3" s="1"/>
  <c r="O688" i="3"/>
  <c r="P688" i="3" s="1"/>
  <c r="Q688" i="3" s="1"/>
  <c r="O689" i="3"/>
  <c r="O690" i="3"/>
  <c r="P690" i="3" s="1"/>
  <c r="Q690" i="3" s="1"/>
  <c r="O691" i="3"/>
  <c r="P691" i="3" s="1"/>
  <c r="Q691" i="3" s="1"/>
  <c r="O692" i="3"/>
  <c r="P692" i="3" s="1"/>
  <c r="Q692" i="3" s="1"/>
  <c r="O693" i="3"/>
  <c r="P693" i="3" s="1"/>
  <c r="Q693" i="3" s="1"/>
  <c r="O694" i="3"/>
  <c r="O695" i="3"/>
  <c r="P695" i="3" s="1"/>
  <c r="Q695" i="3" s="1"/>
  <c r="O696" i="3"/>
  <c r="O697" i="3"/>
  <c r="P697" i="3" s="1"/>
  <c r="Q697" i="3" s="1"/>
  <c r="O698" i="3"/>
  <c r="O699" i="3"/>
  <c r="O700" i="3"/>
  <c r="P700" i="3" s="1"/>
  <c r="Q700" i="3" s="1"/>
  <c r="O701" i="3"/>
  <c r="P701" i="3" s="1"/>
  <c r="Q701" i="3" s="1"/>
  <c r="O702" i="3"/>
  <c r="P702" i="3" s="1"/>
  <c r="Q702" i="3" s="1"/>
  <c r="O703" i="3"/>
  <c r="P703" i="3" s="1"/>
  <c r="Q703" i="3" s="1"/>
  <c r="O704" i="3"/>
  <c r="P704" i="3" s="1"/>
  <c r="Q704" i="3" s="1"/>
  <c r="O705" i="3"/>
  <c r="O706" i="3"/>
  <c r="P706" i="3" s="1"/>
  <c r="Q706" i="3" s="1"/>
  <c r="O707" i="3"/>
  <c r="P707" i="3" s="1"/>
  <c r="Q707" i="3" s="1"/>
  <c r="O708" i="3"/>
  <c r="P708" i="3" s="1"/>
  <c r="Q708" i="3" s="1"/>
  <c r="O709" i="3"/>
  <c r="P709" i="3" s="1"/>
  <c r="Q709" i="3" s="1"/>
  <c r="O710" i="3"/>
  <c r="O711" i="3"/>
  <c r="O712" i="3"/>
  <c r="P712" i="3" s="1"/>
  <c r="Q712" i="3" s="1"/>
  <c r="O713" i="3"/>
  <c r="O714" i="3"/>
  <c r="P714" i="3" s="1"/>
  <c r="Q714" i="3" s="1"/>
  <c r="O715" i="3"/>
  <c r="O716" i="3"/>
  <c r="P716" i="3" s="1"/>
  <c r="Q716" i="3" s="1"/>
  <c r="O717" i="3"/>
  <c r="P717" i="3" s="1"/>
  <c r="Q717" i="3" s="1"/>
  <c r="O718" i="3"/>
  <c r="P718" i="3" s="1"/>
  <c r="Q718" i="3" s="1"/>
  <c r="O719" i="3"/>
  <c r="O720" i="3"/>
  <c r="O721" i="3"/>
  <c r="O722" i="3"/>
  <c r="P722" i="3" s="1"/>
  <c r="Q722" i="3" s="1"/>
  <c r="O723" i="3"/>
  <c r="P723" i="3" s="1"/>
  <c r="Q723" i="3" s="1"/>
  <c r="O724" i="3"/>
  <c r="P724" i="3" s="1"/>
  <c r="Q724" i="3" s="1"/>
  <c r="O725" i="3"/>
  <c r="P725" i="3" s="1"/>
  <c r="Q725" i="3" s="1"/>
  <c r="O726" i="3"/>
  <c r="P726" i="3" s="1"/>
  <c r="Q726" i="3" s="1"/>
  <c r="O727" i="3"/>
  <c r="O728" i="3"/>
  <c r="P728" i="3" s="1"/>
  <c r="Q728" i="3" s="1"/>
  <c r="O729" i="3"/>
  <c r="P729" i="3" s="1"/>
  <c r="Q729" i="3" s="1"/>
  <c r="O730" i="3"/>
  <c r="O731" i="3"/>
  <c r="P731" i="3" s="1"/>
  <c r="R731" i="3" s="1"/>
  <c r="O732" i="3"/>
  <c r="P732" i="3" s="1"/>
  <c r="Q732" i="3" s="1"/>
  <c r="O733" i="3"/>
  <c r="P733" i="3" s="1"/>
  <c r="Q733" i="3" s="1"/>
  <c r="O734" i="3"/>
  <c r="P734" i="3" s="1"/>
  <c r="Q734" i="3" s="1"/>
  <c r="O735" i="3"/>
  <c r="P735" i="3" s="1"/>
  <c r="Q735" i="3" s="1"/>
  <c r="O736" i="3"/>
  <c r="P736" i="3" s="1"/>
  <c r="Q736" i="3" s="1"/>
  <c r="O737" i="3"/>
  <c r="P737" i="3" s="1"/>
  <c r="Q737" i="3" s="1"/>
  <c r="O738" i="3"/>
  <c r="P738" i="3" s="1"/>
  <c r="Q738" i="3" s="1"/>
  <c r="O739" i="3"/>
  <c r="O740" i="3"/>
  <c r="O741" i="3"/>
  <c r="O742" i="3"/>
  <c r="O743" i="3"/>
  <c r="O744" i="3"/>
  <c r="O745" i="3"/>
  <c r="P745" i="3" s="1"/>
  <c r="Q745" i="3" s="1"/>
  <c r="O746" i="3"/>
  <c r="O747" i="3"/>
  <c r="P747" i="3" s="1"/>
  <c r="Q747" i="3" s="1"/>
  <c r="O748" i="3"/>
  <c r="P748" i="3" s="1"/>
  <c r="Q748" i="3" s="1"/>
  <c r="O749" i="3"/>
  <c r="P749" i="3" s="1"/>
  <c r="Q749" i="3" s="1"/>
  <c r="O750" i="3"/>
  <c r="P750" i="3" s="1"/>
  <c r="Q750" i="3" s="1"/>
  <c r="O751" i="3"/>
  <c r="P751" i="3" s="1"/>
  <c r="Q751" i="3" s="1"/>
  <c r="O752" i="3"/>
  <c r="O753" i="3"/>
  <c r="P753" i="3" s="1"/>
  <c r="Q753" i="3" s="1"/>
  <c r="O754" i="3"/>
  <c r="O755" i="3"/>
  <c r="P755" i="3" s="1"/>
  <c r="Q755" i="3" s="1"/>
  <c r="O756" i="3"/>
  <c r="O757" i="3"/>
  <c r="O758" i="3"/>
  <c r="P758" i="3" s="1"/>
  <c r="Q758" i="3" s="1"/>
  <c r="O759" i="3"/>
  <c r="P759" i="3" s="1"/>
  <c r="Q759" i="3" s="1"/>
  <c r="O760" i="3"/>
  <c r="O761" i="3"/>
  <c r="P761" i="3" s="1"/>
  <c r="Q761" i="3" s="1"/>
  <c r="O762" i="3"/>
  <c r="O763" i="3"/>
  <c r="O764" i="3"/>
  <c r="P764" i="3" s="1"/>
  <c r="Q764" i="3" s="1"/>
  <c r="O765" i="3"/>
  <c r="O766" i="3"/>
  <c r="O767" i="3"/>
  <c r="O768" i="3"/>
  <c r="O769" i="3"/>
  <c r="P769" i="3" s="1"/>
  <c r="Q769" i="3" s="1"/>
  <c r="O770" i="3"/>
  <c r="P770" i="3" s="1"/>
  <c r="Q770" i="3" s="1"/>
  <c r="O771" i="3"/>
  <c r="P771" i="3" s="1"/>
  <c r="Q771" i="3" s="1"/>
  <c r="O772" i="3"/>
  <c r="P772" i="3" s="1"/>
  <c r="Q772" i="3" s="1"/>
  <c r="O773" i="3"/>
  <c r="P773" i="3" s="1"/>
  <c r="Q773" i="3" s="1"/>
  <c r="O774" i="3"/>
  <c r="P774" i="3" s="1"/>
  <c r="Q774" i="3" s="1"/>
  <c r="O775" i="3"/>
  <c r="P775" i="3" s="1"/>
  <c r="Q775" i="3" s="1"/>
  <c r="O776" i="3"/>
  <c r="P776" i="3" s="1"/>
  <c r="Q776" i="3" s="1"/>
  <c r="O777" i="3"/>
  <c r="P777" i="3" s="1"/>
  <c r="Q777" i="3" s="1"/>
  <c r="O778" i="3"/>
  <c r="P778" i="3" s="1"/>
  <c r="Q778" i="3" s="1"/>
  <c r="O779" i="3"/>
  <c r="P779" i="3" s="1"/>
  <c r="Q779" i="3" s="1"/>
  <c r="O780" i="3"/>
  <c r="P780" i="3" s="1"/>
  <c r="Q780" i="3" s="1"/>
  <c r="O781" i="3"/>
  <c r="O782" i="3"/>
  <c r="P782" i="3" s="1"/>
  <c r="Q782" i="3" s="1"/>
  <c r="O783" i="3"/>
  <c r="O784" i="3"/>
  <c r="P784" i="3" s="1"/>
  <c r="Q784" i="3" s="1"/>
  <c r="O785" i="3"/>
  <c r="O786" i="3"/>
  <c r="O787" i="3"/>
  <c r="O788" i="3"/>
  <c r="P788" i="3" s="1"/>
  <c r="Q788" i="3" s="1"/>
  <c r="O789" i="3"/>
  <c r="O790" i="3"/>
  <c r="P790" i="3" s="1"/>
  <c r="Q790" i="3" s="1"/>
  <c r="O791" i="3"/>
  <c r="P791" i="3" s="1"/>
  <c r="Q791" i="3" s="1"/>
  <c r="O792" i="3"/>
  <c r="P792" i="3" s="1"/>
  <c r="Q792" i="3" s="1"/>
  <c r="O793" i="3"/>
  <c r="O794" i="3"/>
  <c r="P794" i="3" s="1"/>
  <c r="Q794" i="3" s="1"/>
  <c r="O795" i="3"/>
  <c r="O796" i="3"/>
  <c r="P796" i="3" s="1"/>
  <c r="Q796" i="3" s="1"/>
  <c r="O797" i="3"/>
  <c r="O798" i="3"/>
  <c r="P798" i="3" s="1"/>
  <c r="Q798" i="3" s="1"/>
  <c r="O799" i="3"/>
  <c r="P799" i="3" s="1"/>
  <c r="Q799" i="3" s="1"/>
  <c r="O800" i="3"/>
  <c r="P800" i="3" s="1"/>
  <c r="Q800" i="3" s="1"/>
  <c r="O801" i="3"/>
  <c r="P801" i="3" s="1"/>
  <c r="Q801" i="3" s="1"/>
  <c r="O2" i="3"/>
  <c r="R8" i="3"/>
  <c r="R16" i="3"/>
  <c r="R27" i="3"/>
  <c r="R91" i="3"/>
  <c r="R107" i="3"/>
  <c r="R123" i="3"/>
  <c r="R131" i="3"/>
  <c r="R171" i="3"/>
  <c r="R179" i="3"/>
  <c r="R187" i="3"/>
  <c r="R195" i="3"/>
  <c r="R200" i="3"/>
  <c r="R211" i="3"/>
  <c r="R219" i="3"/>
  <c r="R224" i="3"/>
  <c r="R232" i="3"/>
  <c r="R235" i="3"/>
  <c r="R240" i="3"/>
  <c r="R251" i="3"/>
  <c r="R256" i="3"/>
  <c r="R259" i="3"/>
  <c r="R267" i="3"/>
  <c r="R280" i="3"/>
  <c r="R283" i="3"/>
  <c r="R299" i="3"/>
  <c r="R307" i="3"/>
  <c r="R328" i="3"/>
  <c r="R331" i="3"/>
  <c r="R336" i="3"/>
  <c r="R339" i="3"/>
  <c r="R344" i="3"/>
  <c r="R347" i="3"/>
  <c r="R352" i="3"/>
  <c r="R360" i="3"/>
  <c r="R371" i="3"/>
  <c r="R395" i="3"/>
  <c r="R408" i="3"/>
  <c r="R411" i="3"/>
  <c r="R419" i="3"/>
  <c r="R432" i="3"/>
  <c r="R459" i="3"/>
  <c r="R475" i="3"/>
  <c r="R491" i="3"/>
  <c r="R499" i="3"/>
  <c r="R507" i="3"/>
  <c r="R531" i="3"/>
  <c r="R539" i="3"/>
  <c r="R547" i="3"/>
  <c r="R555" i="3"/>
  <c r="R571" i="3"/>
  <c r="R587" i="3"/>
  <c r="R611" i="3"/>
  <c r="R635" i="3"/>
  <c r="R683" i="3"/>
  <c r="R771" i="3"/>
  <c r="R9" i="3"/>
  <c r="R15" i="3"/>
  <c r="R17" i="3"/>
  <c r="R28" i="3"/>
  <c r="R29" i="3"/>
  <c r="R33" i="3"/>
  <c r="R36" i="3"/>
  <c r="R44" i="3"/>
  <c r="R48" i="3"/>
  <c r="R51" i="3"/>
  <c r="R53" i="3"/>
  <c r="R54" i="3"/>
  <c r="R62" i="3"/>
  <c r="R64" i="3"/>
  <c r="R65" i="3"/>
  <c r="R69" i="3"/>
  <c r="R72" i="3"/>
  <c r="R76" i="3"/>
  <c r="R79" i="3"/>
  <c r="R80" i="3"/>
  <c r="R81" i="3"/>
  <c r="R89" i="3"/>
  <c r="R96" i="3"/>
  <c r="R98" i="3"/>
  <c r="R100" i="3"/>
  <c r="R109" i="3"/>
  <c r="R110" i="3"/>
  <c r="R133" i="3"/>
  <c r="R137" i="3"/>
  <c r="R139" i="3"/>
  <c r="R140" i="3"/>
  <c r="R147" i="3"/>
  <c r="R153" i="3"/>
  <c r="R155" i="3"/>
  <c r="R161" i="3"/>
  <c r="R167" i="3"/>
  <c r="R170" i="3"/>
  <c r="R172" i="3"/>
  <c r="R177" i="3"/>
  <c r="R180" i="3"/>
  <c r="R183" i="3"/>
  <c r="R184" i="3"/>
  <c r="R188" i="3"/>
  <c r="R191" i="3"/>
  <c r="R193" i="3"/>
  <c r="R199" i="3"/>
  <c r="R203" i="3"/>
  <c r="R204" i="3"/>
  <c r="R207" i="3"/>
  <c r="R208" i="3"/>
  <c r="R209" i="3"/>
  <c r="R214" i="3"/>
  <c r="R228" i="3"/>
  <c r="R230" i="3"/>
  <c r="R233" i="3"/>
  <c r="R237" i="3"/>
  <c r="R239" i="3"/>
  <c r="R243" i="3"/>
  <c r="R248" i="3"/>
  <c r="R253" i="3"/>
  <c r="R254" i="3"/>
  <c r="R257" i="3"/>
  <c r="R262" i="3"/>
  <c r="R263" i="3"/>
  <c r="R264" i="3"/>
  <c r="R272" i="3"/>
  <c r="R277" i="3"/>
  <c r="R281" i="3"/>
  <c r="R288" i="3"/>
  <c r="R290" i="3"/>
  <c r="R292" i="3"/>
  <c r="R294" i="3"/>
  <c r="R296" i="3"/>
  <c r="R303" i="3"/>
  <c r="R304" i="3"/>
  <c r="R308" i="3"/>
  <c r="R313" i="3"/>
  <c r="R315" i="3"/>
  <c r="R316" i="3"/>
  <c r="R320" i="3"/>
  <c r="R327" i="3"/>
  <c r="R329" i="3"/>
  <c r="R333" i="3"/>
  <c r="R334" i="3"/>
  <c r="R337" i="3"/>
  <c r="R340" i="3"/>
  <c r="R342" i="3"/>
  <c r="R349" i="3"/>
  <c r="R351" i="3"/>
  <c r="R353" i="3"/>
  <c r="R355" i="3"/>
  <c r="R359" i="3"/>
  <c r="R364" i="3"/>
  <c r="R365" i="3"/>
  <c r="R372" i="3"/>
  <c r="R374" i="3"/>
  <c r="R376" i="3"/>
  <c r="R381" i="3"/>
  <c r="R385" i="3"/>
  <c r="R387" i="3"/>
  <c r="R393" i="3"/>
  <c r="R398" i="3"/>
  <c r="R400" i="3"/>
  <c r="R401" i="3"/>
  <c r="R407" i="3"/>
  <c r="R412" i="3"/>
  <c r="R416" i="3"/>
  <c r="R421" i="3"/>
  <c r="R427" i="3"/>
  <c r="R437" i="3"/>
  <c r="R441" i="3"/>
  <c r="R443" i="3"/>
  <c r="R445" i="3"/>
  <c r="R448" i="3"/>
  <c r="R451" i="3"/>
  <c r="R453" i="3"/>
  <c r="R455" i="3"/>
  <c r="R458" i="3"/>
  <c r="R460" i="3"/>
  <c r="R467" i="3"/>
  <c r="R473" i="3"/>
  <c r="R476" i="3"/>
  <c r="R477" i="3"/>
  <c r="R484" i="3"/>
  <c r="R485" i="3"/>
  <c r="R486" i="3"/>
  <c r="R492" i="3"/>
  <c r="R497" i="3"/>
  <c r="R504" i="3"/>
  <c r="R508" i="3"/>
  <c r="R524" i="3"/>
  <c r="R526" i="3"/>
  <c r="R532" i="3"/>
  <c r="R533" i="3"/>
  <c r="R536" i="3"/>
  <c r="R540" i="3"/>
  <c r="R541" i="3"/>
  <c r="R545" i="3"/>
  <c r="R551" i="3"/>
  <c r="R557" i="3"/>
  <c r="R559" i="3"/>
  <c r="R561" i="3"/>
  <c r="R563" i="3"/>
  <c r="R568" i="3"/>
  <c r="R572" i="3"/>
  <c r="R575" i="3"/>
  <c r="R579" i="3"/>
  <c r="R582" i="3"/>
  <c r="R583" i="3"/>
  <c r="R589" i="3"/>
  <c r="R590" i="3"/>
  <c r="R591" i="3"/>
  <c r="R592" i="3"/>
  <c r="R593" i="3"/>
  <c r="R595" i="3"/>
  <c r="R601" i="3"/>
  <c r="R603" i="3"/>
  <c r="R612" i="3"/>
  <c r="R624" i="3"/>
  <c r="R627" i="3"/>
  <c r="R639" i="3"/>
  <c r="R643" i="3"/>
  <c r="R646" i="3"/>
  <c r="R649" i="3"/>
  <c r="R653" i="3"/>
  <c r="R655" i="3"/>
  <c r="R662" i="3"/>
  <c r="R669" i="3"/>
  <c r="R673" i="3"/>
  <c r="R675" i="3"/>
  <c r="R689" i="3"/>
  <c r="R694" i="3"/>
  <c r="R696" i="3"/>
  <c r="R699" i="3"/>
  <c r="R710" i="3"/>
  <c r="R711" i="3"/>
  <c r="R713" i="3"/>
  <c r="R715" i="3"/>
  <c r="R719" i="3"/>
  <c r="R720" i="3"/>
  <c r="R721" i="3"/>
  <c r="R739" i="3"/>
  <c r="R740" i="3"/>
  <c r="R741" i="3"/>
  <c r="R742" i="3"/>
  <c r="R743" i="3"/>
  <c r="R744" i="3"/>
  <c r="R752" i="3"/>
  <c r="R754" i="3"/>
  <c r="R756" i="3"/>
  <c r="R757" i="3"/>
  <c r="R760" i="3"/>
  <c r="R763" i="3"/>
  <c r="R766" i="3"/>
  <c r="R767" i="3"/>
  <c r="R768" i="3"/>
  <c r="R781" i="3"/>
  <c r="R783" i="3"/>
  <c r="R785" i="3"/>
  <c r="R789" i="3"/>
  <c r="R793" i="3"/>
  <c r="R795" i="3"/>
  <c r="R797"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V3" i="11" l="1"/>
  <c r="V8" i="11" s="1"/>
  <c r="R667" i="3"/>
  <c r="R659" i="3"/>
  <c r="R779" i="3"/>
  <c r="R651" i="3"/>
  <c r="V8" i="10"/>
  <c r="R755" i="3"/>
  <c r="R747" i="3"/>
  <c r="R707" i="3"/>
  <c r="R464" i="3"/>
  <c r="R392" i="3"/>
  <c r="R456" i="3"/>
  <c r="R496" i="3"/>
  <c r="R424" i="3"/>
  <c r="R480" i="3"/>
  <c r="Q268" i="3"/>
  <c r="R268" i="3"/>
  <c r="Q244" i="3"/>
  <c r="R244" i="3"/>
  <c r="Q731" i="3"/>
  <c r="Q619" i="3"/>
  <c r="R515" i="3"/>
  <c r="R723" i="3"/>
  <c r="R510" i="3"/>
  <c r="R198" i="3"/>
  <c r="R7" i="3"/>
  <c r="R444" i="3"/>
  <c r="R350" i="3"/>
  <c r="R119" i="3"/>
  <c r="R343" i="3"/>
  <c r="R423" i="3"/>
  <c r="R63" i="3"/>
  <c r="R35" i="3"/>
  <c r="R189" i="3"/>
  <c r="R348" i="3"/>
  <c r="R325" i="3"/>
  <c r="R245" i="3"/>
  <c r="R220" i="3"/>
  <c r="R132" i="3"/>
  <c r="R158" i="3"/>
  <c r="R45" i="3"/>
  <c r="R588" i="3"/>
  <c r="R548" i="3"/>
  <c r="R278" i="3"/>
  <c r="R149" i="3"/>
  <c r="R573" i="3"/>
  <c r="R24" i="3"/>
  <c r="R406" i="3"/>
  <c r="R142" i="3"/>
  <c r="R502" i="3"/>
  <c r="R471" i="3"/>
  <c r="R605" i="3"/>
  <c r="R748" i="3"/>
  <c r="R676" i="3"/>
  <c r="R732" i="3"/>
  <c r="R135" i="3"/>
  <c r="R56" i="3"/>
  <c r="R702" i="3"/>
  <c r="R236" i="3"/>
  <c r="R125" i="3"/>
  <c r="R798" i="3"/>
  <c r="R652" i="3"/>
  <c r="R84" i="3"/>
  <c r="R97" i="3"/>
  <c r="R366" i="3"/>
  <c r="R356" i="3"/>
  <c r="R300" i="3"/>
  <c r="R163" i="3"/>
  <c r="R205" i="3"/>
  <c r="R287" i="3"/>
  <c r="R4" i="3"/>
  <c r="R389" i="3"/>
  <c r="R249" i="3"/>
  <c r="R462" i="3"/>
  <c r="R758" i="3"/>
  <c r="R500" i="3"/>
  <c r="R800" i="3"/>
  <c r="R799" i="3"/>
  <c r="R791" i="3"/>
  <c r="R775" i="3"/>
  <c r="R735" i="3"/>
  <c r="R695" i="3"/>
  <c r="R687" i="3"/>
  <c r="R679" i="3"/>
  <c r="R663" i="3"/>
  <c r="R647" i="3"/>
  <c r="R631" i="3"/>
  <c r="R615" i="3"/>
  <c r="R607" i="3"/>
  <c r="R599" i="3"/>
  <c r="R543" i="3"/>
  <c r="R527" i="3"/>
  <c r="R519" i="3"/>
  <c r="R503" i="3"/>
  <c r="R399" i="3"/>
  <c r="R391" i="3"/>
  <c r="R375" i="3"/>
  <c r="R367" i="3"/>
  <c r="R335" i="3"/>
  <c r="R295" i="3"/>
  <c r="R271" i="3"/>
  <c r="R745" i="3"/>
  <c r="R691" i="3"/>
  <c r="R564" i="3"/>
  <c r="R433" i="3"/>
  <c r="R289" i="3"/>
  <c r="R129" i="3"/>
  <c r="R25" i="3"/>
  <c r="R529" i="3"/>
  <c r="R790" i="3"/>
  <c r="R678" i="3"/>
  <c r="R598" i="3"/>
  <c r="R597" i="3"/>
  <c r="R733" i="3"/>
  <c r="R725" i="3"/>
  <c r="R717" i="3"/>
  <c r="R709" i="3"/>
  <c r="R701" i="3"/>
  <c r="R693" i="3"/>
  <c r="R685" i="3"/>
  <c r="R661" i="3"/>
  <c r="R645" i="3"/>
  <c r="R637" i="3"/>
  <c r="R629" i="3"/>
  <c r="R621" i="3"/>
  <c r="R613" i="3"/>
  <c r="R549" i="3"/>
  <c r="R633" i="3"/>
  <c r="R585" i="3"/>
  <c r="R537" i="3"/>
  <c r="R521" i="3"/>
  <c r="R449" i="3"/>
  <c r="R734" i="3"/>
  <c r="R654" i="3"/>
  <c r="R577" i="3"/>
  <c r="R772" i="3"/>
  <c r="R724" i="3"/>
  <c r="R692" i="3"/>
  <c r="R644" i="3"/>
  <c r="R628" i="3"/>
  <c r="R620" i="3"/>
  <c r="R604" i="3"/>
  <c r="R700" i="3"/>
  <c r="R501" i="3"/>
  <c r="R487" i="3"/>
  <c r="R463" i="3"/>
  <c r="R452" i="3"/>
  <c r="R229" i="3"/>
  <c r="R216" i="3"/>
  <c r="R197" i="3"/>
  <c r="R175" i="3"/>
  <c r="R165" i="3"/>
  <c r="R156" i="3"/>
  <c r="R127" i="3"/>
  <c r="R117" i="3"/>
  <c r="R108" i="3"/>
  <c r="R70" i="3"/>
  <c r="R61" i="3"/>
  <c r="R52" i="3"/>
  <c r="R43" i="3"/>
  <c r="R23" i="3"/>
  <c r="R14" i="3"/>
  <c r="R6" i="3"/>
  <c r="R780" i="3"/>
  <c r="R606" i="3"/>
  <c r="R310" i="3"/>
  <c r="R801" i="3"/>
  <c r="R769" i="3"/>
  <c r="R729" i="3"/>
  <c r="R617" i="3"/>
  <c r="R677" i="3"/>
  <c r="R668" i="3"/>
  <c r="R630" i="3"/>
  <c r="R513" i="3"/>
  <c r="R665" i="3"/>
  <c r="R794" i="3"/>
  <c r="R778" i="3"/>
  <c r="R770" i="3"/>
  <c r="R738" i="3"/>
  <c r="R722" i="3"/>
  <c r="R714" i="3"/>
  <c r="R706" i="3"/>
  <c r="R690" i="3"/>
  <c r="R682" i="3"/>
  <c r="R674" i="3"/>
  <c r="R666" i="3"/>
  <c r="R658" i="3"/>
  <c r="R538" i="3"/>
  <c r="R258" i="3"/>
  <c r="R162" i="3"/>
  <c r="R90" i="3"/>
  <c r="R42" i="3"/>
  <c r="R759" i="3"/>
  <c r="R749" i="3"/>
  <c r="R726" i="3"/>
  <c r="R716" i="3"/>
  <c r="R703" i="3"/>
  <c r="R684" i="3"/>
  <c r="R671" i="3"/>
  <c r="R660" i="3"/>
  <c r="R636" i="3"/>
  <c r="R567" i="3"/>
  <c r="R556" i="3"/>
  <c r="R518" i="3"/>
  <c r="R493" i="3"/>
  <c r="R469" i="3"/>
  <c r="R425" i="3"/>
  <c r="R302" i="3"/>
  <c r="R270" i="3"/>
  <c r="R246" i="3"/>
  <c r="R221" i="3"/>
  <c r="R190" i="3"/>
  <c r="R168" i="3"/>
  <c r="R159" i="3"/>
  <c r="R150" i="3"/>
  <c r="R141" i="3"/>
  <c r="R120" i="3"/>
  <c r="R111" i="3"/>
  <c r="R101" i="3"/>
  <c r="R92" i="3"/>
  <c r="R46" i="3"/>
  <c r="R777" i="3"/>
  <c r="R465" i="3"/>
  <c r="R321" i="3"/>
  <c r="R217" i="3"/>
  <c r="R57" i="3"/>
  <c r="R737" i="3"/>
  <c r="R553" i="3"/>
  <c r="R82" i="3"/>
  <c r="R581" i="3"/>
  <c r="R116" i="3"/>
  <c r="R40" i="3"/>
  <c r="R782" i="3"/>
  <c r="R736" i="3"/>
  <c r="R670" i="3"/>
  <c r="R656" i="3"/>
  <c r="R632" i="3"/>
  <c r="R609" i="3"/>
  <c r="R566" i="3"/>
  <c r="R528" i="3"/>
  <c r="R517" i="3"/>
  <c r="R478" i="3"/>
  <c r="R468" i="3"/>
  <c r="R436" i="3"/>
  <c r="R380" i="3"/>
  <c r="R368" i="3"/>
  <c r="R358" i="3"/>
  <c r="R324" i="3"/>
  <c r="R291" i="3"/>
  <c r="R279" i="3"/>
  <c r="R269" i="3"/>
  <c r="R255" i="3"/>
  <c r="R681" i="3"/>
  <c r="R457" i="3"/>
  <c r="R305" i="3"/>
  <c r="R185" i="3"/>
  <c r="R49" i="3"/>
  <c r="R66" i="3"/>
  <c r="R596" i="3"/>
  <c r="R430" i="3"/>
  <c r="R301" i="3"/>
  <c r="R238" i="3"/>
  <c r="R552" i="3"/>
  <c r="R542" i="3"/>
  <c r="R516" i="3"/>
  <c r="R488" i="3"/>
  <c r="R435" i="3"/>
  <c r="R422" i="3"/>
  <c r="R388" i="3"/>
  <c r="R379" i="3"/>
  <c r="R357" i="3"/>
  <c r="R312" i="3"/>
  <c r="R176" i="3"/>
  <c r="R166" i="3"/>
  <c r="R157" i="3"/>
  <c r="R148" i="3"/>
  <c r="R128" i="3"/>
  <c r="R118" i="3"/>
  <c r="R99" i="3"/>
  <c r="R71" i="3"/>
  <c r="R297" i="3"/>
  <c r="R169" i="3"/>
  <c r="R41" i="3"/>
  <c r="R634" i="3"/>
  <c r="R610" i="3"/>
  <c r="R562" i="3"/>
  <c r="R514" i="3"/>
  <c r="R490" i="3"/>
  <c r="R466" i="3"/>
  <c r="R418" i="3"/>
  <c r="R394" i="3"/>
  <c r="R330" i="3"/>
  <c r="R306" i="3"/>
  <c r="R282" i="3"/>
  <c r="R242" i="3"/>
  <c r="R202" i="3"/>
  <c r="R194" i="3"/>
  <c r="R186" i="3"/>
  <c r="R130" i="3"/>
  <c r="R114" i="3"/>
  <c r="R26" i="3"/>
  <c r="R650" i="3"/>
  <c r="R626" i="3"/>
  <c r="R602" i="3"/>
  <c r="R570" i="3"/>
  <c r="R546" i="3"/>
  <c r="R522" i="3"/>
  <c r="R498" i="3"/>
  <c r="R474" i="3"/>
  <c r="R450" i="3"/>
  <c r="R426" i="3"/>
  <c r="R370" i="3"/>
  <c r="R346" i="3"/>
  <c r="R322" i="3"/>
  <c r="R274" i="3"/>
  <c r="R234" i="3"/>
  <c r="R413" i="3"/>
  <c r="R761" i="3"/>
  <c r="R697" i="3"/>
  <c r="R641" i="3"/>
  <c r="R481" i="3"/>
  <c r="R369" i="3"/>
  <c r="R530" i="3"/>
  <c r="R506" i="3"/>
  <c r="R482" i="3"/>
  <c r="R410" i="3"/>
  <c r="R386" i="3"/>
  <c r="R338" i="3"/>
  <c r="R314" i="3"/>
  <c r="R266" i="3"/>
  <c r="R226" i="3"/>
  <c r="R535" i="3"/>
  <c r="R143" i="3"/>
  <c r="R764" i="3"/>
  <c r="R664" i="3"/>
  <c r="R616" i="3"/>
  <c r="R550" i="3"/>
  <c r="R525" i="3"/>
  <c r="R512" i="3"/>
  <c r="R420" i="3"/>
  <c r="R405" i="3"/>
  <c r="R397" i="3"/>
  <c r="R332" i="3"/>
  <c r="R319" i="3"/>
  <c r="R309" i="3"/>
  <c r="R276" i="3"/>
  <c r="R252" i="3"/>
  <c r="R241" i="3"/>
  <c r="R215" i="3"/>
  <c r="R206" i="3"/>
  <c r="R196" i="3"/>
  <c r="R174" i="3"/>
  <c r="R164" i="3"/>
  <c r="R145" i="3"/>
  <c r="R126" i="3"/>
  <c r="R87" i="3"/>
  <c r="R78" i="3"/>
  <c r="R60" i="3"/>
  <c r="R32" i="3"/>
  <c r="R22" i="3"/>
  <c r="R13" i="3"/>
  <c r="R5" i="3"/>
  <c r="R569" i="3"/>
  <c r="R417" i="3"/>
  <c r="R273" i="3"/>
  <c r="R121" i="3"/>
  <c r="R3" i="3"/>
  <c r="R657" i="3"/>
  <c r="R796" i="3"/>
  <c r="R580" i="3"/>
  <c r="R85" i="3"/>
  <c r="R774" i="3"/>
  <c r="R472" i="3"/>
  <c r="R461" i="3"/>
  <c r="R440" i="3"/>
  <c r="R429" i="3"/>
  <c r="R404" i="3"/>
  <c r="R396" i="3"/>
  <c r="R384" i="3"/>
  <c r="R318" i="3"/>
  <c r="R286" i="3"/>
  <c r="R227" i="3"/>
  <c r="R182" i="3"/>
  <c r="R173" i="3"/>
  <c r="R144" i="3"/>
  <c r="R136" i="3"/>
  <c r="R115" i="3"/>
  <c r="R104" i="3"/>
  <c r="R95" i="3"/>
  <c r="R86" i="3"/>
  <c r="R77" i="3"/>
  <c r="R59" i="3"/>
  <c r="R39" i="3"/>
  <c r="R31" i="3"/>
  <c r="R21" i="3"/>
  <c r="R12" i="3"/>
  <c r="R409" i="3"/>
  <c r="R265" i="3"/>
  <c r="R105" i="3"/>
  <c r="R792" i="3"/>
  <c r="R784" i="3"/>
  <c r="R776" i="3"/>
  <c r="R728" i="3"/>
  <c r="R712" i="3"/>
  <c r="R704" i="3"/>
  <c r="R688" i="3"/>
  <c r="R680" i="3"/>
  <c r="R648" i="3"/>
  <c r="R640" i="3"/>
  <c r="R608" i="3"/>
  <c r="R584" i="3"/>
  <c r="R576" i="3"/>
  <c r="R560" i="3"/>
  <c r="R520" i="3"/>
  <c r="R623" i="3"/>
  <c r="R773" i="3"/>
  <c r="R751" i="3"/>
  <c r="R708" i="3"/>
  <c r="R638" i="3"/>
  <c r="R523" i="3"/>
  <c r="R447" i="3"/>
  <c r="R428" i="3"/>
  <c r="R317" i="3"/>
  <c r="R285" i="3"/>
  <c r="R261" i="3"/>
  <c r="R181" i="3"/>
  <c r="R505" i="3"/>
  <c r="R625" i="3"/>
  <c r="R431" i="3"/>
  <c r="R311" i="3"/>
  <c r="R231" i="3"/>
  <c r="R718" i="3"/>
  <c r="R534" i="3"/>
  <c r="R495" i="3"/>
  <c r="R415" i="3"/>
  <c r="R341" i="3"/>
  <c r="R223" i="3"/>
  <c r="R213" i="3"/>
  <c r="R192" i="3"/>
  <c r="R152" i="3"/>
  <c r="R124" i="3"/>
  <c r="R103" i="3"/>
  <c r="R94" i="3"/>
  <c r="R67" i="3"/>
  <c r="R38" i="3"/>
  <c r="R30" i="3"/>
  <c r="R11" i="3"/>
  <c r="R154" i="3"/>
  <c r="R377" i="3"/>
  <c r="R753" i="3"/>
  <c r="R146" i="3"/>
  <c r="R788" i="3"/>
  <c r="R686" i="3"/>
  <c r="R614" i="3"/>
  <c r="R574" i="3"/>
  <c r="R511" i="3"/>
  <c r="R390" i="3"/>
  <c r="R83" i="3"/>
  <c r="R55" i="3"/>
  <c r="R750" i="3"/>
  <c r="R494" i="3"/>
  <c r="R483" i="3"/>
  <c r="R470" i="3"/>
  <c r="R446" i="3"/>
  <c r="R438" i="3"/>
  <c r="R414" i="3"/>
  <c r="R382" i="3"/>
  <c r="R373" i="3"/>
  <c r="R326" i="3"/>
  <c r="R293" i="3"/>
  <c r="R284" i="3"/>
  <c r="R260" i="3"/>
  <c r="R247" i="3"/>
  <c r="R222" i="3"/>
  <c r="R212" i="3"/>
  <c r="R160" i="3"/>
  <c r="R134" i="3"/>
  <c r="R112" i="3"/>
  <c r="R102" i="3"/>
  <c r="R93" i="3"/>
  <c r="R75" i="3"/>
  <c r="R47" i="3"/>
  <c r="R37" i="3"/>
  <c r="R19" i="3"/>
  <c r="R18" i="3"/>
  <c r="R489" i="3"/>
  <c r="R361" i="3"/>
  <c r="R225" i="3"/>
  <c r="R73" i="3"/>
  <c r="R622" i="3"/>
  <c r="R558" i="3"/>
  <c r="R2" i="3" l="1"/>
</calcChain>
</file>

<file path=xl/sharedStrings.xml><?xml version="1.0" encoding="utf-8"?>
<sst xmlns="http://schemas.openxmlformats.org/spreadsheetml/2006/main" count="12151" uniqueCount="899">
  <si>
    <t>APID</t>
  </si>
  <si>
    <t>Vendor</t>
  </si>
  <si>
    <t>InvoiceDate</t>
  </si>
  <si>
    <t>DueDate</t>
  </si>
  <si>
    <t>Amount</t>
  </si>
  <si>
    <t>Currency</t>
  </si>
  <si>
    <t>Status</t>
  </si>
  <si>
    <t>PaidDate</t>
  </si>
  <si>
    <t>Terms</t>
  </si>
  <si>
    <t>AP10000</t>
  </si>
  <si>
    <t>AP10001</t>
  </si>
  <si>
    <t>AP10002</t>
  </si>
  <si>
    <t>AP10003</t>
  </si>
  <si>
    <t>AP10004</t>
  </si>
  <si>
    <t>AP10005</t>
  </si>
  <si>
    <t>AP10006</t>
  </si>
  <si>
    <t>AP10007</t>
  </si>
  <si>
    <t>AP10008</t>
  </si>
  <si>
    <t>AP10009</t>
  </si>
  <si>
    <t>AP10010</t>
  </si>
  <si>
    <t>AP10011</t>
  </si>
  <si>
    <t>AP10012</t>
  </si>
  <si>
    <t>AP10013</t>
  </si>
  <si>
    <t>AP10014</t>
  </si>
  <si>
    <t>AP10015</t>
  </si>
  <si>
    <t>AP10016</t>
  </si>
  <si>
    <t>AP10017</t>
  </si>
  <si>
    <t>AP10018</t>
  </si>
  <si>
    <t>AP10019</t>
  </si>
  <si>
    <t>AP10020</t>
  </si>
  <si>
    <t>AP10021</t>
  </si>
  <si>
    <t>AP10022</t>
  </si>
  <si>
    <t>AP10023</t>
  </si>
  <si>
    <t>AP10024</t>
  </si>
  <si>
    <t>AP10025</t>
  </si>
  <si>
    <t>AP10026</t>
  </si>
  <si>
    <t>AP10027</t>
  </si>
  <si>
    <t>AP10028</t>
  </si>
  <si>
    <t>AP10029</t>
  </si>
  <si>
    <t>AP10030</t>
  </si>
  <si>
    <t>AP10031</t>
  </si>
  <si>
    <t>AP10032</t>
  </si>
  <si>
    <t>AP10033</t>
  </si>
  <si>
    <t>AP10034</t>
  </si>
  <si>
    <t>AP10035</t>
  </si>
  <si>
    <t>AP10036</t>
  </si>
  <si>
    <t>AP10037</t>
  </si>
  <si>
    <t>AP10038</t>
  </si>
  <si>
    <t>AP10039</t>
  </si>
  <si>
    <t>AP10040</t>
  </si>
  <si>
    <t>AP10041</t>
  </si>
  <si>
    <t>AP10042</t>
  </si>
  <si>
    <t>AP10043</t>
  </si>
  <si>
    <t>AP10044</t>
  </si>
  <si>
    <t>AP10045</t>
  </si>
  <si>
    <t>AP10046</t>
  </si>
  <si>
    <t>AP10047</t>
  </si>
  <si>
    <t>AP10048</t>
  </si>
  <si>
    <t>AP10049</t>
  </si>
  <si>
    <t>AP10050</t>
  </si>
  <si>
    <t>AP10051</t>
  </si>
  <si>
    <t>AP10052</t>
  </si>
  <si>
    <t>AP10053</t>
  </si>
  <si>
    <t>AP10054</t>
  </si>
  <si>
    <t>AP10055</t>
  </si>
  <si>
    <t>AP10056</t>
  </si>
  <si>
    <t>AP10057</t>
  </si>
  <si>
    <t>AP10058</t>
  </si>
  <si>
    <t>AP10059</t>
  </si>
  <si>
    <t>AP10060</t>
  </si>
  <si>
    <t>AP10061</t>
  </si>
  <si>
    <t>AP10062</t>
  </si>
  <si>
    <t>AP10063</t>
  </si>
  <si>
    <t>AP10064</t>
  </si>
  <si>
    <t>AP10065</t>
  </si>
  <si>
    <t>AP10066</t>
  </si>
  <si>
    <t>AP10067</t>
  </si>
  <si>
    <t>AP10068</t>
  </si>
  <si>
    <t>AP10069</t>
  </si>
  <si>
    <t>AP10070</t>
  </si>
  <si>
    <t>AP10071</t>
  </si>
  <si>
    <t>AP10072</t>
  </si>
  <si>
    <t>AP10073</t>
  </si>
  <si>
    <t>AP10074</t>
  </si>
  <si>
    <t>AP10075</t>
  </si>
  <si>
    <t>AP10076</t>
  </si>
  <si>
    <t>AP10077</t>
  </si>
  <si>
    <t>AP10078</t>
  </si>
  <si>
    <t>AP10079</t>
  </si>
  <si>
    <t>AP10080</t>
  </si>
  <si>
    <t>AP10081</t>
  </si>
  <si>
    <t>AP10082</t>
  </si>
  <si>
    <t>AP10083</t>
  </si>
  <si>
    <t>AP10084</t>
  </si>
  <si>
    <t>AP10085</t>
  </si>
  <si>
    <t>AP10086</t>
  </si>
  <si>
    <t>AP10087</t>
  </si>
  <si>
    <t>AP10088</t>
  </si>
  <si>
    <t>AP10089</t>
  </si>
  <si>
    <t>AP10090</t>
  </si>
  <si>
    <t>AP10091</t>
  </si>
  <si>
    <t>AP10092</t>
  </si>
  <si>
    <t>AP10093</t>
  </si>
  <si>
    <t>AP10094</t>
  </si>
  <si>
    <t>AP10095</t>
  </si>
  <si>
    <t>AP10096</t>
  </si>
  <si>
    <t>AP10097</t>
  </si>
  <si>
    <t>AP10098</t>
  </si>
  <si>
    <t>AP10099</t>
  </si>
  <si>
    <t>AP10100</t>
  </si>
  <si>
    <t>AP10101</t>
  </si>
  <si>
    <t>AP10102</t>
  </si>
  <si>
    <t>AP10103</t>
  </si>
  <si>
    <t>AP10104</t>
  </si>
  <si>
    <t>AP10105</t>
  </si>
  <si>
    <t>AP10106</t>
  </si>
  <si>
    <t>AP10107</t>
  </si>
  <si>
    <t>AP10108</t>
  </si>
  <si>
    <t>AP10109</t>
  </si>
  <si>
    <t>AP10110</t>
  </si>
  <si>
    <t>AP10111</t>
  </si>
  <si>
    <t>AP10112</t>
  </si>
  <si>
    <t>AP10113</t>
  </si>
  <si>
    <t>AP10114</t>
  </si>
  <si>
    <t>AP10115</t>
  </si>
  <si>
    <t>AP10116</t>
  </si>
  <si>
    <t>AP10117</t>
  </si>
  <si>
    <t>AP10118</t>
  </si>
  <si>
    <t>AP10119</t>
  </si>
  <si>
    <t>AP10120</t>
  </si>
  <si>
    <t>AP10121</t>
  </si>
  <si>
    <t>AP10122</t>
  </si>
  <si>
    <t>AP10123</t>
  </si>
  <si>
    <t>AP10124</t>
  </si>
  <si>
    <t>AP10125</t>
  </si>
  <si>
    <t>AP10126</t>
  </si>
  <si>
    <t>AP10127</t>
  </si>
  <si>
    <t>AP10128</t>
  </si>
  <si>
    <t>AP10129</t>
  </si>
  <si>
    <t>AP10130</t>
  </si>
  <si>
    <t>AP10131</t>
  </si>
  <si>
    <t>AP10132</t>
  </si>
  <si>
    <t>AP10133</t>
  </si>
  <si>
    <t>AP10134</t>
  </si>
  <si>
    <t>AP10135</t>
  </si>
  <si>
    <t>AP10136</t>
  </si>
  <si>
    <t>AP10137</t>
  </si>
  <si>
    <t>AP10138</t>
  </si>
  <si>
    <t>AP10139</t>
  </si>
  <si>
    <t>AP10140</t>
  </si>
  <si>
    <t>AP10141</t>
  </si>
  <si>
    <t>AP10142</t>
  </si>
  <si>
    <t>AP10143</t>
  </si>
  <si>
    <t>AP10144</t>
  </si>
  <si>
    <t>AP10145</t>
  </si>
  <si>
    <t>AP10146</t>
  </si>
  <si>
    <t>AP10147</t>
  </si>
  <si>
    <t>AP10148</t>
  </si>
  <si>
    <t>AP10149</t>
  </si>
  <si>
    <t>AP10150</t>
  </si>
  <si>
    <t>AP10151</t>
  </si>
  <si>
    <t>AP10152</t>
  </si>
  <si>
    <t>AP10153</t>
  </si>
  <si>
    <t>AP10154</t>
  </si>
  <si>
    <t>AP10155</t>
  </si>
  <si>
    <t>AP10156</t>
  </si>
  <si>
    <t>AP10157</t>
  </si>
  <si>
    <t>AP10158</t>
  </si>
  <si>
    <t>AP10159</t>
  </si>
  <si>
    <t>AP10160</t>
  </si>
  <si>
    <t>AP10161</t>
  </si>
  <si>
    <t>AP10162</t>
  </si>
  <si>
    <t>AP10163</t>
  </si>
  <si>
    <t>AP10164</t>
  </si>
  <si>
    <t>AP10165</t>
  </si>
  <si>
    <t>AP10166</t>
  </si>
  <si>
    <t>AP10167</t>
  </si>
  <si>
    <t>AP10168</t>
  </si>
  <si>
    <t>AP10169</t>
  </si>
  <si>
    <t>AP10170</t>
  </si>
  <si>
    <t>AP10171</t>
  </si>
  <si>
    <t>AP10172</t>
  </si>
  <si>
    <t>AP10173</t>
  </si>
  <si>
    <t>AP10174</t>
  </si>
  <si>
    <t>AP10175</t>
  </si>
  <si>
    <t>AP10176</t>
  </si>
  <si>
    <t>AP10177</t>
  </si>
  <si>
    <t>AP10178</t>
  </si>
  <si>
    <t>AP10179</t>
  </si>
  <si>
    <t>AP10180</t>
  </si>
  <si>
    <t>AP10181</t>
  </si>
  <si>
    <t>AP10182</t>
  </si>
  <si>
    <t>AP10183</t>
  </si>
  <si>
    <t>AP10184</t>
  </si>
  <si>
    <t>AP10185</t>
  </si>
  <si>
    <t>AP10186</t>
  </si>
  <si>
    <t>AP10187</t>
  </si>
  <si>
    <t>AP10188</t>
  </si>
  <si>
    <t>AP10189</t>
  </si>
  <si>
    <t>AP10190</t>
  </si>
  <si>
    <t>AP10191</t>
  </si>
  <si>
    <t>AP10192</t>
  </si>
  <si>
    <t>AP10193</t>
  </si>
  <si>
    <t>AP10194</t>
  </si>
  <si>
    <t>AP10195</t>
  </si>
  <si>
    <t>AP10196</t>
  </si>
  <si>
    <t>AP10197</t>
  </si>
  <si>
    <t>AP10198</t>
  </si>
  <si>
    <t>AP10199</t>
  </si>
  <si>
    <t>AP10200</t>
  </si>
  <si>
    <t>AP10201</t>
  </si>
  <si>
    <t>AP10202</t>
  </si>
  <si>
    <t>AP10203</t>
  </si>
  <si>
    <t>AP10204</t>
  </si>
  <si>
    <t>AP10205</t>
  </si>
  <si>
    <t>AP10206</t>
  </si>
  <si>
    <t>AP10207</t>
  </si>
  <si>
    <t>AP10208</t>
  </si>
  <si>
    <t>AP10209</t>
  </si>
  <si>
    <t>AP10210</t>
  </si>
  <si>
    <t>AP10211</t>
  </si>
  <si>
    <t>AP10212</t>
  </si>
  <si>
    <t>AP10213</t>
  </si>
  <si>
    <t>AP10214</t>
  </si>
  <si>
    <t>AP10215</t>
  </si>
  <si>
    <t>AP10216</t>
  </si>
  <si>
    <t>AP10217</t>
  </si>
  <si>
    <t>AP10218</t>
  </si>
  <si>
    <t>AP10219</t>
  </si>
  <si>
    <t>AP10220</t>
  </si>
  <si>
    <t>AP10221</t>
  </si>
  <si>
    <t>AP10222</t>
  </si>
  <si>
    <t>AP10223</t>
  </si>
  <si>
    <t>AP10224</t>
  </si>
  <si>
    <t>AP10225</t>
  </si>
  <si>
    <t>AP10226</t>
  </si>
  <si>
    <t>AP10227</t>
  </si>
  <si>
    <t>AP10228</t>
  </si>
  <si>
    <t>AP10229</t>
  </si>
  <si>
    <t>AP10230</t>
  </si>
  <si>
    <t>AP10231</t>
  </si>
  <si>
    <t>AP10232</t>
  </si>
  <si>
    <t>AP10233</t>
  </si>
  <si>
    <t>AP10234</t>
  </si>
  <si>
    <t>AP10235</t>
  </si>
  <si>
    <t>AP10236</t>
  </si>
  <si>
    <t>AP10237</t>
  </si>
  <si>
    <t>AP10238</t>
  </si>
  <si>
    <t>AP10239</t>
  </si>
  <si>
    <t>AP10240</t>
  </si>
  <si>
    <t>AP10241</t>
  </si>
  <si>
    <t>AP10242</t>
  </si>
  <si>
    <t>AP10243</t>
  </si>
  <si>
    <t>AP10244</t>
  </si>
  <si>
    <t>AP10245</t>
  </si>
  <si>
    <t>AP10246</t>
  </si>
  <si>
    <t>AP10247</t>
  </si>
  <si>
    <t>AP10248</t>
  </si>
  <si>
    <t>AP10249</t>
  </si>
  <si>
    <t>AP10250</t>
  </si>
  <si>
    <t>AP10251</t>
  </si>
  <si>
    <t>AP10252</t>
  </si>
  <si>
    <t>AP10253</t>
  </si>
  <si>
    <t>AP10254</t>
  </si>
  <si>
    <t>AP10255</t>
  </si>
  <si>
    <t>AP10256</t>
  </si>
  <si>
    <t>AP10257</t>
  </si>
  <si>
    <t>AP10258</t>
  </si>
  <si>
    <t>AP10259</t>
  </si>
  <si>
    <t>AP10260</t>
  </si>
  <si>
    <t>AP10261</t>
  </si>
  <si>
    <t>AP10262</t>
  </si>
  <si>
    <t>AP10263</t>
  </si>
  <si>
    <t>AP10264</t>
  </si>
  <si>
    <t>AP10265</t>
  </si>
  <si>
    <t>AP10266</t>
  </si>
  <si>
    <t>AP10267</t>
  </si>
  <si>
    <t>AP10268</t>
  </si>
  <si>
    <t>AP10269</t>
  </si>
  <si>
    <t>AP10270</t>
  </si>
  <si>
    <t>AP10271</t>
  </si>
  <si>
    <t>AP10272</t>
  </si>
  <si>
    <t>AP10273</t>
  </si>
  <si>
    <t>AP10274</t>
  </si>
  <si>
    <t>AP10275</t>
  </si>
  <si>
    <t>AP10276</t>
  </si>
  <si>
    <t>AP10277</t>
  </si>
  <si>
    <t>AP10278</t>
  </si>
  <si>
    <t>AP10279</t>
  </si>
  <si>
    <t>AP10280</t>
  </si>
  <si>
    <t>AP10281</t>
  </si>
  <si>
    <t>AP10282</t>
  </si>
  <si>
    <t>AP10283</t>
  </si>
  <si>
    <t>AP10284</t>
  </si>
  <si>
    <t>AP10285</t>
  </si>
  <si>
    <t>AP10286</t>
  </si>
  <si>
    <t>AP10287</t>
  </si>
  <si>
    <t>AP10288</t>
  </si>
  <si>
    <t>AP10289</t>
  </si>
  <si>
    <t>AP10290</t>
  </si>
  <si>
    <t>AP10291</t>
  </si>
  <si>
    <t>AP10292</t>
  </si>
  <si>
    <t>AP10293</t>
  </si>
  <si>
    <t>AP10294</t>
  </si>
  <si>
    <t>AP10295</t>
  </si>
  <si>
    <t>AP10296</t>
  </si>
  <si>
    <t>AP10297</t>
  </si>
  <si>
    <t>AP10298</t>
  </si>
  <si>
    <t>AP10299</t>
  </si>
  <si>
    <t>AP10300</t>
  </si>
  <si>
    <t>AP10301</t>
  </si>
  <si>
    <t>AP10302</t>
  </si>
  <si>
    <t>AP10303</t>
  </si>
  <si>
    <t>AP10304</t>
  </si>
  <si>
    <t>AP10305</t>
  </si>
  <si>
    <t>AP10306</t>
  </si>
  <si>
    <t>AP10307</t>
  </si>
  <si>
    <t>AP10308</t>
  </si>
  <si>
    <t>AP10309</t>
  </si>
  <si>
    <t>AP10310</t>
  </si>
  <si>
    <t>AP10311</t>
  </si>
  <si>
    <t>AP10312</t>
  </si>
  <si>
    <t>AP10313</t>
  </si>
  <si>
    <t>AP10314</t>
  </si>
  <si>
    <t>AP10315</t>
  </si>
  <si>
    <t>AP10316</t>
  </si>
  <si>
    <t>AP10317</t>
  </si>
  <si>
    <t>AP10318</t>
  </si>
  <si>
    <t>AP10319</t>
  </si>
  <si>
    <t>AP10320</t>
  </si>
  <si>
    <t>AP10321</t>
  </si>
  <si>
    <t>AP10322</t>
  </si>
  <si>
    <t>AP10323</t>
  </si>
  <si>
    <t>AP10324</t>
  </si>
  <si>
    <t>AP10325</t>
  </si>
  <si>
    <t>AP10326</t>
  </si>
  <si>
    <t>AP10327</t>
  </si>
  <si>
    <t>AP10328</t>
  </si>
  <si>
    <t>AP10329</t>
  </si>
  <si>
    <t>AP10330</t>
  </si>
  <si>
    <t>AP10331</t>
  </si>
  <si>
    <t>AP10332</t>
  </si>
  <si>
    <t>AP10333</t>
  </si>
  <si>
    <t>AP10334</t>
  </si>
  <si>
    <t>AP10335</t>
  </si>
  <si>
    <t>AP10336</t>
  </si>
  <si>
    <t>AP10337</t>
  </si>
  <si>
    <t>AP10338</t>
  </si>
  <si>
    <t>AP10339</t>
  </si>
  <si>
    <t>AP10340</t>
  </si>
  <si>
    <t>AP10341</t>
  </si>
  <si>
    <t>AP10342</t>
  </si>
  <si>
    <t>AP10343</t>
  </si>
  <si>
    <t>AP10344</t>
  </si>
  <si>
    <t>AP10345</t>
  </si>
  <si>
    <t>AP10346</t>
  </si>
  <si>
    <t>AP10347</t>
  </si>
  <si>
    <t>AP10348</t>
  </si>
  <si>
    <t>AP10349</t>
  </si>
  <si>
    <t>AP10350</t>
  </si>
  <si>
    <t>AP10351</t>
  </si>
  <si>
    <t>AP10352</t>
  </si>
  <si>
    <t>AP10353</t>
  </si>
  <si>
    <t>AP10354</t>
  </si>
  <si>
    <t>AP10355</t>
  </si>
  <si>
    <t>AP10356</t>
  </si>
  <si>
    <t>AP10357</t>
  </si>
  <si>
    <t>AP10358</t>
  </si>
  <si>
    <t>AP10359</t>
  </si>
  <si>
    <t>AP10360</t>
  </si>
  <si>
    <t>AP10361</t>
  </si>
  <si>
    <t>AP10362</t>
  </si>
  <si>
    <t>AP10363</t>
  </si>
  <si>
    <t>AP10364</t>
  </si>
  <si>
    <t>AP10365</t>
  </si>
  <si>
    <t>AP10366</t>
  </si>
  <si>
    <t>AP10367</t>
  </si>
  <si>
    <t>AP10368</t>
  </si>
  <si>
    <t>AP10369</t>
  </si>
  <si>
    <t>AP10370</t>
  </si>
  <si>
    <t>AP10371</t>
  </si>
  <si>
    <t>AP10372</t>
  </si>
  <si>
    <t>AP10373</t>
  </si>
  <si>
    <t>AP10374</t>
  </si>
  <si>
    <t>AP10375</t>
  </si>
  <si>
    <t>AP10376</t>
  </si>
  <si>
    <t>AP10377</t>
  </si>
  <si>
    <t>AP10378</t>
  </si>
  <si>
    <t>AP10379</t>
  </si>
  <si>
    <t>AP10380</t>
  </si>
  <si>
    <t>AP10381</t>
  </si>
  <si>
    <t>AP10382</t>
  </si>
  <si>
    <t>AP10383</t>
  </si>
  <si>
    <t>AP10384</t>
  </si>
  <si>
    <t>AP10385</t>
  </si>
  <si>
    <t>AP10386</t>
  </si>
  <si>
    <t>AP10387</t>
  </si>
  <si>
    <t>AP10388</t>
  </si>
  <si>
    <t>AP10389</t>
  </si>
  <si>
    <t>AP10390</t>
  </si>
  <si>
    <t>AP10391</t>
  </si>
  <si>
    <t>AP10392</t>
  </si>
  <si>
    <t>AP10393</t>
  </si>
  <si>
    <t>AP10394</t>
  </si>
  <si>
    <t>AP10395</t>
  </si>
  <si>
    <t>AP10396</t>
  </si>
  <si>
    <t>AP10397</t>
  </si>
  <si>
    <t>AP10398</t>
  </si>
  <si>
    <t>AP10399</t>
  </si>
  <si>
    <t>AP10400</t>
  </si>
  <si>
    <t>AP10401</t>
  </si>
  <si>
    <t>AP10402</t>
  </si>
  <si>
    <t>AP10403</t>
  </si>
  <si>
    <t>AP10404</t>
  </si>
  <si>
    <t>AP10405</t>
  </si>
  <si>
    <t>AP10406</t>
  </si>
  <si>
    <t>AP10407</t>
  </si>
  <si>
    <t>AP10408</t>
  </si>
  <si>
    <t>AP10409</t>
  </si>
  <si>
    <t>AP10410</t>
  </si>
  <si>
    <t>AP10411</t>
  </si>
  <si>
    <t>AP10412</t>
  </si>
  <si>
    <t>AP10413</t>
  </si>
  <si>
    <t>AP10414</t>
  </si>
  <si>
    <t>AP10415</t>
  </si>
  <si>
    <t>AP10416</t>
  </si>
  <si>
    <t>AP10417</t>
  </si>
  <si>
    <t>AP10418</t>
  </si>
  <si>
    <t>AP10419</t>
  </si>
  <si>
    <t>AP10420</t>
  </si>
  <si>
    <t>AP10421</t>
  </si>
  <si>
    <t>AP10422</t>
  </si>
  <si>
    <t>AP10423</t>
  </si>
  <si>
    <t>AP10424</t>
  </si>
  <si>
    <t>AP10425</t>
  </si>
  <si>
    <t>AP10426</t>
  </si>
  <si>
    <t>AP10427</t>
  </si>
  <si>
    <t>AP10428</t>
  </si>
  <si>
    <t>AP10429</t>
  </si>
  <si>
    <t>AP10430</t>
  </si>
  <si>
    <t>AP10431</t>
  </si>
  <si>
    <t>AP10432</t>
  </si>
  <si>
    <t>AP10433</t>
  </si>
  <si>
    <t>AP10434</t>
  </si>
  <si>
    <t>AP10435</t>
  </si>
  <si>
    <t>AP10436</t>
  </si>
  <si>
    <t>AP10437</t>
  </si>
  <si>
    <t>AP10438</t>
  </si>
  <si>
    <t>AP10439</t>
  </si>
  <si>
    <t>AP10440</t>
  </si>
  <si>
    <t>AP10441</t>
  </si>
  <si>
    <t>AP10442</t>
  </si>
  <si>
    <t>AP10443</t>
  </si>
  <si>
    <t>AP10444</t>
  </si>
  <si>
    <t>AP10445</t>
  </si>
  <si>
    <t>AP10446</t>
  </si>
  <si>
    <t>AP10447</t>
  </si>
  <si>
    <t>AP10448</t>
  </si>
  <si>
    <t>AP10449</t>
  </si>
  <si>
    <t>AP10450</t>
  </si>
  <si>
    <t>AP10451</t>
  </si>
  <si>
    <t>AP10452</t>
  </si>
  <si>
    <t>AP10453</t>
  </si>
  <si>
    <t>AP10454</t>
  </si>
  <si>
    <t>AP10455</t>
  </si>
  <si>
    <t>AP10456</t>
  </si>
  <si>
    <t>AP10457</t>
  </si>
  <si>
    <t>AP10458</t>
  </si>
  <si>
    <t>AP10459</t>
  </si>
  <si>
    <t>AP10460</t>
  </si>
  <si>
    <t>AP10461</t>
  </si>
  <si>
    <t>AP10462</t>
  </si>
  <si>
    <t>AP10463</t>
  </si>
  <si>
    <t>AP10464</t>
  </si>
  <si>
    <t>AP10465</t>
  </si>
  <si>
    <t>AP10466</t>
  </si>
  <si>
    <t>AP10467</t>
  </si>
  <si>
    <t>AP10468</t>
  </si>
  <si>
    <t>AP10469</t>
  </si>
  <si>
    <t>AP10470</t>
  </si>
  <si>
    <t>AP10471</t>
  </si>
  <si>
    <t>AP10472</t>
  </si>
  <si>
    <t>AP10473</t>
  </si>
  <si>
    <t>AP10474</t>
  </si>
  <si>
    <t>AP10475</t>
  </si>
  <si>
    <t>AP10476</t>
  </si>
  <si>
    <t>AP10477</t>
  </si>
  <si>
    <t>AP10478</t>
  </si>
  <si>
    <t>AP10479</t>
  </si>
  <si>
    <t>AP10480</t>
  </si>
  <si>
    <t>AP10481</t>
  </si>
  <si>
    <t>AP10482</t>
  </si>
  <si>
    <t>AP10483</t>
  </si>
  <si>
    <t>AP10484</t>
  </si>
  <si>
    <t>AP10485</t>
  </si>
  <si>
    <t>AP10486</t>
  </si>
  <si>
    <t>AP10487</t>
  </si>
  <si>
    <t>AP10488</t>
  </si>
  <si>
    <t>AP10489</t>
  </si>
  <si>
    <t>AP10490</t>
  </si>
  <si>
    <t>AP10491</t>
  </si>
  <si>
    <t>AP10492</t>
  </si>
  <si>
    <t>AP10493</t>
  </si>
  <si>
    <t>AP10494</t>
  </si>
  <si>
    <t>AP10495</t>
  </si>
  <si>
    <t>AP10496</t>
  </si>
  <si>
    <t>AP10497</t>
  </si>
  <si>
    <t>AP10498</t>
  </si>
  <si>
    <t>AP10499</t>
  </si>
  <si>
    <t>AP10500</t>
  </si>
  <si>
    <t>AP10501</t>
  </si>
  <si>
    <t>AP10502</t>
  </si>
  <si>
    <t>AP10503</t>
  </si>
  <si>
    <t>AP10504</t>
  </si>
  <si>
    <t>AP10505</t>
  </si>
  <si>
    <t>AP10506</t>
  </si>
  <si>
    <t>AP10507</t>
  </si>
  <si>
    <t>AP10508</t>
  </si>
  <si>
    <t>AP10509</t>
  </si>
  <si>
    <t>AP10510</t>
  </si>
  <si>
    <t>AP10511</t>
  </si>
  <si>
    <t>AP10512</t>
  </si>
  <si>
    <t>AP10513</t>
  </si>
  <si>
    <t>AP10514</t>
  </si>
  <si>
    <t>AP10515</t>
  </si>
  <si>
    <t>AP10516</t>
  </si>
  <si>
    <t>AP10517</t>
  </si>
  <si>
    <t>AP10518</t>
  </si>
  <si>
    <t>AP10519</t>
  </si>
  <si>
    <t>AP10520</t>
  </si>
  <si>
    <t>AP10521</t>
  </si>
  <si>
    <t>AP10522</t>
  </si>
  <si>
    <t>AP10523</t>
  </si>
  <si>
    <t>AP10524</t>
  </si>
  <si>
    <t>AP10525</t>
  </si>
  <si>
    <t>AP10526</t>
  </si>
  <si>
    <t>AP10527</t>
  </si>
  <si>
    <t>AP10528</t>
  </si>
  <si>
    <t>AP10529</t>
  </si>
  <si>
    <t>AP10530</t>
  </si>
  <si>
    <t>AP10531</t>
  </si>
  <si>
    <t>AP10532</t>
  </si>
  <si>
    <t>AP10533</t>
  </si>
  <si>
    <t>AP10534</t>
  </si>
  <si>
    <t>AP10535</t>
  </si>
  <si>
    <t>AP10536</t>
  </si>
  <si>
    <t>AP10537</t>
  </si>
  <si>
    <t>AP10538</t>
  </si>
  <si>
    <t>AP10539</t>
  </si>
  <si>
    <t>AP10540</t>
  </si>
  <si>
    <t>AP10541</t>
  </si>
  <si>
    <t>AP10542</t>
  </si>
  <si>
    <t>AP10543</t>
  </si>
  <si>
    <t>AP10544</t>
  </si>
  <si>
    <t>AP10545</t>
  </si>
  <si>
    <t>AP10546</t>
  </si>
  <si>
    <t>AP10547</t>
  </si>
  <si>
    <t>AP10548</t>
  </si>
  <si>
    <t>AP10549</t>
  </si>
  <si>
    <t>AP10550</t>
  </si>
  <si>
    <t>AP10551</t>
  </si>
  <si>
    <t>AP10552</t>
  </si>
  <si>
    <t>AP10553</t>
  </si>
  <si>
    <t>AP10554</t>
  </si>
  <si>
    <t>AP10555</t>
  </si>
  <si>
    <t>AP10556</t>
  </si>
  <si>
    <t>AP10557</t>
  </si>
  <si>
    <t>AP10558</t>
  </si>
  <si>
    <t>AP10559</t>
  </si>
  <si>
    <t>AP10560</t>
  </si>
  <si>
    <t>AP10561</t>
  </si>
  <si>
    <t>AP10562</t>
  </si>
  <si>
    <t>AP10563</t>
  </si>
  <si>
    <t>AP10564</t>
  </si>
  <si>
    <t>AP10565</t>
  </si>
  <si>
    <t>AP10566</t>
  </si>
  <si>
    <t>AP10567</t>
  </si>
  <si>
    <t>AP10568</t>
  </si>
  <si>
    <t>AP10569</t>
  </si>
  <si>
    <t>AP10570</t>
  </si>
  <si>
    <t>AP10571</t>
  </si>
  <si>
    <t>AP10572</t>
  </si>
  <si>
    <t>AP10573</t>
  </si>
  <si>
    <t>AP10574</t>
  </si>
  <si>
    <t>AP10575</t>
  </si>
  <si>
    <t>AP10576</t>
  </si>
  <si>
    <t>AP10577</t>
  </si>
  <si>
    <t>AP10578</t>
  </si>
  <si>
    <t>AP10579</t>
  </si>
  <si>
    <t>AP10580</t>
  </si>
  <si>
    <t>AP10581</t>
  </si>
  <si>
    <t>AP10582</t>
  </si>
  <si>
    <t>AP10583</t>
  </si>
  <si>
    <t>AP10584</t>
  </si>
  <si>
    <t>AP10585</t>
  </si>
  <si>
    <t>AP10586</t>
  </si>
  <si>
    <t>AP10587</t>
  </si>
  <si>
    <t>AP10588</t>
  </si>
  <si>
    <t>AP10589</t>
  </si>
  <si>
    <t>AP10590</t>
  </si>
  <si>
    <t>AP10591</t>
  </si>
  <si>
    <t>AP10592</t>
  </si>
  <si>
    <t>AP10593</t>
  </si>
  <si>
    <t>AP10594</t>
  </si>
  <si>
    <t>AP10595</t>
  </si>
  <si>
    <t>AP10596</t>
  </si>
  <si>
    <t>AP10597</t>
  </si>
  <si>
    <t>AP10598</t>
  </si>
  <si>
    <t>AP10599</t>
  </si>
  <si>
    <t>AP10600</t>
  </si>
  <si>
    <t>AP10601</t>
  </si>
  <si>
    <t>AP10602</t>
  </si>
  <si>
    <t>AP10603</t>
  </si>
  <si>
    <t>AP10604</t>
  </si>
  <si>
    <t>AP10605</t>
  </si>
  <si>
    <t>AP10606</t>
  </si>
  <si>
    <t>AP10607</t>
  </si>
  <si>
    <t>AP10608</t>
  </si>
  <si>
    <t>AP10609</t>
  </si>
  <si>
    <t>AP10610</t>
  </si>
  <si>
    <t>AP10611</t>
  </si>
  <si>
    <t>AP10612</t>
  </si>
  <si>
    <t>AP10613</t>
  </si>
  <si>
    <t>AP10614</t>
  </si>
  <si>
    <t>AP10615</t>
  </si>
  <si>
    <t>AP10616</t>
  </si>
  <si>
    <t>AP10617</t>
  </si>
  <si>
    <t>AP10618</t>
  </si>
  <si>
    <t>AP10619</t>
  </si>
  <si>
    <t>AP10620</t>
  </si>
  <si>
    <t>AP10621</t>
  </si>
  <si>
    <t>AP10622</t>
  </si>
  <si>
    <t>AP10623</t>
  </si>
  <si>
    <t>AP10624</t>
  </si>
  <si>
    <t>AP10625</t>
  </si>
  <si>
    <t>AP10626</t>
  </si>
  <si>
    <t>AP10627</t>
  </si>
  <si>
    <t>AP10628</t>
  </si>
  <si>
    <t>AP10629</t>
  </si>
  <si>
    <t>AP10630</t>
  </si>
  <si>
    <t>AP10631</t>
  </si>
  <si>
    <t>AP10632</t>
  </si>
  <si>
    <t>AP10633</t>
  </si>
  <si>
    <t>AP10634</t>
  </si>
  <si>
    <t>AP10635</t>
  </si>
  <si>
    <t>AP10636</t>
  </si>
  <si>
    <t>AP10637</t>
  </si>
  <si>
    <t>AP10638</t>
  </si>
  <si>
    <t>AP10639</t>
  </si>
  <si>
    <t>AP10640</t>
  </si>
  <si>
    <t>AP10641</t>
  </si>
  <si>
    <t>AP10642</t>
  </si>
  <si>
    <t>AP10643</t>
  </si>
  <si>
    <t>AP10644</t>
  </si>
  <si>
    <t>AP10645</t>
  </si>
  <si>
    <t>AP10646</t>
  </si>
  <si>
    <t>AP10647</t>
  </si>
  <si>
    <t>AP10648</t>
  </si>
  <si>
    <t>AP10649</t>
  </si>
  <si>
    <t>AP10650</t>
  </si>
  <si>
    <t>AP10651</t>
  </si>
  <si>
    <t>AP10652</t>
  </si>
  <si>
    <t>AP10653</t>
  </si>
  <si>
    <t>AP10654</t>
  </si>
  <si>
    <t>AP10655</t>
  </si>
  <si>
    <t>AP10656</t>
  </si>
  <si>
    <t>AP10657</t>
  </si>
  <si>
    <t>AP10658</t>
  </si>
  <si>
    <t>AP10659</t>
  </si>
  <si>
    <t>AP10660</t>
  </si>
  <si>
    <t>AP10661</t>
  </si>
  <si>
    <t>AP10662</t>
  </si>
  <si>
    <t>AP10663</t>
  </si>
  <si>
    <t>AP10664</t>
  </si>
  <si>
    <t>AP10665</t>
  </si>
  <si>
    <t>AP10666</t>
  </si>
  <si>
    <t>AP10667</t>
  </si>
  <si>
    <t>AP10668</t>
  </si>
  <si>
    <t>AP10669</t>
  </si>
  <si>
    <t>AP10670</t>
  </si>
  <si>
    <t>AP10671</t>
  </si>
  <si>
    <t>AP10672</t>
  </si>
  <si>
    <t>AP10673</t>
  </si>
  <si>
    <t>AP10674</t>
  </si>
  <si>
    <t>AP10675</t>
  </si>
  <si>
    <t>AP10676</t>
  </si>
  <si>
    <t>AP10677</t>
  </si>
  <si>
    <t>AP10678</t>
  </si>
  <si>
    <t>AP10679</t>
  </si>
  <si>
    <t>AP10680</t>
  </si>
  <si>
    <t>AP10681</t>
  </si>
  <si>
    <t>AP10682</t>
  </si>
  <si>
    <t>AP10683</t>
  </si>
  <si>
    <t>AP10684</t>
  </si>
  <si>
    <t>AP10685</t>
  </si>
  <si>
    <t>AP10686</t>
  </si>
  <si>
    <t>AP10687</t>
  </si>
  <si>
    <t>AP10688</t>
  </si>
  <si>
    <t>AP10689</t>
  </si>
  <si>
    <t>AP10690</t>
  </si>
  <si>
    <t>AP10691</t>
  </si>
  <si>
    <t>AP10692</t>
  </si>
  <si>
    <t>AP10693</t>
  </si>
  <si>
    <t>AP10694</t>
  </si>
  <si>
    <t>AP10695</t>
  </si>
  <si>
    <t>AP10696</t>
  </si>
  <si>
    <t>AP10697</t>
  </si>
  <si>
    <t>AP10698</t>
  </si>
  <si>
    <t>AP10699</t>
  </si>
  <si>
    <t>AP10700</t>
  </si>
  <si>
    <t>AP10701</t>
  </si>
  <si>
    <t>AP10702</t>
  </si>
  <si>
    <t>AP10703</t>
  </si>
  <si>
    <t>AP10704</t>
  </si>
  <si>
    <t>AP10705</t>
  </si>
  <si>
    <t>AP10706</t>
  </si>
  <si>
    <t>AP10707</t>
  </si>
  <si>
    <t>AP10708</t>
  </si>
  <si>
    <t>AP10709</t>
  </si>
  <si>
    <t>AP10710</t>
  </si>
  <si>
    <t>AP10711</t>
  </si>
  <si>
    <t>AP10712</t>
  </si>
  <si>
    <t>AP10713</t>
  </si>
  <si>
    <t>AP10714</t>
  </si>
  <si>
    <t>AP10715</t>
  </si>
  <si>
    <t>AP10716</t>
  </si>
  <si>
    <t>AP10717</t>
  </si>
  <si>
    <t>AP10718</t>
  </si>
  <si>
    <t>AP10719</t>
  </si>
  <si>
    <t>AP10720</t>
  </si>
  <si>
    <t>AP10721</t>
  </si>
  <si>
    <t>AP10722</t>
  </si>
  <si>
    <t>AP10723</t>
  </si>
  <si>
    <t>AP10724</t>
  </si>
  <si>
    <t>AP10725</t>
  </si>
  <si>
    <t>AP10726</t>
  </si>
  <si>
    <t>AP10727</t>
  </si>
  <si>
    <t>AP10728</t>
  </si>
  <si>
    <t>AP10729</t>
  </si>
  <si>
    <t>AP10730</t>
  </si>
  <si>
    <t>AP10731</t>
  </si>
  <si>
    <t>AP10732</t>
  </si>
  <si>
    <t>AP10733</t>
  </si>
  <si>
    <t>AP10734</t>
  </si>
  <si>
    <t>AP10735</t>
  </si>
  <si>
    <t>AP10736</t>
  </si>
  <si>
    <t>AP10737</t>
  </si>
  <si>
    <t>AP10738</t>
  </si>
  <si>
    <t>AP10739</t>
  </si>
  <si>
    <t>AP10740</t>
  </si>
  <si>
    <t>AP10741</t>
  </si>
  <si>
    <t>AP10742</t>
  </si>
  <si>
    <t>AP10743</t>
  </si>
  <si>
    <t>AP10744</t>
  </si>
  <si>
    <t>AP10745</t>
  </si>
  <si>
    <t>AP10746</t>
  </si>
  <si>
    <t>AP10747</t>
  </si>
  <si>
    <t>AP10748</t>
  </si>
  <si>
    <t>AP10749</t>
  </si>
  <si>
    <t>AP10750</t>
  </si>
  <si>
    <t>AP10751</t>
  </si>
  <si>
    <t>AP10752</t>
  </si>
  <si>
    <t>AP10753</t>
  </si>
  <si>
    <t>AP10754</t>
  </si>
  <si>
    <t>AP10755</t>
  </si>
  <si>
    <t>AP10756</t>
  </si>
  <si>
    <t>AP10757</t>
  </si>
  <si>
    <t>AP10758</t>
  </si>
  <si>
    <t>AP10759</t>
  </si>
  <si>
    <t>AP10760</t>
  </si>
  <si>
    <t>AP10761</t>
  </si>
  <si>
    <t>AP10762</t>
  </si>
  <si>
    <t>AP10763</t>
  </si>
  <si>
    <t>AP10764</t>
  </si>
  <si>
    <t>AP10765</t>
  </si>
  <si>
    <t>AP10766</t>
  </si>
  <si>
    <t>AP10767</t>
  </si>
  <si>
    <t>AP10768</t>
  </si>
  <si>
    <t>AP10769</t>
  </si>
  <si>
    <t>AP10770</t>
  </si>
  <si>
    <t>AP10771</t>
  </si>
  <si>
    <t>AP10772</t>
  </si>
  <si>
    <t>AP10773</t>
  </si>
  <si>
    <t>AP10774</t>
  </si>
  <si>
    <t>AP10775</t>
  </si>
  <si>
    <t>AP10776</t>
  </si>
  <si>
    <t>AP10777</t>
  </si>
  <si>
    <t>AP10778</t>
  </si>
  <si>
    <t>AP10779</t>
  </si>
  <si>
    <t>AP10780</t>
  </si>
  <si>
    <t>AP10781</t>
  </si>
  <si>
    <t>AP10782</t>
  </si>
  <si>
    <t>AP10783</t>
  </si>
  <si>
    <t>AP10784</t>
  </si>
  <si>
    <t>AP10785</t>
  </si>
  <si>
    <t>AP10786</t>
  </si>
  <si>
    <t>AP10787</t>
  </si>
  <si>
    <t>AP10788</t>
  </si>
  <si>
    <t>AP10789</t>
  </si>
  <si>
    <t>AP10790</t>
  </si>
  <si>
    <t>AP10791</t>
  </si>
  <si>
    <t>AP10792</t>
  </si>
  <si>
    <t>AP10793</t>
  </si>
  <si>
    <t>AP10794</t>
  </si>
  <si>
    <t>AP10795</t>
  </si>
  <si>
    <t>AP10796</t>
  </si>
  <si>
    <t>AP10797</t>
  </si>
  <si>
    <t>AP10798</t>
  </si>
  <si>
    <t>AP10799</t>
  </si>
  <si>
    <t>BluePrints</t>
  </si>
  <si>
    <t>Fast Travel</t>
  </si>
  <si>
    <t>ABC Supplies</t>
  </si>
  <si>
    <t>Global Office</t>
  </si>
  <si>
    <t>TechMart</t>
  </si>
  <si>
    <t>EUR</t>
  </si>
  <si>
    <t>CAD</t>
  </si>
  <si>
    <t>GBP</t>
  </si>
  <si>
    <t>USD</t>
  </si>
  <si>
    <t>AUD</t>
  </si>
  <si>
    <t>Open</t>
  </si>
  <si>
    <t>Partial</t>
  </si>
  <si>
    <t>Paid</t>
  </si>
  <si>
    <t>Net 30</t>
  </si>
  <si>
    <t>Overdue Days</t>
  </si>
  <si>
    <t>Currencies</t>
  </si>
  <si>
    <t>Exchange Rate</t>
  </si>
  <si>
    <t>EUR/USD</t>
  </si>
  <si>
    <t>CAD/USD</t>
  </si>
  <si>
    <t>GBP/USD</t>
  </si>
  <si>
    <t>AUD/USD</t>
  </si>
  <si>
    <t>Currency Pair</t>
  </si>
  <si>
    <t>2023</t>
  </si>
  <si>
    <t>2024</t>
  </si>
  <si>
    <t>2025</t>
  </si>
  <si>
    <t>Outstanding Amount (USD)</t>
  </si>
  <si>
    <t xml:space="preserve"> Invoice Amount (USD)</t>
  </si>
  <si>
    <t>Invoice  Amount (USD)</t>
  </si>
  <si>
    <t>Overdue Status</t>
  </si>
  <si>
    <t>Reference Date</t>
  </si>
  <si>
    <t>Paid Amount (USD)</t>
  </si>
  <si>
    <t>Invoice Status</t>
  </si>
  <si>
    <t>Year</t>
  </si>
  <si>
    <t>Total Invoice Amount</t>
  </si>
  <si>
    <t>Total Paid Amount</t>
  </si>
  <si>
    <t>Total Outstanding Amount</t>
  </si>
  <si>
    <t xml:space="preserve">Total Paid Amount </t>
  </si>
  <si>
    <t>Aging</t>
  </si>
  <si>
    <t>1-30</t>
  </si>
  <si>
    <t>31-60</t>
  </si>
  <si>
    <t>61-90</t>
  </si>
  <si>
    <t>90+</t>
  </si>
  <si>
    <t>InvoiceMonth</t>
  </si>
  <si>
    <t>PaidMonth</t>
  </si>
  <si>
    <t>Aging Bucket</t>
  </si>
  <si>
    <t>Invoice Count</t>
  </si>
  <si>
    <t>Invoice Date</t>
  </si>
  <si>
    <t>Invoice Month</t>
  </si>
  <si>
    <t>Avg Overdue Days</t>
  </si>
  <si>
    <t>Count of Outstanding Invoices</t>
  </si>
  <si>
    <t>Grand Total</t>
  </si>
  <si>
    <t>Dec 2024</t>
  </si>
  <si>
    <t>May 2024</t>
  </si>
  <si>
    <t>Feb 2024</t>
  </si>
  <si>
    <t>Jan 2024</t>
  </si>
  <si>
    <t>Jul 2024</t>
  </si>
  <si>
    <t>Sep 2024</t>
  </si>
  <si>
    <t>Jun 2024</t>
  </si>
  <si>
    <t>Mar 2024</t>
  </si>
  <si>
    <t>Oct 2024</t>
  </si>
  <si>
    <t>May 2023</t>
  </si>
  <si>
    <t>Nov 2023</t>
  </si>
  <si>
    <t>Jun 2023</t>
  </si>
  <si>
    <t>Dec 2023</t>
  </si>
  <si>
    <t>Mar 2025</t>
  </si>
  <si>
    <t>Jul 2023</t>
  </si>
  <si>
    <t>Sep 2023</t>
  </si>
  <si>
    <t>Mar 2023</t>
  </si>
  <si>
    <t>Oct 2023</t>
  </si>
  <si>
    <t>Nov 2024</t>
  </si>
  <si>
    <t>Jan 2025</t>
  </si>
  <si>
    <t>Apr 2023</t>
  </si>
  <si>
    <t>Jan 2023</t>
  </si>
  <si>
    <t>May 2025</t>
  </si>
  <si>
    <t>Feb 2023</t>
  </si>
  <si>
    <t>Jun 2025</t>
  </si>
  <si>
    <t>Aug 2023</t>
  </si>
  <si>
    <t>Apr 2024</t>
  </si>
  <si>
    <t>Feb 2025</t>
  </si>
  <si>
    <t>Apr 2025</t>
  </si>
  <si>
    <t>Aug 2024</t>
  </si>
  <si>
    <t>Total Invoice Amount (USD)</t>
  </si>
  <si>
    <t>Total Outstanding Amount (USD)</t>
  </si>
  <si>
    <t>KPI</t>
  </si>
  <si>
    <t>Formula</t>
  </si>
  <si>
    <t xml:space="preserve">Total Payable Amount </t>
  </si>
  <si>
    <t>Outstanding Rate</t>
  </si>
  <si>
    <r>
      <t xml:space="preserve">ACCOUNTS PAYABLE DASHBOARD 
</t>
    </r>
    <r>
      <rPr>
        <b/>
        <sz val="16"/>
        <color rgb="FF4269C9"/>
        <rFont val="Arial"/>
        <family val="2"/>
      </rPr>
      <t>Reporting Date: 30 July 2025</t>
    </r>
  </si>
  <si>
    <t>DPO</t>
  </si>
  <si>
    <t>Payment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</si>
</sst>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yyyy\-mm\-dd"/>
    <numFmt numFmtId="165" formatCode="_([$€-2]* #,##0.00_);_([$€-2]* \(#,##0.00\);_([$€-2]* &quot;-&quot;??_)"/>
    <numFmt numFmtId="166" formatCode="dd/mm/yyyy"/>
    <numFmt numFmtId="167" formatCode="yyyy\ mmm"/>
    <numFmt numFmtId="168" formatCode="&quot;$&quot;#,##0,&quot;K&quot;"/>
    <numFmt numFmtId="169" formatCode="&quot;$&quot;#,##0.0,,&quot;M&quot;"/>
  </numFmts>
  <fonts count="10" x14ac:knownFonts="1">
    <font>
      <sz val="11"/>
      <color theme="1"/>
      <name val="Calibri"/>
      <family val="2"/>
      <scheme val="minor"/>
    </font>
    <font>
      <b/>
      <sz val="11"/>
      <color theme="1"/>
      <name val="Calibri"/>
      <family val="2"/>
      <scheme val="minor"/>
    </font>
    <font>
      <sz val="11"/>
      <color theme="1"/>
      <name val="Calibri"/>
      <family val="2"/>
      <scheme val="minor"/>
    </font>
    <font>
      <sz val="11"/>
      <color rgb="FF000000"/>
      <name val="Calibri"/>
      <family val="2"/>
      <scheme val="minor"/>
    </font>
    <font>
      <b/>
      <sz val="11"/>
      <color rgb="FF000000"/>
      <name val="Calibri"/>
      <family val="2"/>
      <scheme val="minor"/>
    </font>
    <font>
      <sz val="8"/>
      <name val="Calibri"/>
      <family val="2"/>
      <scheme val="minor"/>
    </font>
    <font>
      <sz val="11"/>
      <color theme="0"/>
      <name val="Calibri"/>
      <family val="2"/>
      <scheme val="minor"/>
    </font>
    <font>
      <b/>
      <sz val="22"/>
      <color rgb="FF4269C9"/>
      <name val="Arial"/>
      <family val="2"/>
    </font>
    <font>
      <sz val="11"/>
      <name val="Calibri"/>
      <family val="2"/>
      <scheme val="minor"/>
    </font>
    <font>
      <b/>
      <sz val="16"/>
      <color rgb="FF4269C9"/>
      <name val="Arial"/>
      <family val="2"/>
    </font>
  </fonts>
  <fills count="3">
    <fill>
      <patternFill patternType="none"/>
    </fill>
    <fill>
      <patternFill patternType="gray125"/>
    </fill>
    <fill>
      <patternFill patternType="solid">
        <fgColor rgb="FF283E78"/>
        <bgColor indexed="64"/>
      </patternFill>
    </fill>
  </fills>
  <borders count="9">
    <border>
      <left/>
      <right/>
      <top/>
      <bottom/>
      <diagonal/>
    </border>
    <border>
      <left style="thin">
        <color auto="1"/>
      </left>
      <right style="thin">
        <color auto="1"/>
      </right>
      <top style="thin">
        <color auto="1"/>
      </top>
      <bottom style="thin">
        <color auto="1"/>
      </bottom>
      <diagonal/>
    </border>
    <border>
      <left/>
      <right/>
      <top style="thick">
        <color theme="4" tint="-0.249977111117893"/>
      </top>
      <bottom/>
      <diagonal/>
    </border>
    <border>
      <left/>
      <right style="thick">
        <color theme="3" tint="0.59999389629810485"/>
      </right>
      <top style="thick">
        <color theme="4" tint="-0.249977111117893"/>
      </top>
      <bottom/>
      <diagonal/>
    </border>
    <border>
      <left/>
      <right/>
      <top/>
      <bottom style="thin">
        <color indexed="64"/>
      </bottom>
      <diagonal/>
    </border>
    <border>
      <left/>
      <right/>
      <top style="thin">
        <color indexed="64"/>
      </top>
      <bottom style="thin">
        <color indexed="64"/>
      </bottom>
      <diagonal/>
    </border>
    <border>
      <left/>
      <right/>
      <top/>
      <bottom style="thick">
        <color theme="3" tint="0.39997558519241921"/>
      </bottom>
      <diagonal/>
    </border>
    <border>
      <left style="thick">
        <color theme="3" tint="0.39997558519241921"/>
      </left>
      <right/>
      <top/>
      <bottom/>
      <diagonal/>
    </border>
    <border>
      <left style="thick">
        <color theme="3" tint="0.39997558519241921"/>
      </left>
      <right/>
      <top/>
      <bottom style="thick">
        <color theme="3" tint="0.39997558519241921"/>
      </bottom>
      <diagonal/>
    </border>
  </borders>
  <cellStyleXfs count="4">
    <xf numFmtId="0" fontId="0" fillId="0" borderId="0"/>
    <xf numFmtId="165"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63">
    <xf numFmtId="0" fontId="0" fillId="0" borderId="0" xfId="0"/>
    <xf numFmtId="0" fontId="1" fillId="0" borderId="1" xfId="0"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0" fontId="1" fillId="0" borderId="1" xfId="0" applyFont="1" applyFill="1" applyBorder="1" applyAlignment="1">
      <alignment horizontal="center" vertical="top"/>
    </xf>
    <xf numFmtId="0" fontId="3" fillId="0" borderId="1" xfId="0" applyFont="1" applyBorder="1"/>
    <xf numFmtId="0" fontId="4" fillId="0" borderId="1" xfId="0" applyFont="1" applyBorder="1"/>
    <xf numFmtId="166" fontId="1" fillId="0" borderId="1" xfId="0" applyNumberFormat="1" applyFont="1" applyBorder="1" applyAlignment="1">
      <alignment horizontal="center" vertical="top"/>
    </xf>
    <xf numFmtId="166" fontId="0" fillId="0" borderId="0" xfId="0" applyNumberFormat="1"/>
    <xf numFmtId="0" fontId="1" fillId="0" borderId="1" xfId="0" applyFont="1" applyBorder="1" applyAlignment="1">
      <alignment horizontal="left" vertical="center"/>
    </xf>
    <xf numFmtId="0" fontId="0" fillId="0" borderId="0" xfId="0" applyAlignment="1">
      <alignment horizontal="left" vertical="center"/>
    </xf>
    <xf numFmtId="2" fontId="1" fillId="0" borderId="1" xfId="0" applyNumberFormat="1" applyFont="1" applyBorder="1" applyAlignment="1">
      <alignment horizontal="left" vertical="center"/>
    </xf>
    <xf numFmtId="2" fontId="0" fillId="0" borderId="0" xfId="0" applyNumberFormat="1" applyAlignment="1">
      <alignment horizontal="left" vertical="center"/>
    </xf>
    <xf numFmtId="2" fontId="1" fillId="0" borderId="1" xfId="2" applyNumberFormat="1" applyFont="1" applyBorder="1" applyAlignment="1">
      <alignment horizontal="center" vertical="top"/>
    </xf>
    <xf numFmtId="2" fontId="0" fillId="0" borderId="0" xfId="0" applyNumberFormat="1"/>
    <xf numFmtId="2" fontId="0" fillId="0" borderId="0" xfId="2" applyNumberFormat="1" applyFont="1"/>
    <xf numFmtId="166" fontId="0" fillId="0" borderId="0" xfId="0" applyNumberFormat="1" applyAlignment="1">
      <alignment horizontal="right"/>
    </xf>
    <xf numFmtId="2" fontId="0" fillId="0" borderId="0" xfId="0" applyNumberFormat="1" applyAlignment="1">
      <alignment horizontal="right"/>
    </xf>
    <xf numFmtId="2" fontId="1" fillId="0" borderId="1" xfId="0" applyNumberFormat="1" applyFont="1" applyBorder="1" applyAlignment="1">
      <alignment horizontal="center" vertical="top"/>
    </xf>
    <xf numFmtId="0" fontId="1" fillId="0" borderId="0" xfId="0" applyFont="1"/>
    <xf numFmtId="0" fontId="1" fillId="0" borderId="1" xfId="0" applyFont="1" applyBorder="1"/>
    <xf numFmtId="0" fontId="0" fillId="0" borderId="0" xfId="0" applyFill="1"/>
    <xf numFmtId="0" fontId="0" fillId="2" borderId="0" xfId="0" applyFill="1"/>
    <xf numFmtId="0" fontId="0" fillId="0" borderId="0" xfId="0" applyFill="1" applyBorder="1"/>
    <xf numFmtId="1" fontId="0" fillId="0" borderId="0" xfId="0" applyNumberFormat="1"/>
    <xf numFmtId="1" fontId="0" fillId="0" borderId="0" xfId="0" applyNumberFormat="1" applyFill="1" applyBorder="1"/>
    <xf numFmtId="167" fontId="1" fillId="0" borderId="1" xfId="0" applyNumberFormat="1" applyFont="1" applyBorder="1" applyAlignment="1">
      <alignment horizontal="center" vertical="top"/>
    </xf>
    <xf numFmtId="167" fontId="0" fillId="0" borderId="0" xfId="0" applyNumberFormat="1"/>
    <xf numFmtId="0" fontId="0" fillId="0" borderId="2" xfId="0" applyFill="1" applyBorder="1"/>
    <xf numFmtId="0" fontId="0" fillId="0" borderId="3" xfId="0" applyFill="1" applyBorder="1"/>
    <xf numFmtId="0" fontId="6" fillId="0" borderId="0" xfId="0" applyFont="1" applyFill="1" applyBorder="1"/>
    <xf numFmtId="0" fontId="6" fillId="0" borderId="0" xfId="0" applyFont="1" applyFill="1"/>
    <xf numFmtId="0" fontId="6" fillId="0" borderId="0" xfId="0" applyFont="1" applyFill="1" applyAlignment="1">
      <alignment horizontal="left"/>
    </xf>
    <xf numFmtId="0" fontId="6" fillId="0" borderId="0" xfId="0" applyNumberFormat="1" applyFont="1" applyFill="1"/>
    <xf numFmtId="4" fontId="0" fillId="0" borderId="0" xfId="0" applyNumberFormat="1" applyFill="1"/>
    <xf numFmtId="0" fontId="8" fillId="0" borderId="0" xfId="0" applyFont="1" applyFill="1"/>
    <xf numFmtId="0" fontId="8" fillId="0" borderId="0" xfId="0" applyFont="1" applyFill="1" applyAlignment="1">
      <alignment horizontal="left"/>
    </xf>
    <xf numFmtId="0" fontId="8" fillId="0" borderId="0" xfId="0" applyNumberFormat="1" applyFont="1" applyFill="1"/>
    <xf numFmtId="2" fontId="8" fillId="0" borderId="0" xfId="0" applyNumberFormat="1" applyFont="1" applyFill="1"/>
    <xf numFmtId="0" fontId="8" fillId="0" borderId="0" xfId="0" applyFont="1" applyFill="1" applyBorder="1" applyAlignment="1">
      <alignment horizontal="left"/>
    </xf>
    <xf numFmtId="0" fontId="8" fillId="0" borderId="0" xfId="0" applyNumberFormat="1" applyFont="1" applyFill="1" applyBorder="1"/>
    <xf numFmtId="0" fontId="7" fillId="2" borderId="0" xfId="0" applyFont="1" applyFill="1" applyBorder="1" applyAlignment="1">
      <alignment horizontal="center" vertical="center"/>
    </xf>
    <xf numFmtId="0" fontId="8" fillId="0" borderId="5" xfId="0" applyFont="1" applyFill="1" applyBorder="1" applyAlignment="1">
      <alignment horizontal="left"/>
    </xf>
    <xf numFmtId="1" fontId="8" fillId="0" borderId="5" xfId="0" applyNumberFormat="1" applyFont="1" applyFill="1" applyBorder="1"/>
    <xf numFmtId="0" fontId="8" fillId="0" borderId="4" xfId="0" applyFont="1" applyFill="1" applyBorder="1" applyAlignment="1">
      <alignment horizontal="left"/>
    </xf>
    <xf numFmtId="1" fontId="8" fillId="0" borderId="4" xfId="0" applyNumberFormat="1" applyFont="1" applyFill="1" applyBorder="1"/>
    <xf numFmtId="1" fontId="1" fillId="0" borderId="1" xfId="0" applyNumberFormat="1" applyFont="1" applyFill="1" applyBorder="1" applyAlignment="1">
      <alignment horizontal="center" vertical="top"/>
    </xf>
    <xf numFmtId="9" fontId="0" fillId="0" borderId="0" xfId="3" applyFont="1"/>
    <xf numFmtId="0" fontId="7" fillId="2" borderId="0" xfId="0" applyFont="1" applyFill="1" applyBorder="1" applyAlignment="1">
      <alignment horizontal="center" vertical="center"/>
    </xf>
    <xf numFmtId="168" fontId="0" fillId="0" borderId="0" xfId="0" applyNumberFormat="1"/>
    <xf numFmtId="16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Fill="1" applyAlignment="1">
      <alignment vertical="center" wrapText="1"/>
    </xf>
    <xf numFmtId="0" fontId="7" fillId="0" borderId="0" xfId="0" applyFont="1" applyFill="1" applyBorder="1" applyAlignment="1">
      <alignment horizontal="center" vertical="center"/>
    </xf>
    <xf numFmtId="0" fontId="1" fillId="0" borderId="1" xfId="0" applyNumberFormat="1" applyFont="1" applyBorder="1" applyAlignment="1">
      <alignment horizontal="center" vertical="top"/>
    </xf>
    <xf numFmtId="0" fontId="7" fillId="2" borderId="7" xfId="0" applyFont="1" applyFill="1" applyBorder="1" applyAlignment="1">
      <alignment horizontal="center" vertical="center" wrapText="1"/>
    </xf>
    <xf numFmtId="0" fontId="7" fillId="2" borderId="0"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6" xfId="0" applyFont="1" applyFill="1" applyBorder="1" applyAlignment="1">
      <alignment horizontal="center" vertical="center"/>
    </xf>
  </cellXfs>
  <cellStyles count="4">
    <cellStyle name="Currency" xfId="2" builtinId="4"/>
    <cellStyle name="Euro" xfId="1" xr:uid="{51C2E4FC-1394-4A3E-8E8F-549567CE9E3B}"/>
    <cellStyle name="Normal" xfId="0" builtinId="0"/>
    <cellStyle name="Per cent" xfId="3" builtinId="5"/>
  </cellStyles>
  <dxfs count="2782">
    <dxf>
      <fill>
        <patternFill patternType="solid">
          <bgColor rgb="FF283E78"/>
        </patternFill>
      </fill>
    </dxf>
    <dxf>
      <fill>
        <patternFill>
          <bgColor rgb="FF283E78"/>
        </patternFill>
      </fill>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font>
        <color theme="0"/>
      </font>
    </dxf>
    <dxf>
      <font>
        <color theme="0"/>
      </font>
    </dxf>
    <dxf>
      <font>
        <color theme="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ont>
        <color theme="0"/>
      </font>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theme="0"/>
      </font>
    </dxf>
    <dxf>
      <font>
        <color theme="0"/>
      </font>
    </dxf>
    <dxf>
      <numFmt numFmtId="2" formatCode="0.00"/>
    </dxf>
    <dxf>
      <numFmt numFmtId="2" formatCode="0.00"/>
    </dxf>
    <dxf>
      <numFmt numFmtId="2" formatCode="0.00"/>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rgb="FFF1F3FD"/>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numFmt numFmtId="0" formatCode="General"/>
    </dxf>
    <dxf>
      <numFmt numFmtId="0" formatCode="General"/>
    </dxf>
    <dxf>
      <fill>
        <patternFill>
          <bgColor rgb="FFF1F3FD"/>
        </patternFill>
      </fill>
    </dxf>
    <dxf>
      <fill>
        <patternFill>
          <bgColor rgb="FFF1F3FD"/>
        </patternFill>
      </fill>
    </dxf>
    <dxf>
      <fill>
        <patternFill>
          <bgColor rgb="FFF1F3FD"/>
        </patternFill>
      </fill>
    </dxf>
    <dxf>
      <border>
        <left/>
        <right/>
        <top/>
        <bottom/>
        <horizontal/>
      </border>
    </dxf>
    <dxf>
      <border>
        <left/>
        <right/>
        <top/>
        <bottom/>
        <horizontal/>
      </border>
    </dxf>
    <dxf>
      <border>
        <top style="thin">
          <color indexed="64"/>
        </top>
        <bottom style="thin">
          <color indexed="64"/>
        </bottom>
      </border>
    </dxf>
    <dxf>
      <border>
        <top style="thin">
          <color indexed="64"/>
        </top>
        <bottom style="thin">
          <color indexed="64"/>
        </bottom>
      </border>
    </dxf>
    <dxf>
      <border>
        <top style="thin">
          <color indexed="64"/>
        </top>
      </border>
    </dxf>
    <dxf>
      <border>
        <right style="thin">
          <color indexed="64"/>
        </right>
      </border>
    </dxf>
    <dxf>
      <border>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bottom style="thin">
          <color indexed="64"/>
        </bottom>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ont>
        <color theme="0"/>
      </font>
    </dxf>
    <dxf>
      <fill>
        <patternFill>
          <bgColor rgb="FF283E78"/>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theme="0"/>
      </font>
    </dxf>
    <dxf>
      <font>
        <color theme="0"/>
      </font>
    </dxf>
    <dxf>
      <font>
        <color theme="0"/>
      </font>
    </dxf>
    <dxf>
      <font>
        <color theme="0"/>
      </font>
    </dxf>
    <dxf>
      <font>
        <color theme="0"/>
      </font>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border>
        <top style="thin">
          <color indexed="64"/>
        </top>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border>
        <top/>
        <horizontal/>
      </border>
    </dxf>
    <dxf>
      <border>
        <top/>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theme="0"/>
      </font>
    </dxf>
    <dxf>
      <font>
        <color theme="0"/>
      </font>
    </dxf>
    <dxf>
      <numFmt numFmtId="2" formatCode="0.00"/>
    </dxf>
    <dxf>
      <numFmt numFmtId="2" formatCode="0.00"/>
    </dxf>
    <dxf>
      <numFmt numFmtId="2" formatCode="0.00"/>
    </dxf>
    <dxf>
      <font>
        <b val="0"/>
      </font>
    </dxf>
    <dxf>
      <font>
        <b val="0"/>
      </font>
    </dxf>
    <dxf>
      <font>
        <b val="0"/>
      </font>
    </dxf>
    <dxf>
      <font>
        <b val="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numFmt numFmtId="1" formatCode="0"/>
    </dxf>
    <dxf>
      <fill>
        <patternFill patternType="solid">
          <bgColor rgb="FFFFFFFF"/>
        </patternFill>
      </fill>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fill>
        <patternFill>
          <bgColor theme="9" tint="0.79998168889431442"/>
        </patternFill>
      </fill>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ill>
        <patternFill>
          <bgColor auto="1"/>
        </patternFill>
      </fill>
    </dxf>
    <dxf>
      <fill>
        <patternFill>
          <bgColor auto="1"/>
        </patternFill>
      </fill>
    </dxf>
    <dxf>
      <font>
        <color theme="0"/>
      </font>
    </dxf>
    <dxf>
      <font>
        <color theme="0"/>
      </font>
    </dxf>
    <dxf>
      <fill>
        <patternFill patternType="solid">
          <bgColor rgb="FF283E78"/>
        </patternFill>
      </fill>
    </dxf>
    <dxf>
      <fill>
        <patternFill>
          <bgColor rgb="FF283E78"/>
        </patternFill>
      </fill>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font>
        <color theme="0"/>
      </font>
    </dxf>
    <dxf>
      <font>
        <color theme="0"/>
      </font>
    </dxf>
    <dxf>
      <font>
        <color theme="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ont>
        <color theme="0"/>
      </font>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theme="0"/>
      </font>
    </dxf>
    <dxf>
      <font>
        <color theme="0"/>
      </font>
    </dxf>
    <dxf>
      <numFmt numFmtId="2" formatCode="0.00"/>
    </dxf>
    <dxf>
      <numFmt numFmtId="2" formatCode="0.00"/>
    </dxf>
    <dxf>
      <numFmt numFmtId="2" formatCode="0.00"/>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rgb="FFF1F3FD"/>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numFmt numFmtId="0" formatCode="General"/>
    </dxf>
    <dxf>
      <numFmt numFmtId="0" formatCode="General"/>
    </dxf>
    <dxf>
      <fill>
        <patternFill>
          <bgColor rgb="FFF1F3FD"/>
        </patternFill>
      </fill>
    </dxf>
    <dxf>
      <fill>
        <patternFill>
          <bgColor rgb="FFF1F3FD"/>
        </patternFill>
      </fill>
    </dxf>
    <dxf>
      <fill>
        <patternFill>
          <bgColor rgb="FFF1F3FD"/>
        </patternFill>
      </fill>
    </dxf>
    <dxf>
      <border>
        <left/>
        <right/>
        <top/>
        <bottom/>
        <horizontal/>
      </border>
    </dxf>
    <dxf>
      <border>
        <left/>
        <right/>
        <top/>
        <bottom/>
        <horizontal/>
      </border>
    </dxf>
    <dxf>
      <border>
        <top style="thin">
          <color indexed="64"/>
        </top>
        <bottom style="thin">
          <color indexed="64"/>
        </bottom>
      </border>
    </dxf>
    <dxf>
      <border>
        <top style="thin">
          <color indexed="64"/>
        </top>
        <bottom style="thin">
          <color indexed="64"/>
        </bottom>
      </border>
    </dxf>
    <dxf>
      <border>
        <top style="thin">
          <color indexed="64"/>
        </top>
      </border>
    </dxf>
    <dxf>
      <border>
        <right style="thin">
          <color indexed="64"/>
        </right>
      </border>
    </dxf>
    <dxf>
      <border>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bottom style="thin">
          <color indexed="64"/>
        </bottom>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ont>
        <color theme="0"/>
      </font>
    </dxf>
    <dxf>
      <fill>
        <patternFill>
          <bgColor rgb="FF283E78"/>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theme="0"/>
      </font>
    </dxf>
    <dxf>
      <font>
        <color theme="0"/>
      </font>
    </dxf>
    <dxf>
      <font>
        <color theme="0"/>
      </font>
    </dxf>
    <dxf>
      <font>
        <color theme="0"/>
      </font>
    </dxf>
    <dxf>
      <font>
        <color theme="0"/>
      </font>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border>
        <top style="thin">
          <color indexed="64"/>
        </top>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border>
        <top/>
        <horizontal/>
      </border>
    </dxf>
    <dxf>
      <border>
        <top/>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theme="0"/>
      </font>
    </dxf>
    <dxf>
      <font>
        <color theme="0"/>
      </font>
    </dxf>
    <dxf>
      <numFmt numFmtId="2" formatCode="0.00"/>
    </dxf>
    <dxf>
      <numFmt numFmtId="2" formatCode="0.00"/>
    </dxf>
    <dxf>
      <numFmt numFmtId="2" formatCode="0.00"/>
    </dxf>
    <dxf>
      <font>
        <b val="0"/>
      </font>
    </dxf>
    <dxf>
      <font>
        <b val="0"/>
      </font>
    </dxf>
    <dxf>
      <font>
        <b val="0"/>
      </font>
    </dxf>
    <dxf>
      <font>
        <b val="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numFmt numFmtId="1" formatCode="0"/>
    </dxf>
    <dxf>
      <fill>
        <patternFill patternType="solid">
          <bgColor rgb="FFFFFFFF"/>
        </patternFill>
      </fill>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fill>
        <patternFill>
          <bgColor theme="9" tint="0.79998168889431442"/>
        </patternFill>
      </fill>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ill>
        <patternFill>
          <bgColor auto="1"/>
        </patternFill>
      </fill>
    </dxf>
    <dxf>
      <fill>
        <patternFill>
          <bgColor auto="1"/>
        </patternFill>
      </fill>
    </dxf>
    <dxf>
      <font>
        <color theme="0"/>
      </font>
    </dxf>
    <dxf>
      <font>
        <color theme="0"/>
      </font>
    </dxf>
    <dxf>
      <fill>
        <patternFill patternType="solid">
          <bgColor rgb="FF283E78"/>
        </patternFill>
      </fill>
    </dxf>
    <dxf>
      <fill>
        <patternFill>
          <bgColor rgb="FF283E78"/>
        </patternFill>
      </fill>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font>
        <color theme="0"/>
      </font>
    </dxf>
    <dxf>
      <font>
        <color theme="0"/>
      </font>
    </dxf>
    <dxf>
      <font>
        <color theme="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ont>
        <color theme="0"/>
      </font>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theme="0"/>
      </font>
    </dxf>
    <dxf>
      <font>
        <color theme="0"/>
      </font>
    </dxf>
    <dxf>
      <numFmt numFmtId="2" formatCode="0.00"/>
    </dxf>
    <dxf>
      <numFmt numFmtId="2" formatCode="0.00"/>
    </dxf>
    <dxf>
      <numFmt numFmtId="2" formatCode="0.00"/>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rgb="FFF1F3FD"/>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numFmt numFmtId="0" formatCode="General"/>
    </dxf>
    <dxf>
      <numFmt numFmtId="0" formatCode="General"/>
    </dxf>
    <dxf>
      <fill>
        <patternFill>
          <bgColor rgb="FFF1F3FD"/>
        </patternFill>
      </fill>
    </dxf>
    <dxf>
      <fill>
        <patternFill>
          <bgColor rgb="FFF1F3FD"/>
        </patternFill>
      </fill>
    </dxf>
    <dxf>
      <fill>
        <patternFill>
          <bgColor rgb="FFF1F3FD"/>
        </patternFill>
      </fill>
    </dxf>
    <dxf>
      <border>
        <left/>
        <right/>
        <top/>
        <bottom/>
        <horizontal/>
      </border>
    </dxf>
    <dxf>
      <border>
        <left/>
        <right/>
        <top/>
        <bottom/>
        <horizontal/>
      </border>
    </dxf>
    <dxf>
      <border>
        <top style="thin">
          <color indexed="64"/>
        </top>
        <bottom style="thin">
          <color indexed="64"/>
        </bottom>
      </border>
    </dxf>
    <dxf>
      <border>
        <top style="thin">
          <color indexed="64"/>
        </top>
        <bottom style="thin">
          <color indexed="64"/>
        </bottom>
      </border>
    </dxf>
    <dxf>
      <border>
        <top style="thin">
          <color indexed="64"/>
        </top>
      </border>
    </dxf>
    <dxf>
      <border>
        <right style="thin">
          <color indexed="64"/>
        </right>
      </border>
    </dxf>
    <dxf>
      <border>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bottom style="thin">
          <color indexed="64"/>
        </bottom>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ont>
        <color theme="0"/>
      </font>
    </dxf>
    <dxf>
      <fill>
        <patternFill>
          <bgColor rgb="FF283E78"/>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theme="0"/>
      </font>
    </dxf>
    <dxf>
      <font>
        <color theme="0"/>
      </font>
    </dxf>
    <dxf>
      <font>
        <color theme="0"/>
      </font>
    </dxf>
    <dxf>
      <font>
        <color theme="0"/>
      </font>
    </dxf>
    <dxf>
      <font>
        <color theme="0"/>
      </font>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border>
        <top style="thin">
          <color indexed="64"/>
        </top>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border>
        <top/>
        <horizontal/>
      </border>
    </dxf>
    <dxf>
      <border>
        <top/>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theme="0"/>
      </font>
    </dxf>
    <dxf>
      <font>
        <color theme="0"/>
      </font>
    </dxf>
    <dxf>
      <numFmt numFmtId="2" formatCode="0.00"/>
    </dxf>
    <dxf>
      <numFmt numFmtId="2" formatCode="0.00"/>
    </dxf>
    <dxf>
      <numFmt numFmtId="2" formatCode="0.00"/>
    </dxf>
    <dxf>
      <font>
        <b val="0"/>
      </font>
    </dxf>
    <dxf>
      <font>
        <b val="0"/>
      </font>
    </dxf>
    <dxf>
      <font>
        <b val="0"/>
      </font>
    </dxf>
    <dxf>
      <font>
        <b val="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numFmt numFmtId="1" formatCode="0"/>
    </dxf>
    <dxf>
      <fill>
        <patternFill patternType="solid">
          <bgColor rgb="FFFFFFFF"/>
        </patternFill>
      </fill>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fill>
        <patternFill>
          <bgColor theme="9" tint="0.79998168889431442"/>
        </patternFill>
      </fill>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ill>
        <patternFill>
          <bgColor auto="1"/>
        </patternFill>
      </fill>
    </dxf>
    <dxf>
      <fill>
        <patternFill>
          <bgColor auto="1"/>
        </patternFill>
      </fill>
    </dxf>
    <dxf>
      <font>
        <color theme="0"/>
      </font>
    </dxf>
    <dxf>
      <font>
        <color theme="0"/>
      </font>
    </dxf>
    <dxf>
      <fill>
        <patternFill patternType="solid">
          <bgColor rgb="FF283E78"/>
        </patternFill>
      </fill>
    </dxf>
    <dxf>
      <fill>
        <patternFill>
          <bgColor rgb="FF283E78"/>
        </patternFill>
      </fill>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font>
        <color theme="0"/>
      </font>
    </dxf>
    <dxf>
      <font>
        <color theme="0"/>
      </font>
    </dxf>
    <dxf>
      <font>
        <color theme="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ont>
        <color theme="0"/>
      </font>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theme="0"/>
      </font>
    </dxf>
    <dxf>
      <font>
        <color theme="0"/>
      </font>
    </dxf>
    <dxf>
      <numFmt numFmtId="2" formatCode="0.00"/>
    </dxf>
    <dxf>
      <numFmt numFmtId="2" formatCode="0.00"/>
    </dxf>
    <dxf>
      <numFmt numFmtId="2" formatCode="0.00"/>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rgb="FFF1F3FD"/>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numFmt numFmtId="0" formatCode="General"/>
    </dxf>
    <dxf>
      <numFmt numFmtId="0" formatCode="General"/>
    </dxf>
    <dxf>
      <fill>
        <patternFill>
          <bgColor rgb="FFF1F3FD"/>
        </patternFill>
      </fill>
    </dxf>
    <dxf>
      <fill>
        <patternFill>
          <bgColor rgb="FFF1F3FD"/>
        </patternFill>
      </fill>
    </dxf>
    <dxf>
      <fill>
        <patternFill>
          <bgColor rgb="FFF1F3FD"/>
        </patternFill>
      </fill>
    </dxf>
    <dxf>
      <border>
        <left/>
        <right/>
        <top/>
        <bottom/>
        <horizontal/>
      </border>
    </dxf>
    <dxf>
      <border>
        <left/>
        <right/>
        <top/>
        <bottom/>
        <horizontal/>
      </border>
    </dxf>
    <dxf>
      <border>
        <top style="thin">
          <color indexed="64"/>
        </top>
        <bottom style="thin">
          <color indexed="64"/>
        </bottom>
      </border>
    </dxf>
    <dxf>
      <border>
        <top style="thin">
          <color indexed="64"/>
        </top>
        <bottom style="thin">
          <color indexed="64"/>
        </bottom>
      </border>
    </dxf>
    <dxf>
      <border>
        <top style="thin">
          <color indexed="64"/>
        </top>
      </border>
    </dxf>
    <dxf>
      <border>
        <right style="thin">
          <color indexed="64"/>
        </right>
      </border>
    </dxf>
    <dxf>
      <border>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bottom style="thin">
          <color indexed="64"/>
        </bottom>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ont>
        <color theme="0"/>
      </font>
    </dxf>
    <dxf>
      <fill>
        <patternFill>
          <bgColor rgb="FF283E78"/>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theme="0"/>
      </font>
    </dxf>
    <dxf>
      <font>
        <color theme="0"/>
      </font>
    </dxf>
    <dxf>
      <font>
        <color theme="0"/>
      </font>
    </dxf>
    <dxf>
      <font>
        <color theme="0"/>
      </font>
    </dxf>
    <dxf>
      <font>
        <color theme="0"/>
      </font>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border>
        <top style="thin">
          <color indexed="64"/>
        </top>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border>
        <top/>
        <horizontal/>
      </border>
    </dxf>
    <dxf>
      <border>
        <top/>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theme="0"/>
      </font>
    </dxf>
    <dxf>
      <font>
        <color theme="0"/>
      </font>
    </dxf>
    <dxf>
      <numFmt numFmtId="2" formatCode="0.00"/>
    </dxf>
    <dxf>
      <numFmt numFmtId="2" formatCode="0.00"/>
    </dxf>
    <dxf>
      <numFmt numFmtId="2" formatCode="0.00"/>
    </dxf>
    <dxf>
      <font>
        <b val="0"/>
      </font>
    </dxf>
    <dxf>
      <font>
        <b val="0"/>
      </font>
    </dxf>
    <dxf>
      <font>
        <b val="0"/>
      </font>
    </dxf>
    <dxf>
      <font>
        <b val="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numFmt numFmtId="1" formatCode="0"/>
    </dxf>
    <dxf>
      <fill>
        <patternFill patternType="solid">
          <bgColor rgb="FFFFFFFF"/>
        </patternFill>
      </fill>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fill>
        <patternFill>
          <bgColor theme="9" tint="0.79998168889431442"/>
        </patternFill>
      </fill>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ill>
        <patternFill>
          <bgColor auto="1"/>
        </patternFill>
      </fill>
    </dxf>
    <dxf>
      <fill>
        <patternFill>
          <bgColor auto="1"/>
        </patternFill>
      </fill>
    </dxf>
    <dxf>
      <font>
        <color theme="0"/>
      </font>
    </dxf>
    <dxf>
      <font>
        <color theme="0"/>
      </font>
    </dxf>
    <dxf>
      <fill>
        <patternFill patternType="solid">
          <bgColor rgb="FF283E78"/>
        </patternFill>
      </fill>
    </dxf>
    <dxf>
      <fill>
        <patternFill>
          <bgColor rgb="FF283E78"/>
        </patternFill>
      </fill>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font>
        <color theme="0"/>
      </font>
    </dxf>
    <dxf>
      <font>
        <color theme="0"/>
      </font>
    </dxf>
    <dxf>
      <font>
        <color theme="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ont>
        <color theme="0"/>
      </font>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theme="0"/>
      </font>
    </dxf>
    <dxf>
      <font>
        <color theme="0"/>
      </font>
    </dxf>
    <dxf>
      <numFmt numFmtId="2" formatCode="0.00"/>
    </dxf>
    <dxf>
      <numFmt numFmtId="2" formatCode="0.00"/>
    </dxf>
    <dxf>
      <numFmt numFmtId="2" formatCode="0.00"/>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rgb="FFF1F3FD"/>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numFmt numFmtId="0" formatCode="General"/>
    </dxf>
    <dxf>
      <numFmt numFmtId="0" formatCode="General"/>
    </dxf>
    <dxf>
      <fill>
        <patternFill>
          <bgColor rgb="FFF1F3FD"/>
        </patternFill>
      </fill>
    </dxf>
    <dxf>
      <fill>
        <patternFill>
          <bgColor rgb="FFF1F3FD"/>
        </patternFill>
      </fill>
    </dxf>
    <dxf>
      <fill>
        <patternFill>
          <bgColor rgb="FFF1F3FD"/>
        </patternFill>
      </fill>
    </dxf>
    <dxf>
      <border>
        <left/>
        <right/>
        <top/>
        <bottom/>
        <horizontal/>
      </border>
    </dxf>
    <dxf>
      <border>
        <left/>
        <right/>
        <top/>
        <bottom/>
        <horizontal/>
      </border>
    </dxf>
    <dxf>
      <border>
        <top style="thin">
          <color indexed="64"/>
        </top>
        <bottom style="thin">
          <color indexed="64"/>
        </bottom>
      </border>
    </dxf>
    <dxf>
      <border>
        <top style="thin">
          <color indexed="64"/>
        </top>
        <bottom style="thin">
          <color indexed="64"/>
        </bottom>
      </border>
    </dxf>
    <dxf>
      <border>
        <top style="thin">
          <color indexed="64"/>
        </top>
      </border>
    </dxf>
    <dxf>
      <border>
        <right style="thin">
          <color indexed="64"/>
        </right>
      </border>
    </dxf>
    <dxf>
      <border>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bottom style="thin">
          <color indexed="64"/>
        </bottom>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ont>
        <color theme="0"/>
      </font>
    </dxf>
    <dxf>
      <fill>
        <patternFill>
          <bgColor rgb="FF283E78"/>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theme="0"/>
      </font>
    </dxf>
    <dxf>
      <font>
        <color theme="0"/>
      </font>
    </dxf>
    <dxf>
      <font>
        <color theme="0"/>
      </font>
    </dxf>
    <dxf>
      <font>
        <color theme="0"/>
      </font>
    </dxf>
    <dxf>
      <font>
        <color theme="0"/>
      </font>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border>
        <top style="thin">
          <color indexed="64"/>
        </top>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border>
        <top/>
        <horizontal/>
      </border>
    </dxf>
    <dxf>
      <border>
        <top/>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theme="0"/>
      </font>
    </dxf>
    <dxf>
      <font>
        <color theme="0"/>
      </font>
    </dxf>
    <dxf>
      <numFmt numFmtId="2" formatCode="0.00"/>
    </dxf>
    <dxf>
      <numFmt numFmtId="2" formatCode="0.00"/>
    </dxf>
    <dxf>
      <numFmt numFmtId="2" formatCode="0.00"/>
    </dxf>
    <dxf>
      <font>
        <b val="0"/>
      </font>
    </dxf>
    <dxf>
      <font>
        <b val="0"/>
      </font>
    </dxf>
    <dxf>
      <font>
        <b val="0"/>
      </font>
    </dxf>
    <dxf>
      <font>
        <b val="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numFmt numFmtId="1" formatCode="0"/>
    </dxf>
    <dxf>
      <fill>
        <patternFill patternType="solid">
          <bgColor rgb="FFFFFFFF"/>
        </patternFill>
      </fill>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fill>
        <patternFill>
          <bgColor theme="9" tint="0.79998168889431442"/>
        </patternFill>
      </fill>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ill>
        <patternFill>
          <bgColor auto="1"/>
        </patternFill>
      </fill>
    </dxf>
    <dxf>
      <fill>
        <patternFill>
          <bgColor auto="1"/>
        </patternFill>
      </fill>
    </dxf>
    <dxf>
      <font>
        <color theme="0"/>
      </font>
    </dxf>
    <dxf>
      <font>
        <color theme="0"/>
      </font>
    </dxf>
    <dxf>
      <fill>
        <patternFill patternType="solid">
          <bgColor rgb="FF283E78"/>
        </patternFill>
      </fill>
    </dxf>
    <dxf>
      <fill>
        <patternFill>
          <bgColor rgb="FF283E78"/>
        </patternFill>
      </fill>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font>
        <color theme="0"/>
      </font>
    </dxf>
    <dxf>
      <font>
        <color theme="0"/>
      </font>
    </dxf>
    <dxf>
      <font>
        <color theme="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ont>
        <color theme="0"/>
      </font>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theme="0"/>
      </font>
    </dxf>
    <dxf>
      <font>
        <color theme="0"/>
      </font>
    </dxf>
    <dxf>
      <numFmt numFmtId="2" formatCode="0.00"/>
    </dxf>
    <dxf>
      <numFmt numFmtId="2" formatCode="0.00"/>
    </dxf>
    <dxf>
      <numFmt numFmtId="2" formatCode="0.00"/>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rgb="FFF1F3FD"/>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numFmt numFmtId="0" formatCode="General"/>
    </dxf>
    <dxf>
      <numFmt numFmtId="0" formatCode="General"/>
    </dxf>
    <dxf>
      <fill>
        <patternFill>
          <bgColor rgb="FFF1F3FD"/>
        </patternFill>
      </fill>
    </dxf>
    <dxf>
      <fill>
        <patternFill>
          <bgColor rgb="FFF1F3FD"/>
        </patternFill>
      </fill>
    </dxf>
    <dxf>
      <fill>
        <patternFill>
          <bgColor rgb="FFF1F3FD"/>
        </patternFill>
      </fill>
    </dxf>
    <dxf>
      <border>
        <left/>
        <right/>
        <top/>
        <bottom/>
        <horizontal/>
      </border>
    </dxf>
    <dxf>
      <border>
        <left/>
        <right/>
        <top/>
        <bottom/>
        <horizontal/>
      </border>
    </dxf>
    <dxf>
      <border>
        <top style="thin">
          <color indexed="64"/>
        </top>
        <bottom style="thin">
          <color indexed="64"/>
        </bottom>
      </border>
    </dxf>
    <dxf>
      <border>
        <top style="thin">
          <color indexed="64"/>
        </top>
        <bottom style="thin">
          <color indexed="64"/>
        </bottom>
      </border>
    </dxf>
    <dxf>
      <border>
        <top style="thin">
          <color indexed="64"/>
        </top>
      </border>
    </dxf>
    <dxf>
      <border>
        <right style="thin">
          <color indexed="64"/>
        </right>
      </border>
    </dxf>
    <dxf>
      <border>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bottom style="thin">
          <color indexed="64"/>
        </bottom>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ont>
        <color theme="0"/>
      </font>
    </dxf>
    <dxf>
      <fill>
        <patternFill>
          <bgColor rgb="FF283E78"/>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theme="0"/>
      </font>
    </dxf>
    <dxf>
      <font>
        <color theme="0"/>
      </font>
    </dxf>
    <dxf>
      <font>
        <color theme="0"/>
      </font>
    </dxf>
    <dxf>
      <font>
        <color theme="0"/>
      </font>
    </dxf>
    <dxf>
      <font>
        <color theme="0"/>
      </font>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border>
        <top style="thin">
          <color indexed="64"/>
        </top>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border>
        <top/>
        <horizontal/>
      </border>
    </dxf>
    <dxf>
      <border>
        <top/>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theme="0"/>
      </font>
    </dxf>
    <dxf>
      <font>
        <color theme="0"/>
      </font>
    </dxf>
    <dxf>
      <numFmt numFmtId="1" formatCode="0"/>
    </dxf>
    <dxf>
      <fill>
        <patternFill patternType="solid">
          <bgColor rgb="FFFFFFFF"/>
        </patternFill>
      </fill>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fill>
        <patternFill>
          <bgColor theme="9" tint="0.79998168889431442"/>
        </patternFill>
      </fill>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ill>
        <patternFill>
          <bgColor auto="1"/>
        </patternFill>
      </fill>
    </dxf>
    <dxf>
      <fill>
        <patternFill>
          <bgColor auto="1"/>
        </patternFill>
      </fill>
    </dxf>
    <dxf>
      <font>
        <color theme="0"/>
      </font>
    </dxf>
    <dxf>
      <font>
        <color theme="0"/>
      </font>
    </dxf>
    <dxf>
      <numFmt numFmtId="2" formatCode="0.00"/>
    </dxf>
    <dxf>
      <numFmt numFmtId="2" formatCode="0.00"/>
    </dxf>
    <dxf>
      <numFmt numFmtId="2" formatCode="0.00"/>
    </dxf>
    <dxf>
      <font>
        <b val="0"/>
      </font>
    </dxf>
    <dxf>
      <font>
        <b val="0"/>
      </font>
    </dxf>
    <dxf>
      <font>
        <b val="0"/>
      </font>
    </dxf>
    <dxf>
      <font>
        <b val="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fill>
        <patternFill patternType="solid">
          <bgColor rgb="FF283E78"/>
        </patternFill>
      </fill>
    </dxf>
    <dxf>
      <fill>
        <patternFill>
          <bgColor rgb="FF283E78"/>
        </patternFill>
      </fill>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font>
        <color theme="0"/>
      </font>
    </dxf>
    <dxf>
      <font>
        <color theme="0"/>
      </font>
    </dxf>
    <dxf>
      <font>
        <color theme="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ont>
        <color theme="0"/>
      </font>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theme="0"/>
      </font>
    </dxf>
    <dxf>
      <font>
        <color theme="0"/>
      </font>
    </dxf>
    <dxf>
      <numFmt numFmtId="2" formatCode="0.00"/>
    </dxf>
    <dxf>
      <numFmt numFmtId="2" formatCode="0.00"/>
    </dxf>
    <dxf>
      <numFmt numFmtId="2" formatCode="0.00"/>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rgb="FFF1F3FD"/>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numFmt numFmtId="0" formatCode="General"/>
    </dxf>
    <dxf>
      <numFmt numFmtId="0" formatCode="General"/>
    </dxf>
    <dxf>
      <fill>
        <patternFill>
          <bgColor rgb="FFF1F3FD"/>
        </patternFill>
      </fill>
    </dxf>
    <dxf>
      <fill>
        <patternFill>
          <bgColor rgb="FFF1F3FD"/>
        </patternFill>
      </fill>
    </dxf>
    <dxf>
      <fill>
        <patternFill>
          <bgColor rgb="FFF1F3FD"/>
        </patternFill>
      </fill>
    </dxf>
    <dxf>
      <border>
        <left/>
        <right/>
        <top/>
        <bottom/>
        <horizontal/>
      </border>
    </dxf>
    <dxf>
      <border>
        <left/>
        <right/>
        <top/>
        <bottom/>
        <horizontal/>
      </border>
    </dxf>
    <dxf>
      <border>
        <top style="thin">
          <color indexed="64"/>
        </top>
        <bottom style="thin">
          <color indexed="64"/>
        </bottom>
      </border>
    </dxf>
    <dxf>
      <border>
        <top style="thin">
          <color indexed="64"/>
        </top>
        <bottom style="thin">
          <color indexed="64"/>
        </bottom>
      </border>
    </dxf>
    <dxf>
      <border>
        <top style="thin">
          <color indexed="64"/>
        </top>
      </border>
    </dxf>
    <dxf>
      <border>
        <right style="thin">
          <color indexed="64"/>
        </right>
      </border>
    </dxf>
    <dxf>
      <border>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bottom style="thin">
          <color indexed="64"/>
        </bottom>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ont>
        <color theme="0"/>
      </font>
    </dxf>
    <dxf>
      <fill>
        <patternFill>
          <bgColor rgb="FF283E78"/>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theme="0"/>
      </font>
    </dxf>
    <dxf>
      <font>
        <color theme="0"/>
      </font>
    </dxf>
    <dxf>
      <font>
        <color theme="0"/>
      </font>
    </dxf>
    <dxf>
      <font>
        <color theme="0"/>
      </font>
    </dxf>
    <dxf>
      <font>
        <color theme="0"/>
      </font>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border>
        <top style="thin">
          <color indexed="64"/>
        </top>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border>
        <top/>
        <horizontal/>
      </border>
    </dxf>
    <dxf>
      <border>
        <top/>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theme="0"/>
      </font>
    </dxf>
    <dxf>
      <font>
        <color theme="0"/>
      </font>
    </dxf>
    <dxf>
      <numFmt numFmtId="1" formatCode="0"/>
    </dxf>
    <dxf>
      <fill>
        <patternFill patternType="solid">
          <bgColor rgb="FFFFFFFF"/>
        </patternFill>
      </fill>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fill>
        <patternFill>
          <bgColor theme="9" tint="0.79998168889431442"/>
        </patternFill>
      </fill>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ill>
        <patternFill>
          <bgColor auto="1"/>
        </patternFill>
      </fill>
    </dxf>
    <dxf>
      <fill>
        <patternFill>
          <bgColor auto="1"/>
        </patternFill>
      </fill>
    </dxf>
    <dxf>
      <font>
        <color theme="0"/>
      </font>
    </dxf>
    <dxf>
      <font>
        <color theme="0"/>
      </font>
    </dxf>
    <dxf>
      <numFmt numFmtId="2" formatCode="0.00"/>
    </dxf>
    <dxf>
      <numFmt numFmtId="2" formatCode="0.00"/>
    </dxf>
    <dxf>
      <numFmt numFmtId="2" formatCode="0.00"/>
    </dxf>
    <dxf>
      <font>
        <b val="0"/>
      </font>
    </dxf>
    <dxf>
      <font>
        <b val="0"/>
      </font>
    </dxf>
    <dxf>
      <font>
        <b val="0"/>
      </font>
    </dxf>
    <dxf>
      <font>
        <b val="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fill>
        <patternFill patternType="solid">
          <bgColor rgb="FF283E78"/>
        </patternFill>
      </fill>
    </dxf>
    <dxf>
      <fill>
        <patternFill>
          <bgColor rgb="FF283E78"/>
        </patternFill>
      </fill>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font>
        <color theme="0"/>
      </font>
    </dxf>
    <dxf>
      <font>
        <color theme="0"/>
      </font>
    </dxf>
    <dxf>
      <font>
        <color theme="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ont>
        <color theme="0"/>
      </font>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theme="0"/>
      </font>
    </dxf>
    <dxf>
      <font>
        <color theme="0"/>
      </font>
    </dxf>
    <dxf>
      <numFmt numFmtId="2" formatCode="0.00"/>
    </dxf>
    <dxf>
      <numFmt numFmtId="2" formatCode="0.00"/>
    </dxf>
    <dxf>
      <numFmt numFmtId="2" formatCode="0.00"/>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rgb="FFF1F3FD"/>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numFmt numFmtId="0" formatCode="General"/>
    </dxf>
    <dxf>
      <numFmt numFmtId="0" formatCode="General"/>
    </dxf>
    <dxf>
      <fill>
        <patternFill>
          <bgColor rgb="FFF1F3FD"/>
        </patternFill>
      </fill>
    </dxf>
    <dxf>
      <fill>
        <patternFill>
          <bgColor rgb="FFF1F3FD"/>
        </patternFill>
      </fill>
    </dxf>
    <dxf>
      <fill>
        <patternFill>
          <bgColor rgb="FFF1F3FD"/>
        </patternFill>
      </fill>
    </dxf>
    <dxf>
      <border>
        <left/>
        <right/>
        <top/>
        <bottom/>
        <horizontal/>
      </border>
    </dxf>
    <dxf>
      <border>
        <left/>
        <right/>
        <top/>
        <bottom/>
        <horizontal/>
      </border>
    </dxf>
    <dxf>
      <border>
        <top style="thin">
          <color indexed="64"/>
        </top>
        <bottom style="thin">
          <color indexed="64"/>
        </bottom>
      </border>
    </dxf>
    <dxf>
      <border>
        <top style="thin">
          <color indexed="64"/>
        </top>
        <bottom style="thin">
          <color indexed="64"/>
        </bottom>
      </border>
    </dxf>
    <dxf>
      <border>
        <top style="thin">
          <color indexed="64"/>
        </top>
      </border>
    </dxf>
    <dxf>
      <border>
        <right style="thin">
          <color indexed="64"/>
        </right>
      </border>
    </dxf>
    <dxf>
      <border>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bottom style="thin">
          <color indexed="64"/>
        </bottom>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ont>
        <color theme="0"/>
      </font>
    </dxf>
    <dxf>
      <fill>
        <patternFill>
          <bgColor rgb="FF283E78"/>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theme="0"/>
      </font>
    </dxf>
    <dxf>
      <font>
        <color theme="0"/>
      </font>
    </dxf>
    <dxf>
      <font>
        <color theme="0"/>
      </font>
    </dxf>
    <dxf>
      <font>
        <color theme="0"/>
      </font>
    </dxf>
    <dxf>
      <font>
        <color theme="0"/>
      </font>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border>
        <top style="thin">
          <color indexed="64"/>
        </top>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border>
        <top/>
        <horizontal/>
      </border>
    </dxf>
    <dxf>
      <border>
        <top/>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theme="0"/>
      </font>
    </dxf>
    <dxf>
      <font>
        <color theme="0"/>
      </font>
    </dxf>
    <dxf>
      <numFmt numFmtId="1" formatCode="0"/>
    </dxf>
    <dxf>
      <fill>
        <patternFill patternType="solid">
          <bgColor rgb="FFFFFFFF"/>
        </patternFill>
      </fill>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fill>
        <patternFill>
          <bgColor theme="9" tint="0.79998168889431442"/>
        </patternFill>
      </fill>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ill>
        <patternFill>
          <bgColor auto="1"/>
        </patternFill>
      </fill>
    </dxf>
    <dxf>
      <fill>
        <patternFill>
          <bgColor auto="1"/>
        </patternFill>
      </fill>
    </dxf>
    <dxf>
      <font>
        <color theme="0"/>
      </font>
    </dxf>
    <dxf>
      <font>
        <color theme="0"/>
      </font>
    </dxf>
    <dxf>
      <numFmt numFmtId="2" formatCode="0.00"/>
    </dxf>
    <dxf>
      <numFmt numFmtId="2" formatCode="0.00"/>
    </dxf>
    <dxf>
      <numFmt numFmtId="2" formatCode="0.00"/>
    </dxf>
    <dxf>
      <font>
        <b val="0"/>
      </font>
    </dxf>
    <dxf>
      <font>
        <b val="0"/>
      </font>
    </dxf>
    <dxf>
      <font>
        <b val="0"/>
      </font>
    </dxf>
    <dxf>
      <font>
        <b val="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fill>
        <patternFill patternType="solid">
          <bgColor rgb="FF283E78"/>
        </patternFill>
      </fill>
    </dxf>
    <dxf>
      <fill>
        <patternFill>
          <bgColor rgb="FF283E78"/>
        </patternFill>
      </fill>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font>
        <color theme="0"/>
      </font>
    </dxf>
    <dxf>
      <font>
        <color theme="0"/>
      </font>
    </dxf>
    <dxf>
      <font>
        <color theme="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ont>
        <color theme="0"/>
      </font>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theme="0"/>
      </font>
    </dxf>
    <dxf>
      <font>
        <color theme="0"/>
      </font>
    </dxf>
    <dxf>
      <numFmt numFmtId="2" formatCode="0.00"/>
    </dxf>
    <dxf>
      <numFmt numFmtId="2" formatCode="0.00"/>
    </dxf>
    <dxf>
      <numFmt numFmtId="2" formatCode="0.00"/>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rgb="FFF1F3FD"/>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numFmt numFmtId="0" formatCode="General"/>
    </dxf>
    <dxf>
      <numFmt numFmtId="0" formatCode="General"/>
    </dxf>
    <dxf>
      <fill>
        <patternFill>
          <bgColor rgb="FFF1F3FD"/>
        </patternFill>
      </fill>
    </dxf>
    <dxf>
      <fill>
        <patternFill>
          <bgColor rgb="FFF1F3FD"/>
        </patternFill>
      </fill>
    </dxf>
    <dxf>
      <fill>
        <patternFill>
          <bgColor rgb="FFF1F3FD"/>
        </patternFill>
      </fill>
    </dxf>
    <dxf>
      <border>
        <left/>
        <right/>
        <top/>
        <bottom/>
        <horizontal/>
      </border>
    </dxf>
    <dxf>
      <border>
        <left/>
        <right/>
        <top/>
        <bottom/>
        <horizontal/>
      </border>
    </dxf>
    <dxf>
      <border>
        <top style="thin">
          <color indexed="64"/>
        </top>
        <bottom style="thin">
          <color indexed="64"/>
        </bottom>
      </border>
    </dxf>
    <dxf>
      <border>
        <top style="thin">
          <color indexed="64"/>
        </top>
        <bottom style="thin">
          <color indexed="64"/>
        </bottom>
      </border>
    </dxf>
    <dxf>
      <border>
        <top style="thin">
          <color indexed="64"/>
        </top>
      </border>
    </dxf>
    <dxf>
      <border>
        <right style="thin">
          <color indexed="64"/>
        </right>
      </border>
    </dxf>
    <dxf>
      <border>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bottom style="thin">
          <color indexed="64"/>
        </bottom>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ont>
        <color theme="0"/>
      </font>
    </dxf>
    <dxf>
      <fill>
        <patternFill>
          <bgColor rgb="FF283E78"/>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theme="0"/>
      </font>
    </dxf>
    <dxf>
      <font>
        <color theme="0"/>
      </font>
    </dxf>
    <dxf>
      <font>
        <color theme="0"/>
      </font>
    </dxf>
    <dxf>
      <font>
        <color theme="0"/>
      </font>
    </dxf>
    <dxf>
      <font>
        <color theme="0"/>
      </font>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border>
        <top style="thin">
          <color indexed="64"/>
        </top>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border>
        <top/>
        <horizontal/>
      </border>
    </dxf>
    <dxf>
      <border>
        <top/>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theme="0"/>
      </font>
    </dxf>
    <dxf>
      <font>
        <color theme="0"/>
      </font>
    </dxf>
    <dxf>
      <numFmt numFmtId="1" formatCode="0"/>
    </dxf>
    <dxf>
      <fill>
        <patternFill patternType="solid">
          <bgColor rgb="FFFFFFFF"/>
        </patternFill>
      </fill>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fill>
        <patternFill>
          <bgColor theme="9" tint="0.79998168889431442"/>
        </patternFill>
      </fill>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ill>
        <patternFill>
          <bgColor auto="1"/>
        </patternFill>
      </fill>
    </dxf>
    <dxf>
      <fill>
        <patternFill>
          <bgColor auto="1"/>
        </patternFill>
      </fill>
    </dxf>
    <dxf>
      <font>
        <color theme="0"/>
      </font>
    </dxf>
    <dxf>
      <font>
        <color theme="0"/>
      </font>
    </dxf>
    <dxf>
      <numFmt numFmtId="2" formatCode="0.00"/>
    </dxf>
    <dxf>
      <numFmt numFmtId="2" formatCode="0.00"/>
    </dxf>
    <dxf>
      <numFmt numFmtId="2" formatCode="0.00"/>
    </dxf>
    <dxf>
      <font>
        <b val="0"/>
      </font>
    </dxf>
    <dxf>
      <font>
        <b val="0"/>
      </font>
    </dxf>
    <dxf>
      <font>
        <b val="0"/>
      </font>
    </dxf>
    <dxf>
      <font>
        <b val="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fill>
        <patternFill patternType="solid">
          <bgColor rgb="FF283E78"/>
        </patternFill>
      </fill>
    </dxf>
    <dxf>
      <fill>
        <patternFill>
          <bgColor rgb="FF283E78"/>
        </patternFill>
      </fill>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font>
        <color theme="0"/>
      </font>
    </dxf>
    <dxf>
      <font>
        <color theme="0"/>
      </font>
    </dxf>
    <dxf>
      <font>
        <color theme="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ont>
        <color theme="0"/>
      </font>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theme="0"/>
      </font>
    </dxf>
    <dxf>
      <font>
        <color theme="0"/>
      </font>
    </dxf>
    <dxf>
      <numFmt numFmtId="2" formatCode="0.00"/>
    </dxf>
    <dxf>
      <numFmt numFmtId="2" formatCode="0.00"/>
    </dxf>
    <dxf>
      <numFmt numFmtId="2" formatCode="0.00"/>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rgb="FFF1F3FD"/>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numFmt numFmtId="0" formatCode="General"/>
    </dxf>
    <dxf>
      <numFmt numFmtId="0" formatCode="General"/>
    </dxf>
    <dxf>
      <fill>
        <patternFill>
          <bgColor rgb="FFF1F3FD"/>
        </patternFill>
      </fill>
    </dxf>
    <dxf>
      <fill>
        <patternFill>
          <bgColor rgb="FFF1F3FD"/>
        </patternFill>
      </fill>
    </dxf>
    <dxf>
      <fill>
        <patternFill>
          <bgColor rgb="FFF1F3FD"/>
        </patternFill>
      </fill>
    </dxf>
    <dxf>
      <border>
        <left/>
        <right/>
        <top/>
        <bottom/>
        <horizontal/>
      </border>
    </dxf>
    <dxf>
      <border>
        <left/>
        <right/>
        <top/>
        <bottom/>
        <horizontal/>
      </border>
    </dxf>
    <dxf>
      <border>
        <top style="thin">
          <color indexed="64"/>
        </top>
        <bottom style="thin">
          <color indexed="64"/>
        </bottom>
      </border>
    </dxf>
    <dxf>
      <border>
        <top style="thin">
          <color indexed="64"/>
        </top>
        <bottom style="thin">
          <color indexed="64"/>
        </bottom>
      </border>
    </dxf>
    <dxf>
      <border>
        <top style="thin">
          <color indexed="64"/>
        </top>
      </border>
    </dxf>
    <dxf>
      <border>
        <right style="thin">
          <color indexed="64"/>
        </right>
      </border>
    </dxf>
    <dxf>
      <border>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bottom style="thin">
          <color indexed="64"/>
        </bottom>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ont>
        <color theme="0"/>
      </font>
    </dxf>
    <dxf>
      <fill>
        <patternFill>
          <bgColor rgb="FF283E78"/>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theme="0"/>
      </font>
    </dxf>
    <dxf>
      <font>
        <color theme="0"/>
      </font>
    </dxf>
    <dxf>
      <font>
        <color theme="0"/>
      </font>
    </dxf>
    <dxf>
      <font>
        <color theme="0"/>
      </font>
    </dxf>
    <dxf>
      <font>
        <color theme="0"/>
      </font>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border>
        <top style="thin">
          <color indexed="64"/>
        </top>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border>
        <top/>
        <horizontal/>
      </border>
    </dxf>
    <dxf>
      <border>
        <top/>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theme="0"/>
      </font>
    </dxf>
    <dxf>
      <font>
        <color theme="0"/>
      </font>
    </dxf>
    <dxf>
      <numFmt numFmtId="2" formatCode="0.00"/>
    </dxf>
    <dxf>
      <numFmt numFmtId="2" formatCode="0.00"/>
    </dxf>
    <dxf>
      <numFmt numFmtId="2" formatCode="0.00"/>
    </dxf>
    <dxf>
      <font>
        <b val="0"/>
      </font>
    </dxf>
    <dxf>
      <font>
        <b val="0"/>
      </font>
    </dxf>
    <dxf>
      <font>
        <b val="0"/>
      </font>
    </dxf>
    <dxf>
      <font>
        <b val="0"/>
      </font>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theme="0"/>
      </font>
    </dxf>
    <dxf>
      <font>
        <color theme="0"/>
      </font>
    </dxf>
    <dxf>
      <numFmt numFmtId="1" formatCode="0"/>
    </dxf>
    <dxf>
      <fill>
        <patternFill patternType="solid">
          <bgColor rgb="FFFFFFFF"/>
        </patternFill>
      </fill>
    </dxf>
    <dxf>
      <fill>
        <patternFill patternType="solid">
          <bgColor rgb="FFFFFFFF"/>
        </patternFill>
      </fill>
    </dxf>
    <dxf>
      <fill>
        <patternFill patternType="solid">
          <bgColor rgb="FFFFFFFF"/>
        </patternFill>
      </fill>
    </dxf>
    <dxf>
      <fill>
        <patternFill>
          <bgColor theme="9" tint="0.79998168889431442"/>
        </patternFill>
      </fill>
    </dxf>
    <dxf>
      <fill>
        <patternFill>
          <bgColor theme="9" tint="0.79998168889431442"/>
        </patternFill>
      </fill>
    </dxf>
    <dxf>
      <fill>
        <patternFill>
          <bgColor theme="9" tint="0.79998168889431442"/>
        </patternFill>
      </fill>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border>
    </dxf>
    <dxf>
      <border>
        <bottom/>
      </border>
    </dxf>
    <dxf>
      <border>
        <bottom/>
      </border>
    </dxf>
    <dxf>
      <border>
        <bottom/>
      </border>
    </dxf>
    <dxf>
      <border>
        <bottom/>
      </border>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patternType="solid">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ill>
        <patternFill>
          <bgColor rgb="FF283E78"/>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ill>
        <patternFill>
          <bgColor auto="1"/>
        </patternFill>
      </fill>
    </dxf>
    <dxf>
      <fill>
        <patternFill>
          <bgColor auto="1"/>
        </patternFill>
      </fill>
    </dxf>
    <dxf>
      <font>
        <color theme="0"/>
      </font>
    </dxf>
    <dxf>
      <font>
        <color theme="0"/>
      </font>
    </dxf>
    <dxf>
      <font>
        <b/>
        <i val="0"/>
        <color theme="0"/>
      </font>
      <fill>
        <patternFill>
          <bgColor rgb="FF31498F"/>
        </patternFill>
      </fill>
    </dxf>
    <dxf>
      <fill>
        <patternFill>
          <bgColor rgb="FF283E78"/>
        </patternFill>
      </fill>
    </dxf>
  </dxfs>
  <tableStyles count="1" defaultTableStyle="TableStyleMedium9" defaultPivotStyle="PivotStyleLight16">
    <tableStyle name="Slicer Style 1" pivot="0" table="0" count="8" xr9:uid="{7CD5FC42-78CE-4B43-848A-9E22F2384FCB}">
      <tableStyleElement type="wholeTable" dxfId="2781"/>
      <tableStyleElement type="headerRow" dxfId="2780"/>
    </tableStyle>
  </tableStyles>
  <colors>
    <mruColors>
      <color rgb="FFFFFFFF"/>
      <color rgb="FF000000"/>
      <color rgb="FF4F8FE8"/>
      <color rgb="FF99F6E4"/>
      <color rgb="FF283E78"/>
      <color rgb="FF60A5FA"/>
      <color rgb="FF3B82F6"/>
      <color rgb="FFA78BFA"/>
      <color rgb="FFF59E0B"/>
      <color rgb="FFE5E7EB"/>
    </mruColors>
  </colors>
  <extLst>
    <ext xmlns:x14="http://schemas.microsoft.com/office/spreadsheetml/2009/9/main" uri="{46F421CA-312F-682f-3DD2-61675219B42D}">
      <x14:dxfs count="6">
        <dxf>
          <font>
            <color theme="0"/>
          </font>
          <fill>
            <patternFill>
              <bgColor rgb="FF3B82F6"/>
            </patternFill>
          </fill>
        </dxf>
        <dxf>
          <font>
            <color rgb="FF1E3A8A"/>
          </font>
          <fill>
            <patternFill>
              <bgColor rgb="FFBFDBFE"/>
            </patternFill>
          </fill>
        </dxf>
        <dxf>
          <font>
            <color theme="0"/>
          </font>
          <fill>
            <patternFill>
              <bgColor rgb="FF475569"/>
            </patternFill>
          </fill>
        </dxf>
        <dxf>
          <font>
            <b/>
            <i val="0"/>
            <color rgb="FFFFFFFF"/>
          </font>
          <fill>
            <patternFill>
              <bgColor rgb="FF60A5FA"/>
            </patternFill>
          </fill>
        </dxf>
        <dxf>
          <fill>
            <patternFill>
              <bgColor rgb="FFE5E7EB"/>
            </patternFill>
          </fill>
        </dxf>
        <dxf>
          <font>
            <color rgb="FF283E78"/>
          </font>
          <fill>
            <patternFill>
              <bgColor rgb="FFE5E7EB"/>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[Accounts-Payable.xlsx]Pivot 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Vendor Payment Summary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0A5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78BFA"/>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0A5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78BFA"/>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c:f>
              <c:strCache>
                <c:ptCount val="1"/>
                <c:pt idx="0">
                  <c:v>Total Invoice Amount</c:v>
                </c:pt>
              </c:strCache>
            </c:strRef>
          </c:tx>
          <c:spPr>
            <a:solidFill>
              <a:srgbClr val="60A5FA"/>
            </a:solidFill>
            <a:ln>
              <a:noFill/>
            </a:ln>
            <a:effectLst/>
          </c:spPr>
          <c:invertIfNegative val="0"/>
          <c:cat>
            <c:strRef>
              <c:f>'Pivot Tables'!$B$4:$B$8</c:f>
              <c:strCache>
                <c:ptCount val="5"/>
                <c:pt idx="0">
                  <c:v>BluePrints</c:v>
                </c:pt>
                <c:pt idx="1">
                  <c:v>ABC Supplies</c:v>
                </c:pt>
                <c:pt idx="2">
                  <c:v>Global Office</c:v>
                </c:pt>
                <c:pt idx="3">
                  <c:v>TechMart</c:v>
                </c:pt>
                <c:pt idx="4">
                  <c:v>Fast Travel</c:v>
                </c:pt>
              </c:strCache>
            </c:strRef>
          </c:cat>
          <c:val>
            <c:numRef>
              <c:f>'Pivot Tables'!$C$4:$C$8</c:f>
              <c:numCache>
                <c:formatCode>General</c:formatCode>
                <c:ptCount val="5"/>
                <c:pt idx="0">
                  <c:v>482597.74999999971</c:v>
                </c:pt>
                <c:pt idx="1">
                  <c:v>416980.13999999978</c:v>
                </c:pt>
                <c:pt idx="2">
                  <c:v>404254.30000000016</c:v>
                </c:pt>
                <c:pt idx="3">
                  <c:v>381739.68999999989</c:v>
                </c:pt>
                <c:pt idx="4">
                  <c:v>379818.64999999997</c:v>
                </c:pt>
              </c:numCache>
            </c:numRef>
          </c:val>
          <c:extLst>
            <c:ext xmlns:c16="http://schemas.microsoft.com/office/drawing/2014/chart" uri="{C3380CC4-5D6E-409C-BE32-E72D297353CC}">
              <c16:uniqueId val="{00000000-AD61-49D1-A906-3CBE2AC8E707}"/>
            </c:ext>
          </c:extLst>
        </c:ser>
        <c:ser>
          <c:idx val="1"/>
          <c:order val="1"/>
          <c:tx>
            <c:strRef>
              <c:f>'Pivot Tables'!$D$3</c:f>
              <c:strCache>
                <c:ptCount val="1"/>
                <c:pt idx="0">
                  <c:v>Total Paid Amount</c:v>
                </c:pt>
              </c:strCache>
            </c:strRef>
          </c:tx>
          <c:spPr>
            <a:solidFill>
              <a:srgbClr val="34D399"/>
            </a:solidFill>
            <a:ln>
              <a:noFill/>
            </a:ln>
            <a:effectLst/>
          </c:spPr>
          <c:invertIfNegative val="0"/>
          <c:cat>
            <c:strRef>
              <c:f>'Pivot Tables'!$B$4:$B$8</c:f>
              <c:strCache>
                <c:ptCount val="5"/>
                <c:pt idx="0">
                  <c:v>BluePrints</c:v>
                </c:pt>
                <c:pt idx="1">
                  <c:v>ABC Supplies</c:v>
                </c:pt>
                <c:pt idx="2">
                  <c:v>Global Office</c:v>
                </c:pt>
                <c:pt idx="3">
                  <c:v>TechMart</c:v>
                </c:pt>
                <c:pt idx="4">
                  <c:v>Fast Travel</c:v>
                </c:pt>
              </c:strCache>
            </c:strRef>
          </c:cat>
          <c:val>
            <c:numRef>
              <c:f>'Pivot Tables'!$D$4:$D$8</c:f>
              <c:numCache>
                <c:formatCode>General</c:formatCode>
                <c:ptCount val="5"/>
                <c:pt idx="0">
                  <c:v>143243.37999999998</c:v>
                </c:pt>
                <c:pt idx="1">
                  <c:v>119856.74</c:v>
                </c:pt>
                <c:pt idx="2">
                  <c:v>137555.19999999998</c:v>
                </c:pt>
                <c:pt idx="3">
                  <c:v>116472.76999999996</c:v>
                </c:pt>
                <c:pt idx="4">
                  <c:v>135059.13999999998</c:v>
                </c:pt>
              </c:numCache>
            </c:numRef>
          </c:val>
          <c:extLst>
            <c:ext xmlns:c16="http://schemas.microsoft.com/office/drawing/2014/chart" uri="{C3380CC4-5D6E-409C-BE32-E72D297353CC}">
              <c16:uniqueId val="{00000001-AD61-49D1-A906-3CBE2AC8E707}"/>
            </c:ext>
          </c:extLst>
        </c:ser>
        <c:ser>
          <c:idx val="2"/>
          <c:order val="2"/>
          <c:tx>
            <c:strRef>
              <c:f>'Pivot Tables'!$E$3</c:f>
              <c:strCache>
                <c:ptCount val="1"/>
                <c:pt idx="0">
                  <c:v>Total Outstanding Amount</c:v>
                </c:pt>
              </c:strCache>
            </c:strRef>
          </c:tx>
          <c:spPr>
            <a:solidFill>
              <a:srgbClr val="A78BFA"/>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Tables'!$B$4:$B$8</c:f>
              <c:strCache>
                <c:ptCount val="5"/>
                <c:pt idx="0">
                  <c:v>BluePrints</c:v>
                </c:pt>
                <c:pt idx="1">
                  <c:v>ABC Supplies</c:v>
                </c:pt>
                <c:pt idx="2">
                  <c:v>Global Office</c:v>
                </c:pt>
                <c:pt idx="3">
                  <c:v>TechMart</c:v>
                </c:pt>
                <c:pt idx="4">
                  <c:v>Fast Travel</c:v>
                </c:pt>
              </c:strCache>
            </c:strRef>
          </c:cat>
          <c:val>
            <c:numRef>
              <c:f>'Pivot Tables'!$E$4:$E$8</c:f>
              <c:numCache>
                <c:formatCode>0.00</c:formatCode>
                <c:ptCount val="5"/>
                <c:pt idx="0">
                  <c:v>145870.60000000003</c:v>
                </c:pt>
                <c:pt idx="1">
                  <c:v>151717.55000000005</c:v>
                </c:pt>
                <c:pt idx="2">
                  <c:v>129187.87000000001</c:v>
                </c:pt>
                <c:pt idx="3">
                  <c:v>124440.23000000004</c:v>
                </c:pt>
                <c:pt idx="4">
                  <c:v>118422.88999999998</c:v>
                </c:pt>
              </c:numCache>
            </c:numRef>
          </c:val>
          <c:extLst>
            <c:ext xmlns:c16="http://schemas.microsoft.com/office/drawing/2014/chart" uri="{C3380CC4-5D6E-409C-BE32-E72D297353CC}">
              <c16:uniqueId val="{00000002-AD61-49D1-A906-3CBE2AC8E707}"/>
            </c:ext>
          </c:extLst>
        </c:ser>
        <c:dLbls>
          <c:showLegendKey val="0"/>
          <c:showVal val="0"/>
          <c:showCatName val="0"/>
          <c:showSerName val="0"/>
          <c:showPercent val="0"/>
          <c:showBubbleSize val="0"/>
        </c:dLbls>
        <c:gapWidth val="124"/>
        <c:overlap val="-27"/>
        <c:axId val="142987008"/>
        <c:axId val="142982432"/>
      </c:barChart>
      <c:catAx>
        <c:axId val="14298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E5E7EB"/>
                </a:solidFill>
                <a:latin typeface="+mn-lt"/>
                <a:ea typeface="+mn-ea"/>
                <a:cs typeface="+mn-cs"/>
              </a:defRPr>
            </a:pPr>
            <a:endParaRPr lang="en-US"/>
          </a:p>
        </c:txPr>
        <c:crossAx val="142982432"/>
        <c:crosses val="autoZero"/>
        <c:auto val="0"/>
        <c:lblAlgn val="ctr"/>
        <c:lblOffset val="100"/>
        <c:noMultiLvlLbl val="0"/>
      </c:catAx>
      <c:valAx>
        <c:axId val="142982432"/>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5E7EB"/>
                </a:solidFill>
                <a:latin typeface="+mn-lt"/>
                <a:ea typeface="+mn-ea"/>
                <a:cs typeface="+mn-cs"/>
              </a:defRPr>
            </a:pPr>
            <a:endParaRPr lang="en-US"/>
          </a:p>
        </c:txPr>
        <c:crossAx val="142987008"/>
        <c:crosses val="autoZero"/>
        <c:crossBetween val="between"/>
        <c:dispUnits>
          <c:builtInUnit val="thousands"/>
        </c:dispUnits>
      </c:valAx>
      <c:spPr>
        <a:solidFill>
          <a:srgbClr val="2A407E"/>
        </a:solidFill>
        <a:ln>
          <a:noFill/>
        </a:ln>
        <a:effectLst/>
      </c:spPr>
    </c:plotArea>
    <c:legend>
      <c:legendPos val="t"/>
      <c:layout>
        <c:manualLayout>
          <c:xMode val="edge"/>
          <c:yMode val="edge"/>
          <c:x val="0"/>
          <c:y val="0.16105395232120451"/>
          <c:w val="0.99689947473207985"/>
          <c:h val="0.17398156472599019"/>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E5E7E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83E7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[Accounts-Payable.xlsx]Pivot Tables!PivotTable3</c:name>
    <c:fmtId val="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Outstanding Invoices by Aging Bucket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60A5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BBF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F44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0A5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BBF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F44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Tables'!$H$3:$H$4</c:f>
              <c:strCache>
                <c:ptCount val="1"/>
                <c:pt idx="0">
                  <c:v>1-30</c:v>
                </c:pt>
              </c:strCache>
            </c:strRef>
          </c:tx>
          <c:spPr>
            <a:solidFill>
              <a:srgbClr val="60A5FA"/>
            </a:solidFill>
            <a:ln>
              <a:noFill/>
            </a:ln>
            <a:effectLst/>
          </c:spPr>
          <c:invertIfNegative val="0"/>
          <c:cat>
            <c:strRef>
              <c:f>'Pivot Tables'!$G$5:$G$9</c:f>
              <c:strCache>
                <c:ptCount val="5"/>
                <c:pt idx="0">
                  <c:v>BluePrints</c:v>
                </c:pt>
                <c:pt idx="1">
                  <c:v>Global Office</c:v>
                </c:pt>
                <c:pt idx="2">
                  <c:v>ABC Supplies</c:v>
                </c:pt>
                <c:pt idx="3">
                  <c:v>TechMart</c:v>
                </c:pt>
                <c:pt idx="4">
                  <c:v>Fast Travel</c:v>
                </c:pt>
              </c:strCache>
            </c:strRef>
          </c:cat>
          <c:val>
            <c:numRef>
              <c:f>'Pivot Tables'!$H$5:$H$9</c:f>
              <c:numCache>
                <c:formatCode>General</c:formatCode>
                <c:ptCount val="5"/>
                <c:pt idx="0">
                  <c:v>3</c:v>
                </c:pt>
                <c:pt idx="1">
                  <c:v>4</c:v>
                </c:pt>
                <c:pt idx="2">
                  <c:v>5</c:v>
                </c:pt>
                <c:pt idx="3">
                  <c:v>7</c:v>
                </c:pt>
                <c:pt idx="4">
                  <c:v>2</c:v>
                </c:pt>
              </c:numCache>
            </c:numRef>
          </c:val>
          <c:extLst>
            <c:ext xmlns:c16="http://schemas.microsoft.com/office/drawing/2014/chart" uri="{C3380CC4-5D6E-409C-BE32-E72D297353CC}">
              <c16:uniqueId val="{00000029-B636-4FD5-80E7-73F26E017957}"/>
            </c:ext>
          </c:extLst>
        </c:ser>
        <c:ser>
          <c:idx val="1"/>
          <c:order val="1"/>
          <c:tx>
            <c:strRef>
              <c:f>'Pivot Tables'!$I$3:$I$4</c:f>
              <c:strCache>
                <c:ptCount val="1"/>
                <c:pt idx="0">
                  <c:v>31-60</c:v>
                </c:pt>
              </c:strCache>
            </c:strRef>
          </c:tx>
          <c:spPr>
            <a:solidFill>
              <a:srgbClr val="FBBF24"/>
            </a:solidFill>
            <a:ln>
              <a:noFill/>
            </a:ln>
            <a:effectLst/>
          </c:spPr>
          <c:invertIfNegative val="0"/>
          <c:cat>
            <c:strRef>
              <c:f>'Pivot Tables'!$G$5:$G$9</c:f>
              <c:strCache>
                <c:ptCount val="5"/>
                <c:pt idx="0">
                  <c:v>BluePrints</c:v>
                </c:pt>
                <c:pt idx="1">
                  <c:v>Global Office</c:v>
                </c:pt>
                <c:pt idx="2">
                  <c:v>ABC Supplies</c:v>
                </c:pt>
                <c:pt idx="3">
                  <c:v>TechMart</c:v>
                </c:pt>
                <c:pt idx="4">
                  <c:v>Fast Travel</c:v>
                </c:pt>
              </c:strCache>
            </c:strRef>
          </c:cat>
          <c:val>
            <c:numRef>
              <c:f>'Pivot Tables'!$I$5:$I$9</c:f>
              <c:numCache>
                <c:formatCode>General</c:formatCode>
                <c:ptCount val="5"/>
                <c:pt idx="0">
                  <c:v>5</c:v>
                </c:pt>
                <c:pt idx="1">
                  <c:v>5</c:v>
                </c:pt>
                <c:pt idx="3">
                  <c:v>3</c:v>
                </c:pt>
                <c:pt idx="4">
                  <c:v>3</c:v>
                </c:pt>
              </c:numCache>
            </c:numRef>
          </c:val>
          <c:extLst>
            <c:ext xmlns:c16="http://schemas.microsoft.com/office/drawing/2014/chart" uri="{C3380CC4-5D6E-409C-BE32-E72D297353CC}">
              <c16:uniqueId val="{00000001-60FE-4B27-8E0C-1C4F5D98A801}"/>
            </c:ext>
          </c:extLst>
        </c:ser>
        <c:ser>
          <c:idx val="2"/>
          <c:order val="2"/>
          <c:tx>
            <c:strRef>
              <c:f>'Pivot Tables'!$J$3:$J$4</c:f>
              <c:strCache>
                <c:ptCount val="1"/>
                <c:pt idx="0">
                  <c:v>61-90</c:v>
                </c:pt>
              </c:strCache>
            </c:strRef>
          </c:tx>
          <c:spPr>
            <a:solidFill>
              <a:srgbClr val="F97316"/>
            </a:solidFill>
            <a:ln>
              <a:noFill/>
            </a:ln>
            <a:effectLst/>
          </c:spPr>
          <c:invertIfNegative val="0"/>
          <c:cat>
            <c:strRef>
              <c:f>'Pivot Tables'!$G$5:$G$9</c:f>
              <c:strCache>
                <c:ptCount val="5"/>
                <c:pt idx="0">
                  <c:v>BluePrints</c:v>
                </c:pt>
                <c:pt idx="1">
                  <c:v>Global Office</c:v>
                </c:pt>
                <c:pt idx="2">
                  <c:v>ABC Supplies</c:v>
                </c:pt>
                <c:pt idx="3">
                  <c:v>TechMart</c:v>
                </c:pt>
                <c:pt idx="4">
                  <c:v>Fast Travel</c:v>
                </c:pt>
              </c:strCache>
            </c:strRef>
          </c:cat>
          <c:val>
            <c:numRef>
              <c:f>'Pivot Tables'!$J$5:$J$9</c:f>
              <c:numCache>
                <c:formatCode>General</c:formatCode>
                <c:ptCount val="5"/>
                <c:pt idx="0">
                  <c:v>2</c:v>
                </c:pt>
                <c:pt idx="1">
                  <c:v>1</c:v>
                </c:pt>
                <c:pt idx="2">
                  <c:v>7</c:v>
                </c:pt>
                <c:pt idx="3">
                  <c:v>5</c:v>
                </c:pt>
                <c:pt idx="4">
                  <c:v>5</c:v>
                </c:pt>
              </c:numCache>
            </c:numRef>
          </c:val>
          <c:extLst>
            <c:ext xmlns:c16="http://schemas.microsoft.com/office/drawing/2014/chart" uri="{C3380CC4-5D6E-409C-BE32-E72D297353CC}">
              <c16:uniqueId val="{00000002-60FE-4B27-8E0C-1C4F5D98A801}"/>
            </c:ext>
          </c:extLst>
        </c:ser>
        <c:ser>
          <c:idx val="3"/>
          <c:order val="3"/>
          <c:tx>
            <c:strRef>
              <c:f>'Pivot Tables'!$K$3:$K$4</c:f>
              <c:strCache>
                <c:ptCount val="1"/>
                <c:pt idx="0">
                  <c:v>90+</c:v>
                </c:pt>
              </c:strCache>
            </c:strRef>
          </c:tx>
          <c:spPr>
            <a:solidFill>
              <a:srgbClr val="EF44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Tables'!$G$5:$G$9</c:f>
              <c:strCache>
                <c:ptCount val="5"/>
                <c:pt idx="0">
                  <c:v>BluePrints</c:v>
                </c:pt>
                <c:pt idx="1">
                  <c:v>Global Office</c:v>
                </c:pt>
                <c:pt idx="2">
                  <c:v>ABC Supplies</c:v>
                </c:pt>
                <c:pt idx="3">
                  <c:v>TechMart</c:v>
                </c:pt>
                <c:pt idx="4">
                  <c:v>Fast Travel</c:v>
                </c:pt>
              </c:strCache>
            </c:strRef>
          </c:cat>
          <c:val>
            <c:numRef>
              <c:f>'Pivot Tables'!$K$5:$K$9</c:f>
              <c:numCache>
                <c:formatCode>General</c:formatCode>
                <c:ptCount val="5"/>
                <c:pt idx="0">
                  <c:v>115</c:v>
                </c:pt>
                <c:pt idx="1">
                  <c:v>100</c:v>
                </c:pt>
                <c:pt idx="2">
                  <c:v>98</c:v>
                </c:pt>
                <c:pt idx="3">
                  <c:v>93</c:v>
                </c:pt>
                <c:pt idx="4">
                  <c:v>78</c:v>
                </c:pt>
              </c:numCache>
            </c:numRef>
          </c:val>
          <c:extLst>
            <c:ext xmlns:c16="http://schemas.microsoft.com/office/drawing/2014/chart" uri="{C3380CC4-5D6E-409C-BE32-E72D297353CC}">
              <c16:uniqueId val="{00000003-60FE-4B27-8E0C-1C4F5D98A801}"/>
            </c:ext>
          </c:extLst>
        </c:ser>
        <c:dLbls>
          <c:showLegendKey val="0"/>
          <c:showVal val="0"/>
          <c:showCatName val="0"/>
          <c:showSerName val="0"/>
          <c:showPercent val="0"/>
          <c:showBubbleSize val="0"/>
        </c:dLbls>
        <c:gapWidth val="219"/>
        <c:overlap val="100"/>
        <c:axId val="2069945696"/>
        <c:axId val="2069940704"/>
      </c:barChart>
      <c:catAx>
        <c:axId val="2069945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E5E7EB"/>
                </a:solidFill>
                <a:latin typeface="+mn-lt"/>
                <a:ea typeface="+mn-ea"/>
                <a:cs typeface="+mn-cs"/>
              </a:defRPr>
            </a:pPr>
            <a:endParaRPr lang="en-US"/>
          </a:p>
        </c:txPr>
        <c:crossAx val="2069940704"/>
        <c:crosses val="autoZero"/>
        <c:auto val="1"/>
        <c:lblAlgn val="ctr"/>
        <c:lblOffset val="100"/>
        <c:noMultiLvlLbl val="0"/>
      </c:catAx>
      <c:valAx>
        <c:axId val="2069940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5E7EB"/>
                </a:solidFill>
                <a:latin typeface="+mn-lt"/>
                <a:ea typeface="+mn-ea"/>
                <a:cs typeface="+mn-cs"/>
              </a:defRPr>
            </a:pPr>
            <a:endParaRPr lang="en-US"/>
          </a:p>
        </c:txPr>
        <c:crossAx val="2069945696"/>
        <c:crosses val="autoZero"/>
        <c:crossBetween val="between"/>
      </c:valAx>
      <c:spPr>
        <a:solidFill>
          <a:srgbClr val="2A407E"/>
        </a:solid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rgbClr val="E5E7E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83E7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[Accounts-Payable.xlsx]Pivot Tables!PivotTable12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Invoice, Paid &amp; Outstanding Trend by Year</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0" cap="rnd">
            <a:solidFill>
              <a:srgbClr val="60A5FA"/>
            </a:solidFill>
            <a:round/>
          </a:ln>
          <a:effectLst/>
        </c:spPr>
        <c:marker>
          <c:symbol val="circle"/>
          <c:size val="7"/>
          <c:spPr>
            <a:solidFill>
              <a:schemeClr val="accent1"/>
            </a:solidFill>
            <a:ln w="9525">
              <a:solidFill>
                <a:schemeClr val="bg1"/>
              </a:solidFill>
            </a:ln>
            <a:effectLst/>
          </c:spPr>
        </c:marker>
        <c:dLbl>
          <c:idx val="0"/>
          <c:numFmt formatCode="&quot;$&quot;#,##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
        <c:spPr>
          <a:solidFill>
            <a:schemeClr val="accent1"/>
          </a:solidFill>
          <a:ln w="31750" cap="rnd">
            <a:solidFill>
              <a:srgbClr val="34D399"/>
            </a:solidFill>
            <a:round/>
          </a:ln>
          <a:effectLst/>
        </c:spPr>
        <c:marker>
          <c:symbol val="circle"/>
          <c:size val="7"/>
          <c:spPr>
            <a:solidFill>
              <a:srgbClr val="34D399"/>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rgbClr val="A78BFA"/>
            </a:solidFill>
            <a:round/>
          </a:ln>
          <a:effectLst/>
        </c:spPr>
        <c:marker>
          <c:symbol val="circle"/>
          <c:size val="7"/>
          <c:spPr>
            <a:solidFill>
              <a:srgbClr val="A78BFA"/>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rgbClr val="60A5FA"/>
            </a:solidFill>
            <a:round/>
          </a:ln>
          <a:effectLst/>
        </c:spPr>
        <c:marker>
          <c:symbol val="circle"/>
          <c:size val="7"/>
          <c:spPr>
            <a:solidFill>
              <a:srgbClr val="60A5FA"/>
            </a:solidFill>
            <a:ln w="9525">
              <a:solidFill>
                <a:schemeClr val="bg1"/>
              </a:solidFill>
            </a:ln>
            <a:effectLst/>
          </c:spPr>
        </c:marker>
        <c:dLbl>
          <c:idx val="0"/>
          <c:numFmt formatCode="&quot;$&quot;#,##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4"/>
        <c:spPr>
          <a:solidFill>
            <a:schemeClr val="accent1"/>
          </a:solidFill>
          <a:ln w="31750" cap="rnd">
            <a:solidFill>
              <a:srgbClr val="60A5FA"/>
            </a:solidFill>
            <a:round/>
          </a:ln>
          <a:effectLst/>
        </c:spPr>
        <c:marker>
          <c:symbol val="circle"/>
          <c:size val="7"/>
          <c:spPr>
            <a:solidFill>
              <a:schemeClr val="accent1"/>
            </a:solidFill>
            <a:ln w="9525">
              <a:solidFill>
                <a:schemeClr val="bg1"/>
              </a:solidFill>
            </a:ln>
            <a:effectLst/>
          </c:spPr>
        </c:marker>
        <c:dLbl>
          <c:idx val="0"/>
          <c:numFmt formatCode="&quot;$&quot;#,##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5"/>
        <c:spPr>
          <a:solidFill>
            <a:schemeClr val="accent1"/>
          </a:solidFill>
          <a:ln w="31750" cap="rnd">
            <a:solidFill>
              <a:srgbClr val="A78BFA"/>
            </a:solidFill>
            <a:round/>
          </a:ln>
          <a:effectLst/>
        </c:spPr>
        <c:marker>
          <c:symbol val="circle"/>
          <c:size val="7"/>
          <c:spPr>
            <a:solidFill>
              <a:srgbClr val="A78BFA"/>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1750" cap="rnd">
            <a:solidFill>
              <a:srgbClr val="A78BFA"/>
            </a:solidFill>
            <a:round/>
          </a:ln>
          <a:effectLst/>
        </c:spPr>
        <c:marker>
          <c:symbol val="circle"/>
          <c:size val="7"/>
          <c:spPr>
            <a:solidFill>
              <a:srgbClr val="A78BFA"/>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1750" cap="rnd">
            <a:solidFill>
              <a:srgbClr val="34D399"/>
            </a:solidFill>
            <a:round/>
          </a:ln>
          <a:effectLst/>
        </c:spPr>
        <c:marker>
          <c:symbol val="circle"/>
          <c:size val="7"/>
          <c:spPr>
            <a:solidFill>
              <a:srgbClr val="34D399"/>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31750" cap="rnd">
            <a:solidFill>
              <a:srgbClr val="34D399"/>
            </a:solidFill>
            <a:round/>
          </a:ln>
          <a:effectLst/>
        </c:spPr>
        <c:marker>
          <c:symbol val="circle"/>
          <c:size val="7"/>
          <c:spPr>
            <a:solidFill>
              <a:srgbClr val="34D399"/>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31750" cap="rnd">
            <a:solidFill>
              <a:srgbClr val="34D399"/>
            </a:solidFill>
            <a:round/>
          </a:ln>
          <a:effectLst/>
        </c:spPr>
        <c:marker>
          <c:symbol val="circle"/>
          <c:size val="7"/>
          <c:spPr>
            <a:solidFill>
              <a:srgbClr val="34D399"/>
            </a:solidFill>
            <a:ln w="9525">
              <a:solidFill>
                <a:schemeClr val="bg1"/>
              </a:solidFill>
            </a:ln>
            <a:effectLst/>
          </c:spPr>
        </c:marker>
        <c:dLbl>
          <c:idx val="0"/>
          <c:layout>
            <c:manualLayout>
              <c:x val="-0.17250910302878814"/>
              <c:y val="3.4408590497471678E-2"/>
            </c:manualLayout>
          </c:layout>
          <c:numFmt formatCode="&quot;$&quot;#,##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0"/>
        <c:spPr>
          <a:solidFill>
            <a:schemeClr val="accent1"/>
          </a:solidFill>
          <a:ln w="31750" cap="rnd">
            <a:solidFill>
              <a:srgbClr val="60A5FA"/>
            </a:solidFill>
            <a:round/>
          </a:ln>
          <a:effectLst/>
        </c:spPr>
        <c:marker>
          <c:symbol val="circle"/>
          <c:size val="7"/>
          <c:spPr>
            <a:solidFill>
              <a:schemeClr val="accent1"/>
            </a:solidFill>
            <a:ln w="9525">
              <a:solidFill>
                <a:schemeClr val="bg1"/>
              </a:solidFill>
            </a:ln>
            <a:effectLst/>
          </c:spPr>
        </c:marker>
        <c:dLbl>
          <c:idx val="0"/>
          <c:layout>
            <c:manualLayout>
              <c:x val="-1.5524559430071241E-2"/>
              <c:y val="-6.8817180994943355E-2"/>
            </c:manualLayout>
          </c:layout>
          <c:numFmt formatCode="&quot;$&quot;#,##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1"/>
        <c:spPr>
          <a:solidFill>
            <a:schemeClr val="accent1"/>
          </a:solidFill>
          <a:ln w="31750" cap="rnd">
            <a:solidFill>
              <a:srgbClr val="A78BFA"/>
            </a:solidFill>
            <a:round/>
          </a:ln>
          <a:effectLst/>
        </c:spPr>
        <c:marker>
          <c:symbol val="circle"/>
          <c:size val="7"/>
          <c:spPr>
            <a:solidFill>
              <a:srgbClr val="A78BFA"/>
            </a:solidFill>
            <a:ln w="9525">
              <a:solidFill>
                <a:schemeClr val="bg1"/>
              </a:solidFill>
            </a:ln>
            <a:effectLst/>
          </c:spPr>
        </c:marker>
        <c:dLbl>
          <c:idx val="0"/>
          <c:layout>
            <c:manualLayout>
              <c:x val="-2.6426696662917135E-3"/>
              <c:y val="-5.1612885746207517E-2"/>
            </c:manualLayout>
          </c:layout>
          <c:numFmt formatCode="&quot;$&quot;#,##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2"/>
        <c:spPr>
          <a:ln w="31750" cap="rnd">
            <a:solidFill>
              <a:srgbClr val="60A5FA"/>
            </a:solidFill>
            <a:round/>
          </a:ln>
          <a:effectLst/>
        </c:spPr>
        <c:marker>
          <c:symbol val="circle"/>
          <c:size val="7"/>
          <c:spPr>
            <a:solidFill>
              <a:schemeClr val="accent1"/>
            </a:solidFill>
            <a:ln w="9525">
              <a:solidFill>
                <a:schemeClr val="bg1"/>
              </a:solidFill>
            </a:ln>
            <a:effectLst/>
          </c:spPr>
        </c:marker>
        <c:dLbl>
          <c:idx val="0"/>
          <c:numFmt formatCode="&quot;$&quot;#,##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3"/>
        <c:spPr>
          <a:ln w="31750" cap="rnd">
            <a:solidFill>
              <a:srgbClr val="60A5FA"/>
            </a:solidFill>
            <a:round/>
          </a:ln>
          <a:effectLst/>
        </c:spPr>
        <c:marker>
          <c:symbol val="circle"/>
          <c:size val="7"/>
          <c:spPr>
            <a:solidFill>
              <a:srgbClr val="60A5FA"/>
            </a:solidFill>
            <a:ln w="9525">
              <a:solidFill>
                <a:schemeClr val="bg1"/>
              </a:solidFill>
            </a:ln>
            <a:effectLst/>
          </c:spPr>
        </c:marker>
        <c:dLbl>
          <c:idx val="0"/>
          <c:numFmt formatCode="&quot;$&quot;#,##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4"/>
        <c:spPr>
          <a:ln w="31750" cap="rnd">
            <a:solidFill>
              <a:srgbClr val="60A5FA"/>
            </a:solidFill>
            <a:round/>
          </a:ln>
          <a:effectLst/>
        </c:spPr>
        <c:marker>
          <c:symbol val="circle"/>
          <c:size val="7"/>
          <c:spPr>
            <a:solidFill>
              <a:schemeClr val="accent1"/>
            </a:solidFill>
            <a:ln w="9525">
              <a:solidFill>
                <a:schemeClr val="bg1"/>
              </a:solidFill>
            </a:ln>
            <a:effectLst/>
          </c:spPr>
        </c:marker>
        <c:dLbl>
          <c:idx val="0"/>
          <c:numFmt formatCode="&quot;$&quot;#,##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5"/>
        <c:spPr>
          <a:ln w="31750" cap="rnd">
            <a:solidFill>
              <a:srgbClr val="60A5FA"/>
            </a:solidFill>
            <a:round/>
          </a:ln>
          <a:effectLst/>
        </c:spPr>
        <c:marker>
          <c:symbol val="circle"/>
          <c:size val="7"/>
          <c:spPr>
            <a:solidFill>
              <a:schemeClr val="accent1"/>
            </a:solidFill>
            <a:ln w="9525">
              <a:solidFill>
                <a:schemeClr val="bg1"/>
              </a:solidFill>
            </a:ln>
            <a:effectLst/>
          </c:spPr>
        </c:marker>
        <c:dLbl>
          <c:idx val="0"/>
          <c:layout>
            <c:manualLayout>
              <c:x val="-1.5524559430071241E-2"/>
              <c:y val="-6.8817180994943355E-2"/>
            </c:manualLayout>
          </c:layout>
          <c:numFmt formatCode="&quot;$&quot;#,##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6"/>
        <c:spPr>
          <a:ln w="31750" cap="rnd">
            <a:solidFill>
              <a:srgbClr val="34D399"/>
            </a:solidFill>
            <a:round/>
          </a:ln>
          <a:effectLst/>
        </c:spPr>
        <c:marker>
          <c:symbol val="circle"/>
          <c:size val="7"/>
          <c:spPr>
            <a:solidFill>
              <a:srgbClr val="34D399"/>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rgbClr val="34D399"/>
            </a:solidFill>
            <a:round/>
          </a:ln>
          <a:effectLst/>
        </c:spPr>
        <c:marker>
          <c:symbol val="circle"/>
          <c:size val="7"/>
          <c:spPr>
            <a:solidFill>
              <a:srgbClr val="34D399"/>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1750" cap="rnd">
            <a:solidFill>
              <a:srgbClr val="34D399"/>
            </a:solidFill>
            <a:round/>
          </a:ln>
          <a:effectLst/>
        </c:spPr>
        <c:marker>
          <c:symbol val="circle"/>
          <c:size val="7"/>
          <c:spPr>
            <a:solidFill>
              <a:srgbClr val="34D399"/>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1750" cap="rnd">
            <a:solidFill>
              <a:srgbClr val="34D399"/>
            </a:solidFill>
            <a:round/>
          </a:ln>
          <a:effectLst/>
        </c:spPr>
        <c:marker>
          <c:symbol val="circle"/>
          <c:size val="7"/>
          <c:spPr>
            <a:solidFill>
              <a:srgbClr val="34D399"/>
            </a:solidFill>
            <a:ln w="9525">
              <a:solidFill>
                <a:schemeClr val="bg1"/>
              </a:solidFill>
            </a:ln>
            <a:effectLst/>
          </c:spPr>
        </c:marker>
        <c:dLbl>
          <c:idx val="0"/>
          <c:layout>
            <c:manualLayout>
              <c:x val="-0.17250910302878814"/>
              <c:y val="3.4408590497471678E-2"/>
            </c:manualLayout>
          </c:layout>
          <c:numFmt formatCode="&quot;$&quot;#,##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20"/>
        <c:spPr>
          <a:ln w="31750" cap="rnd">
            <a:solidFill>
              <a:srgbClr val="A78BFA"/>
            </a:solidFill>
            <a:round/>
          </a:ln>
          <a:effectLst/>
        </c:spPr>
        <c:marker>
          <c:symbol val="circle"/>
          <c:size val="7"/>
          <c:spPr>
            <a:solidFill>
              <a:srgbClr val="A78BFA"/>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1"/>
        <c:spPr>
          <a:ln w="31750" cap="rnd">
            <a:solidFill>
              <a:srgbClr val="A78BFA"/>
            </a:solidFill>
            <a:round/>
          </a:ln>
          <a:effectLst/>
        </c:spPr>
        <c:marker>
          <c:symbol val="circle"/>
          <c:size val="7"/>
          <c:spPr>
            <a:solidFill>
              <a:srgbClr val="A78BFA"/>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31750" cap="rnd">
            <a:solidFill>
              <a:srgbClr val="A78BFA"/>
            </a:solidFill>
            <a:round/>
          </a:ln>
          <a:effectLst/>
        </c:spPr>
        <c:marker>
          <c:symbol val="circle"/>
          <c:size val="7"/>
          <c:spPr>
            <a:solidFill>
              <a:srgbClr val="A78BFA"/>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31750" cap="rnd">
            <a:solidFill>
              <a:srgbClr val="A78BFA"/>
            </a:solidFill>
            <a:round/>
          </a:ln>
          <a:effectLst/>
        </c:spPr>
        <c:marker>
          <c:symbol val="circle"/>
          <c:size val="7"/>
          <c:spPr>
            <a:solidFill>
              <a:srgbClr val="A78BFA"/>
            </a:solidFill>
            <a:ln w="9525">
              <a:solidFill>
                <a:schemeClr val="bg1"/>
              </a:solidFill>
            </a:ln>
            <a:effectLst/>
          </c:spPr>
        </c:marker>
        <c:dLbl>
          <c:idx val="0"/>
          <c:layout>
            <c:manualLayout>
              <c:x val="-2.6426696662917135E-3"/>
              <c:y val="-5.1612885746207517E-2"/>
            </c:manualLayout>
          </c:layout>
          <c:numFmt formatCode="&quot;$&quot;#,##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s>
    <c:plotArea>
      <c:layout>
        <c:manualLayout>
          <c:layoutTarget val="inner"/>
          <c:xMode val="edge"/>
          <c:yMode val="edge"/>
          <c:x val="8.8838061908928054E-2"/>
          <c:y val="0.22292280365462619"/>
          <c:w val="0.86087168412200898"/>
          <c:h val="0.69692031892239881"/>
        </c:manualLayout>
      </c:layout>
      <c:lineChart>
        <c:grouping val="standard"/>
        <c:varyColors val="0"/>
        <c:ser>
          <c:idx val="0"/>
          <c:order val="0"/>
          <c:tx>
            <c:strRef>
              <c:f>'Pivot Tables'!$N$3</c:f>
              <c:strCache>
                <c:ptCount val="1"/>
                <c:pt idx="0">
                  <c:v>Total Invoice Amount</c:v>
                </c:pt>
              </c:strCache>
            </c:strRef>
          </c:tx>
          <c:spPr>
            <a:ln w="31750" cap="rnd">
              <a:solidFill>
                <a:srgbClr val="60A5FA"/>
              </a:solidFill>
              <a:round/>
            </a:ln>
            <a:effectLst/>
          </c:spPr>
          <c:marker>
            <c:symbol val="circle"/>
            <c:size val="7"/>
            <c:spPr>
              <a:solidFill>
                <a:schemeClr val="accent1"/>
              </a:solidFill>
              <a:ln w="9525">
                <a:solidFill>
                  <a:schemeClr val="bg1"/>
                </a:solidFill>
              </a:ln>
              <a:effectLst/>
            </c:spPr>
          </c:marker>
          <c:dPt>
            <c:idx val="0"/>
            <c:marker>
              <c:symbol val="circle"/>
              <c:size val="7"/>
              <c:spPr>
                <a:solidFill>
                  <a:srgbClr val="60A5FA"/>
                </a:solidFill>
                <a:ln w="9525">
                  <a:solidFill>
                    <a:schemeClr val="bg1"/>
                  </a:solidFill>
                </a:ln>
                <a:effectLst/>
              </c:spPr>
            </c:marker>
            <c:bubble3D val="0"/>
            <c:spPr>
              <a:ln w="31750" cap="rnd">
                <a:solidFill>
                  <a:srgbClr val="60A5FA"/>
                </a:solidFill>
                <a:round/>
              </a:ln>
              <a:effectLst/>
            </c:spPr>
            <c:extLst>
              <c:ext xmlns:c16="http://schemas.microsoft.com/office/drawing/2014/chart" uri="{C3380CC4-5D6E-409C-BE32-E72D297353CC}">
                <c16:uniqueId val="{00000001-20CF-46C0-BC4D-ADCAE0528CB4}"/>
              </c:ext>
            </c:extLst>
          </c:dPt>
          <c:dPt>
            <c:idx val="1"/>
            <c:marker>
              <c:symbol val="circle"/>
              <c:size val="7"/>
              <c:spPr>
                <a:solidFill>
                  <a:schemeClr val="accent1"/>
                </a:solidFill>
                <a:ln w="9525">
                  <a:solidFill>
                    <a:schemeClr val="bg1"/>
                  </a:solidFill>
                </a:ln>
                <a:effectLst/>
              </c:spPr>
            </c:marker>
            <c:bubble3D val="0"/>
            <c:spPr>
              <a:ln w="31750" cap="rnd">
                <a:solidFill>
                  <a:srgbClr val="60A5FA"/>
                </a:solidFill>
                <a:round/>
              </a:ln>
              <a:effectLst/>
            </c:spPr>
            <c:extLst>
              <c:ext xmlns:c16="http://schemas.microsoft.com/office/drawing/2014/chart" uri="{C3380CC4-5D6E-409C-BE32-E72D297353CC}">
                <c16:uniqueId val="{00000003-20CF-46C0-BC4D-ADCAE0528CB4}"/>
              </c:ext>
            </c:extLst>
          </c:dPt>
          <c:dPt>
            <c:idx val="2"/>
            <c:marker>
              <c:symbol val="circle"/>
              <c:size val="7"/>
              <c:spPr>
                <a:solidFill>
                  <a:schemeClr val="accent1"/>
                </a:solidFill>
                <a:ln w="9525">
                  <a:solidFill>
                    <a:schemeClr val="bg1"/>
                  </a:solidFill>
                </a:ln>
                <a:effectLst/>
              </c:spPr>
            </c:marker>
            <c:bubble3D val="0"/>
            <c:spPr>
              <a:ln w="31750" cap="rnd">
                <a:solidFill>
                  <a:srgbClr val="60A5FA"/>
                </a:solidFill>
                <a:round/>
              </a:ln>
              <a:effectLst/>
            </c:spPr>
            <c:extLst>
              <c:ext xmlns:c16="http://schemas.microsoft.com/office/drawing/2014/chart" uri="{C3380CC4-5D6E-409C-BE32-E72D297353CC}">
                <c16:uniqueId val="{00000005-20CF-46C0-BC4D-ADCAE0528CB4}"/>
              </c:ext>
            </c:extLst>
          </c:dPt>
          <c:dLbls>
            <c:dLbl>
              <c:idx val="0"/>
              <c:delete val="1"/>
              <c:extLst>
                <c:ext xmlns:c15="http://schemas.microsoft.com/office/drawing/2012/chart" uri="{CE6537A1-D6FC-4f65-9D91-7224C49458BB}"/>
                <c:ext xmlns:c16="http://schemas.microsoft.com/office/drawing/2014/chart" uri="{C3380CC4-5D6E-409C-BE32-E72D297353CC}">
                  <c16:uniqueId val="{00000001-20CF-46C0-BC4D-ADCAE0528CB4}"/>
                </c:ext>
              </c:extLst>
            </c:dLbl>
            <c:dLbl>
              <c:idx val="1"/>
              <c:delete val="1"/>
              <c:extLst>
                <c:ext xmlns:c15="http://schemas.microsoft.com/office/drawing/2012/chart" uri="{CE6537A1-D6FC-4f65-9D91-7224C49458BB}"/>
                <c:ext xmlns:c16="http://schemas.microsoft.com/office/drawing/2014/chart" uri="{C3380CC4-5D6E-409C-BE32-E72D297353CC}">
                  <c16:uniqueId val="{00000003-20CF-46C0-BC4D-ADCAE0528CB4}"/>
                </c:ext>
              </c:extLst>
            </c:dLbl>
            <c:dLbl>
              <c:idx val="2"/>
              <c:layout>
                <c:manualLayout>
                  <c:x val="-1.5524559430071241E-2"/>
                  <c:y val="-6.88171809949433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CF-46C0-BC4D-ADCAE0528CB4}"/>
                </c:ext>
              </c:extLst>
            </c:dLbl>
            <c:numFmt formatCode="&quot;$&quot;#,##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Tables'!$M$4:$M$6</c:f>
              <c:strCache>
                <c:ptCount val="3"/>
                <c:pt idx="0">
                  <c:v>2023</c:v>
                </c:pt>
                <c:pt idx="1">
                  <c:v>2024</c:v>
                </c:pt>
                <c:pt idx="2">
                  <c:v>2025</c:v>
                </c:pt>
              </c:strCache>
            </c:strRef>
          </c:cat>
          <c:val>
            <c:numRef>
              <c:f>'Pivot Tables'!$N$4:$N$6</c:f>
              <c:numCache>
                <c:formatCode>0.00</c:formatCode>
                <c:ptCount val="3"/>
                <c:pt idx="0">
                  <c:v>883740.25000000023</c:v>
                </c:pt>
                <c:pt idx="1">
                  <c:v>807803.00000000023</c:v>
                </c:pt>
                <c:pt idx="2">
                  <c:v>373847.2799999998</c:v>
                </c:pt>
              </c:numCache>
            </c:numRef>
          </c:val>
          <c:smooth val="0"/>
          <c:extLst>
            <c:ext xmlns:c16="http://schemas.microsoft.com/office/drawing/2014/chart" uri="{C3380CC4-5D6E-409C-BE32-E72D297353CC}">
              <c16:uniqueId val="{00000016-4739-49C5-9D7A-895DD5C08C9E}"/>
            </c:ext>
          </c:extLst>
        </c:ser>
        <c:ser>
          <c:idx val="1"/>
          <c:order val="1"/>
          <c:tx>
            <c:strRef>
              <c:f>'Pivot Tables'!$O$3</c:f>
              <c:strCache>
                <c:ptCount val="1"/>
                <c:pt idx="0">
                  <c:v>Total Paid Amount </c:v>
                </c:pt>
              </c:strCache>
            </c:strRef>
          </c:tx>
          <c:spPr>
            <a:ln w="31750" cap="rnd">
              <a:solidFill>
                <a:srgbClr val="34D399"/>
              </a:solidFill>
              <a:round/>
            </a:ln>
            <a:effectLst/>
          </c:spPr>
          <c:marker>
            <c:symbol val="circle"/>
            <c:size val="7"/>
            <c:spPr>
              <a:solidFill>
                <a:srgbClr val="34D399"/>
              </a:solidFill>
              <a:ln w="9525">
                <a:solidFill>
                  <a:schemeClr val="bg1"/>
                </a:solidFill>
              </a:ln>
              <a:effectLst/>
            </c:spPr>
          </c:marker>
          <c:dPt>
            <c:idx val="0"/>
            <c:marker>
              <c:symbol val="circle"/>
              <c:size val="7"/>
              <c:spPr>
                <a:solidFill>
                  <a:srgbClr val="34D399"/>
                </a:solidFill>
                <a:ln w="9525">
                  <a:solidFill>
                    <a:schemeClr val="bg1"/>
                  </a:solidFill>
                </a:ln>
                <a:effectLst/>
              </c:spPr>
            </c:marker>
            <c:bubble3D val="0"/>
            <c:spPr>
              <a:ln w="31750" cap="rnd">
                <a:solidFill>
                  <a:srgbClr val="34D399"/>
                </a:solidFill>
                <a:round/>
              </a:ln>
              <a:effectLst/>
            </c:spPr>
            <c:extLst>
              <c:ext xmlns:c16="http://schemas.microsoft.com/office/drawing/2014/chart" uri="{C3380CC4-5D6E-409C-BE32-E72D297353CC}">
                <c16:uniqueId val="{00000007-20CF-46C0-BC4D-ADCAE0528CB4}"/>
              </c:ext>
            </c:extLst>
          </c:dPt>
          <c:dPt>
            <c:idx val="1"/>
            <c:marker>
              <c:symbol val="circle"/>
              <c:size val="7"/>
              <c:spPr>
                <a:solidFill>
                  <a:srgbClr val="34D399"/>
                </a:solidFill>
                <a:ln w="9525">
                  <a:solidFill>
                    <a:schemeClr val="bg1"/>
                  </a:solidFill>
                </a:ln>
                <a:effectLst/>
              </c:spPr>
            </c:marker>
            <c:bubble3D val="0"/>
            <c:spPr>
              <a:ln w="31750" cap="rnd">
                <a:solidFill>
                  <a:srgbClr val="34D399"/>
                </a:solidFill>
                <a:round/>
              </a:ln>
              <a:effectLst/>
            </c:spPr>
            <c:extLst>
              <c:ext xmlns:c16="http://schemas.microsoft.com/office/drawing/2014/chart" uri="{C3380CC4-5D6E-409C-BE32-E72D297353CC}">
                <c16:uniqueId val="{00000009-20CF-46C0-BC4D-ADCAE0528CB4}"/>
              </c:ext>
            </c:extLst>
          </c:dPt>
          <c:dPt>
            <c:idx val="2"/>
            <c:marker>
              <c:symbol val="circle"/>
              <c:size val="7"/>
              <c:spPr>
                <a:solidFill>
                  <a:srgbClr val="34D399"/>
                </a:solidFill>
                <a:ln w="9525">
                  <a:solidFill>
                    <a:schemeClr val="bg1"/>
                  </a:solidFill>
                </a:ln>
                <a:effectLst/>
              </c:spPr>
            </c:marker>
            <c:bubble3D val="0"/>
            <c:spPr>
              <a:ln w="31750" cap="rnd">
                <a:solidFill>
                  <a:srgbClr val="34D399"/>
                </a:solidFill>
                <a:round/>
              </a:ln>
              <a:effectLst/>
            </c:spPr>
            <c:extLst>
              <c:ext xmlns:c16="http://schemas.microsoft.com/office/drawing/2014/chart" uri="{C3380CC4-5D6E-409C-BE32-E72D297353CC}">
                <c16:uniqueId val="{0000000B-20CF-46C0-BC4D-ADCAE0528CB4}"/>
              </c:ext>
            </c:extLst>
          </c:dPt>
          <c:dLbls>
            <c:dLbl>
              <c:idx val="0"/>
              <c:delete val="1"/>
              <c:extLst>
                <c:ext xmlns:c15="http://schemas.microsoft.com/office/drawing/2012/chart" uri="{CE6537A1-D6FC-4f65-9D91-7224C49458BB}"/>
                <c:ext xmlns:c16="http://schemas.microsoft.com/office/drawing/2014/chart" uri="{C3380CC4-5D6E-409C-BE32-E72D297353CC}">
                  <c16:uniqueId val="{00000007-20CF-46C0-BC4D-ADCAE0528CB4}"/>
                </c:ext>
              </c:extLst>
            </c:dLbl>
            <c:dLbl>
              <c:idx val="1"/>
              <c:delete val="1"/>
              <c:extLst>
                <c:ext xmlns:c15="http://schemas.microsoft.com/office/drawing/2012/chart" uri="{CE6537A1-D6FC-4f65-9D91-7224C49458BB}"/>
                <c:ext xmlns:c16="http://schemas.microsoft.com/office/drawing/2014/chart" uri="{C3380CC4-5D6E-409C-BE32-E72D297353CC}">
                  <c16:uniqueId val="{00000009-20CF-46C0-BC4D-ADCAE0528CB4}"/>
                </c:ext>
              </c:extLst>
            </c:dLbl>
            <c:dLbl>
              <c:idx val="2"/>
              <c:layout>
                <c:manualLayout>
                  <c:x val="-0.17250910302878814"/>
                  <c:y val="3.4408590497471678E-2"/>
                </c:manualLayout>
              </c:layout>
              <c:numFmt formatCode="&quot;$&quot;#,##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 xmlns:c16="http://schemas.microsoft.com/office/drawing/2014/chart" uri="{C3380CC4-5D6E-409C-BE32-E72D297353CC}">
                  <c16:uniqueId val="{0000000B-20CF-46C0-BC4D-ADCAE0528C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Tables'!$M$4:$M$6</c:f>
              <c:strCache>
                <c:ptCount val="3"/>
                <c:pt idx="0">
                  <c:v>2023</c:v>
                </c:pt>
                <c:pt idx="1">
                  <c:v>2024</c:v>
                </c:pt>
                <c:pt idx="2">
                  <c:v>2025</c:v>
                </c:pt>
              </c:strCache>
            </c:strRef>
          </c:cat>
          <c:val>
            <c:numRef>
              <c:f>'Pivot Tables'!$O$4:$O$6</c:f>
              <c:numCache>
                <c:formatCode>General</c:formatCode>
                <c:ptCount val="3"/>
                <c:pt idx="0">
                  <c:v>312998.3899999999</c:v>
                </c:pt>
                <c:pt idx="1">
                  <c:v>218500.03999999992</c:v>
                </c:pt>
                <c:pt idx="2">
                  <c:v>120688.80000000002</c:v>
                </c:pt>
              </c:numCache>
            </c:numRef>
          </c:val>
          <c:smooth val="0"/>
          <c:extLst>
            <c:ext xmlns:c16="http://schemas.microsoft.com/office/drawing/2014/chart" uri="{C3380CC4-5D6E-409C-BE32-E72D297353CC}">
              <c16:uniqueId val="{00000017-4739-49C5-9D7A-895DD5C08C9E}"/>
            </c:ext>
          </c:extLst>
        </c:ser>
        <c:ser>
          <c:idx val="2"/>
          <c:order val="2"/>
          <c:tx>
            <c:strRef>
              <c:f>'Pivot Tables'!$P$3</c:f>
              <c:strCache>
                <c:ptCount val="1"/>
                <c:pt idx="0">
                  <c:v>Total Outstanding Amount</c:v>
                </c:pt>
              </c:strCache>
            </c:strRef>
          </c:tx>
          <c:spPr>
            <a:ln w="31750" cap="rnd">
              <a:solidFill>
                <a:srgbClr val="A78BFA"/>
              </a:solidFill>
              <a:round/>
            </a:ln>
            <a:effectLst/>
          </c:spPr>
          <c:marker>
            <c:symbol val="circle"/>
            <c:size val="7"/>
            <c:spPr>
              <a:solidFill>
                <a:srgbClr val="A78BFA"/>
              </a:solidFill>
              <a:ln w="9525">
                <a:solidFill>
                  <a:schemeClr val="bg1"/>
                </a:solidFill>
              </a:ln>
              <a:effectLst/>
            </c:spPr>
          </c:marker>
          <c:dPt>
            <c:idx val="0"/>
            <c:marker>
              <c:symbol val="circle"/>
              <c:size val="7"/>
              <c:spPr>
                <a:solidFill>
                  <a:srgbClr val="A78BFA"/>
                </a:solidFill>
                <a:ln w="9525">
                  <a:solidFill>
                    <a:schemeClr val="bg1"/>
                  </a:solidFill>
                </a:ln>
                <a:effectLst/>
              </c:spPr>
            </c:marker>
            <c:bubble3D val="0"/>
            <c:spPr>
              <a:ln w="31750" cap="rnd">
                <a:solidFill>
                  <a:srgbClr val="A78BFA"/>
                </a:solidFill>
                <a:round/>
              </a:ln>
              <a:effectLst/>
            </c:spPr>
            <c:extLst>
              <c:ext xmlns:c16="http://schemas.microsoft.com/office/drawing/2014/chart" uri="{C3380CC4-5D6E-409C-BE32-E72D297353CC}">
                <c16:uniqueId val="{0000000D-20CF-46C0-BC4D-ADCAE0528CB4}"/>
              </c:ext>
            </c:extLst>
          </c:dPt>
          <c:dPt>
            <c:idx val="1"/>
            <c:marker>
              <c:symbol val="circle"/>
              <c:size val="7"/>
              <c:spPr>
                <a:solidFill>
                  <a:srgbClr val="A78BFA"/>
                </a:solidFill>
                <a:ln w="9525">
                  <a:solidFill>
                    <a:schemeClr val="bg1"/>
                  </a:solidFill>
                </a:ln>
                <a:effectLst/>
              </c:spPr>
            </c:marker>
            <c:bubble3D val="0"/>
            <c:spPr>
              <a:ln w="31750" cap="rnd">
                <a:solidFill>
                  <a:srgbClr val="A78BFA"/>
                </a:solidFill>
                <a:round/>
              </a:ln>
              <a:effectLst/>
            </c:spPr>
            <c:extLst>
              <c:ext xmlns:c16="http://schemas.microsoft.com/office/drawing/2014/chart" uri="{C3380CC4-5D6E-409C-BE32-E72D297353CC}">
                <c16:uniqueId val="{0000000F-20CF-46C0-BC4D-ADCAE0528CB4}"/>
              </c:ext>
            </c:extLst>
          </c:dPt>
          <c:dPt>
            <c:idx val="2"/>
            <c:marker>
              <c:symbol val="circle"/>
              <c:size val="7"/>
              <c:spPr>
                <a:solidFill>
                  <a:srgbClr val="A78BFA"/>
                </a:solidFill>
                <a:ln w="9525">
                  <a:solidFill>
                    <a:schemeClr val="bg1"/>
                  </a:solidFill>
                </a:ln>
                <a:effectLst/>
              </c:spPr>
            </c:marker>
            <c:bubble3D val="0"/>
            <c:spPr>
              <a:ln w="31750" cap="rnd">
                <a:solidFill>
                  <a:srgbClr val="A78BFA"/>
                </a:solidFill>
                <a:round/>
              </a:ln>
              <a:effectLst/>
            </c:spPr>
            <c:extLst>
              <c:ext xmlns:c16="http://schemas.microsoft.com/office/drawing/2014/chart" uri="{C3380CC4-5D6E-409C-BE32-E72D297353CC}">
                <c16:uniqueId val="{00000011-20CF-46C0-BC4D-ADCAE0528CB4}"/>
              </c:ext>
            </c:extLst>
          </c:dPt>
          <c:dLbls>
            <c:dLbl>
              <c:idx val="0"/>
              <c:delete val="1"/>
              <c:extLst>
                <c:ext xmlns:c15="http://schemas.microsoft.com/office/drawing/2012/chart" uri="{CE6537A1-D6FC-4f65-9D91-7224C49458BB}"/>
                <c:ext xmlns:c16="http://schemas.microsoft.com/office/drawing/2014/chart" uri="{C3380CC4-5D6E-409C-BE32-E72D297353CC}">
                  <c16:uniqueId val="{0000000D-20CF-46C0-BC4D-ADCAE0528CB4}"/>
                </c:ext>
              </c:extLst>
            </c:dLbl>
            <c:dLbl>
              <c:idx val="1"/>
              <c:delete val="1"/>
              <c:extLst>
                <c:ext xmlns:c15="http://schemas.microsoft.com/office/drawing/2012/chart" uri="{CE6537A1-D6FC-4f65-9D91-7224C49458BB}"/>
                <c:ext xmlns:c16="http://schemas.microsoft.com/office/drawing/2014/chart" uri="{C3380CC4-5D6E-409C-BE32-E72D297353CC}">
                  <c16:uniqueId val="{0000000F-20CF-46C0-BC4D-ADCAE0528CB4}"/>
                </c:ext>
              </c:extLst>
            </c:dLbl>
            <c:dLbl>
              <c:idx val="2"/>
              <c:layout>
                <c:manualLayout>
                  <c:x val="-2.6426696662917135E-3"/>
                  <c:y val="-5.1612885746207517E-2"/>
                </c:manualLayout>
              </c:layout>
              <c:numFmt formatCode="&quot;$&quot;#,##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 xmlns:c16="http://schemas.microsoft.com/office/drawing/2014/chart" uri="{C3380CC4-5D6E-409C-BE32-E72D297353CC}">
                  <c16:uniqueId val="{00000011-20CF-46C0-BC4D-ADCAE0528C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Tables'!$M$4:$M$6</c:f>
              <c:strCache>
                <c:ptCount val="3"/>
                <c:pt idx="0">
                  <c:v>2023</c:v>
                </c:pt>
                <c:pt idx="1">
                  <c:v>2024</c:v>
                </c:pt>
                <c:pt idx="2">
                  <c:v>2025</c:v>
                </c:pt>
              </c:strCache>
            </c:strRef>
          </c:cat>
          <c:val>
            <c:numRef>
              <c:f>'Pivot Tables'!$P$4:$P$6</c:f>
              <c:numCache>
                <c:formatCode>General</c:formatCode>
                <c:ptCount val="3"/>
                <c:pt idx="0">
                  <c:v>240239.86999999997</c:v>
                </c:pt>
                <c:pt idx="1">
                  <c:v>301256.35000000003</c:v>
                </c:pt>
                <c:pt idx="2">
                  <c:v>128142.91999999997</c:v>
                </c:pt>
              </c:numCache>
            </c:numRef>
          </c:val>
          <c:smooth val="0"/>
          <c:extLst>
            <c:ext xmlns:c16="http://schemas.microsoft.com/office/drawing/2014/chart" uri="{C3380CC4-5D6E-409C-BE32-E72D297353CC}">
              <c16:uniqueId val="{00000018-4739-49C5-9D7A-895DD5C08C9E}"/>
            </c:ext>
          </c:extLst>
        </c:ser>
        <c:dLbls>
          <c:dLblPos val="l"/>
          <c:showLegendKey val="0"/>
          <c:showVal val="1"/>
          <c:showCatName val="0"/>
          <c:showSerName val="0"/>
          <c:showPercent val="0"/>
          <c:showBubbleSize val="0"/>
        </c:dLbls>
        <c:marker val="1"/>
        <c:smooth val="0"/>
        <c:axId val="137484656"/>
        <c:axId val="137485072"/>
      </c:lineChart>
      <c:catAx>
        <c:axId val="137484656"/>
        <c:scaling>
          <c:orientation val="minMax"/>
        </c:scaling>
        <c:delete val="0"/>
        <c:axPos val="b"/>
        <c:numFmt formatCode="General" sourceLinked="1"/>
        <c:majorTickMark val="none"/>
        <c:minorTickMark val="none"/>
        <c:tickLblPos val="nextTo"/>
        <c:spPr>
          <a:noFill/>
          <a:ln w="9525" cap="flat" cmpd="sng" algn="ctr">
            <a:solidFill>
              <a:srgbClr val="64748B"/>
            </a:solidFill>
            <a:round/>
          </a:ln>
          <a:effectLst/>
        </c:spPr>
        <c:txPr>
          <a:bodyPr rot="-60000000" spcFirstLastPara="1" vertOverflow="ellipsis" vert="horz" wrap="square" anchor="ctr" anchorCtr="1"/>
          <a:lstStyle/>
          <a:p>
            <a:pPr>
              <a:defRPr sz="1000" b="0" i="0" u="none" strike="noStrike" kern="1200" baseline="0">
                <a:solidFill>
                  <a:srgbClr val="E5E7EB"/>
                </a:solidFill>
                <a:latin typeface="+mn-lt"/>
                <a:ea typeface="+mn-ea"/>
                <a:cs typeface="+mn-cs"/>
              </a:defRPr>
            </a:pPr>
            <a:endParaRPr lang="en-US"/>
          </a:p>
        </c:txPr>
        <c:crossAx val="137485072"/>
        <c:crossesAt val="0"/>
        <c:auto val="1"/>
        <c:lblAlgn val="ctr"/>
        <c:lblOffset val="100"/>
        <c:noMultiLvlLbl val="0"/>
      </c:catAx>
      <c:valAx>
        <c:axId val="137485072"/>
        <c:scaling>
          <c:orientation val="minMax"/>
        </c:scaling>
        <c:delete val="0"/>
        <c:axPos val="l"/>
        <c:majorGridlines>
          <c:spPr>
            <a:ln w="9525" cap="flat" cmpd="sng" algn="ctr">
              <a:solidFill>
                <a:srgbClr val="64748B">
                  <a:alpha val="66667"/>
                </a:srgb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5E7EB"/>
                </a:solidFill>
                <a:latin typeface="+mn-lt"/>
                <a:ea typeface="+mn-ea"/>
                <a:cs typeface="+mn-cs"/>
              </a:defRPr>
            </a:pPr>
            <a:endParaRPr lang="en-US"/>
          </a:p>
        </c:txPr>
        <c:crossAx val="137484656"/>
        <c:crosses val="autoZero"/>
        <c:crossBetween val="between"/>
        <c:dispUnits>
          <c:builtInUnit val="thousands"/>
        </c:dispUnits>
      </c:valAx>
      <c:spPr>
        <a:solidFill>
          <a:srgbClr val="2A407E"/>
        </a:solidFill>
        <a:ln>
          <a:noFill/>
        </a:ln>
        <a:effectLst/>
      </c:spPr>
    </c:plotArea>
    <c:legend>
      <c:legendPos val="t"/>
      <c:layout>
        <c:manualLayout>
          <c:xMode val="edge"/>
          <c:yMode val="edge"/>
          <c:x val="4.3181818181818189E-2"/>
          <c:y val="6.100539515893845E-2"/>
          <c:w val="0.95681824146981631"/>
          <c:h val="0.2006124234470691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E5E7E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83E7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[Accounts-Payable.xlsx]Pivot Tables!PivotTable13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Invoice &amp; Outstanding Amount by Currency (USD)</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0A5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78B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78BFA"/>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0A5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78BFA"/>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0A5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Tables'!$AE$3</c:f>
              <c:strCache>
                <c:ptCount val="1"/>
                <c:pt idx="0">
                  <c:v>Total Outstanding Amount (USD)</c:v>
                </c:pt>
              </c:strCache>
            </c:strRef>
          </c:tx>
          <c:spPr>
            <a:solidFill>
              <a:srgbClr val="A78BFA"/>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Tables'!$AD$4:$AD$8</c:f>
              <c:strCache>
                <c:ptCount val="5"/>
                <c:pt idx="0">
                  <c:v>CAD</c:v>
                </c:pt>
                <c:pt idx="1">
                  <c:v>AUD</c:v>
                </c:pt>
                <c:pt idx="2">
                  <c:v>EUR</c:v>
                </c:pt>
                <c:pt idx="3">
                  <c:v>USD</c:v>
                </c:pt>
                <c:pt idx="4">
                  <c:v>GBP</c:v>
                </c:pt>
              </c:strCache>
            </c:strRef>
          </c:cat>
          <c:val>
            <c:numRef>
              <c:f>'Pivot Tables'!$AE$4:$AE$8</c:f>
              <c:numCache>
                <c:formatCode>General</c:formatCode>
                <c:ptCount val="5"/>
                <c:pt idx="0">
                  <c:v>99397.52</c:v>
                </c:pt>
                <c:pt idx="1">
                  <c:v>87917.81</c:v>
                </c:pt>
                <c:pt idx="2">
                  <c:v>129863.13000000002</c:v>
                </c:pt>
                <c:pt idx="3">
                  <c:v>142766.68999999997</c:v>
                </c:pt>
                <c:pt idx="4">
                  <c:v>209693.99000000002</c:v>
                </c:pt>
              </c:numCache>
            </c:numRef>
          </c:val>
          <c:extLst>
            <c:ext xmlns:c16="http://schemas.microsoft.com/office/drawing/2014/chart" uri="{C3380CC4-5D6E-409C-BE32-E72D297353CC}">
              <c16:uniqueId val="{00000000-EF75-480E-A25F-2ADB2CBC45F8}"/>
            </c:ext>
          </c:extLst>
        </c:ser>
        <c:ser>
          <c:idx val="1"/>
          <c:order val="1"/>
          <c:tx>
            <c:strRef>
              <c:f>'Pivot Tables'!$AF$3</c:f>
              <c:strCache>
                <c:ptCount val="1"/>
                <c:pt idx="0">
                  <c:v>Total Invoice Amount (USD)</c:v>
                </c:pt>
              </c:strCache>
            </c:strRef>
          </c:tx>
          <c:spPr>
            <a:solidFill>
              <a:srgbClr val="60A5FA"/>
            </a:solidFill>
            <a:ln>
              <a:noFill/>
            </a:ln>
            <a:effectLst/>
          </c:spPr>
          <c:invertIfNegative val="0"/>
          <c:cat>
            <c:strRef>
              <c:f>'Pivot Tables'!$AD$4:$AD$8</c:f>
              <c:strCache>
                <c:ptCount val="5"/>
                <c:pt idx="0">
                  <c:v>CAD</c:v>
                </c:pt>
                <c:pt idx="1">
                  <c:v>AUD</c:v>
                </c:pt>
                <c:pt idx="2">
                  <c:v>EUR</c:v>
                </c:pt>
                <c:pt idx="3">
                  <c:v>USD</c:v>
                </c:pt>
                <c:pt idx="4">
                  <c:v>GBP</c:v>
                </c:pt>
              </c:strCache>
            </c:strRef>
          </c:cat>
          <c:val>
            <c:numRef>
              <c:f>'Pivot Tables'!$AF$4:$AF$8</c:f>
              <c:numCache>
                <c:formatCode>General</c:formatCode>
                <c:ptCount val="5"/>
                <c:pt idx="0">
                  <c:v>280889.17999999982</c:v>
                </c:pt>
                <c:pt idx="1">
                  <c:v>340277.87999999995</c:v>
                </c:pt>
                <c:pt idx="2">
                  <c:v>401129.51999999996</c:v>
                </c:pt>
                <c:pt idx="3">
                  <c:v>429911.86000000016</c:v>
                </c:pt>
                <c:pt idx="4">
                  <c:v>613182.08999999985</c:v>
                </c:pt>
              </c:numCache>
            </c:numRef>
          </c:val>
          <c:extLst>
            <c:ext xmlns:c16="http://schemas.microsoft.com/office/drawing/2014/chart" uri="{C3380CC4-5D6E-409C-BE32-E72D297353CC}">
              <c16:uniqueId val="{00000001-EF75-480E-A25F-2ADB2CBC45F8}"/>
            </c:ext>
          </c:extLst>
        </c:ser>
        <c:dLbls>
          <c:showLegendKey val="0"/>
          <c:showVal val="0"/>
          <c:showCatName val="0"/>
          <c:showSerName val="0"/>
          <c:showPercent val="0"/>
          <c:showBubbleSize val="0"/>
        </c:dLbls>
        <c:gapWidth val="50"/>
        <c:overlap val="-20"/>
        <c:axId val="304128160"/>
        <c:axId val="304129408"/>
      </c:barChart>
      <c:catAx>
        <c:axId val="304128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E5E7EB"/>
                </a:solidFill>
                <a:latin typeface="+mn-lt"/>
                <a:ea typeface="+mn-ea"/>
                <a:cs typeface="+mn-cs"/>
              </a:defRPr>
            </a:pPr>
            <a:endParaRPr lang="en-US"/>
          </a:p>
        </c:txPr>
        <c:crossAx val="304129408"/>
        <c:crosses val="autoZero"/>
        <c:auto val="1"/>
        <c:lblAlgn val="ctr"/>
        <c:lblOffset val="100"/>
        <c:noMultiLvlLbl val="0"/>
      </c:catAx>
      <c:valAx>
        <c:axId val="304129408"/>
        <c:scaling>
          <c:orientation val="minMax"/>
        </c:scaling>
        <c:delete val="0"/>
        <c:axPos val="b"/>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5E7EB"/>
                </a:solidFill>
                <a:latin typeface="+mn-lt"/>
                <a:ea typeface="+mn-ea"/>
                <a:cs typeface="+mn-cs"/>
              </a:defRPr>
            </a:pPr>
            <a:endParaRPr lang="en-US"/>
          </a:p>
        </c:txPr>
        <c:crossAx val="304128160"/>
        <c:crosses val="autoZero"/>
        <c:crossBetween val="between"/>
        <c:dispUnits>
          <c:builtInUnit val="thousands"/>
        </c:dispUnits>
      </c:valAx>
      <c:spPr>
        <a:solidFill>
          <a:srgbClr val="2A407E"/>
        </a:solid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rgbClr val="E5E7E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83E7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[Accounts-Payable.xlsx]Pivot Tables!PivotTable10</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t>Average Overdue Days by Vendor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F472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472B6"/>
          </a:solidFill>
          <a:ln>
            <a:noFill/>
          </a:ln>
          <a:effectLst/>
        </c:spPr>
      </c:pivotFmt>
      <c:pivotFmt>
        <c:idx val="2"/>
        <c:spPr>
          <a:solidFill>
            <a:srgbClr val="F472B6"/>
          </a:solidFill>
          <a:ln>
            <a:noFill/>
          </a:ln>
          <a:effectLst/>
        </c:spPr>
      </c:pivotFmt>
      <c:pivotFmt>
        <c:idx val="3"/>
        <c:spPr>
          <a:solidFill>
            <a:srgbClr val="F472B6"/>
          </a:solidFill>
          <a:ln>
            <a:noFill/>
          </a:ln>
          <a:effectLst/>
        </c:spPr>
      </c:pivotFmt>
      <c:pivotFmt>
        <c:idx val="4"/>
        <c:spPr>
          <a:solidFill>
            <a:srgbClr val="F472B6"/>
          </a:solidFill>
          <a:ln>
            <a:noFill/>
          </a:ln>
          <a:effectLst/>
        </c:spPr>
      </c:pivotFmt>
      <c:pivotFmt>
        <c:idx val="5"/>
        <c:spPr>
          <a:solidFill>
            <a:srgbClr val="F472B6"/>
          </a:solidFill>
          <a:ln>
            <a:noFill/>
          </a:ln>
          <a:effectLst/>
        </c:spPr>
      </c:pivotFmt>
      <c:pivotFmt>
        <c:idx val="6"/>
        <c:spPr>
          <a:solidFill>
            <a:srgbClr val="F472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472B6"/>
          </a:solidFill>
          <a:ln>
            <a:noFill/>
          </a:ln>
          <a:effectLst/>
        </c:spPr>
      </c:pivotFmt>
      <c:pivotFmt>
        <c:idx val="8"/>
        <c:spPr>
          <a:solidFill>
            <a:srgbClr val="F472B6"/>
          </a:solidFill>
          <a:ln>
            <a:noFill/>
          </a:ln>
          <a:effectLst/>
        </c:spPr>
      </c:pivotFmt>
      <c:pivotFmt>
        <c:idx val="9"/>
        <c:spPr>
          <a:solidFill>
            <a:srgbClr val="F472B6"/>
          </a:solidFill>
          <a:ln>
            <a:noFill/>
          </a:ln>
          <a:effectLst/>
        </c:spPr>
      </c:pivotFmt>
      <c:pivotFmt>
        <c:idx val="10"/>
        <c:spPr>
          <a:solidFill>
            <a:srgbClr val="F472B6"/>
          </a:solidFill>
          <a:ln>
            <a:noFill/>
          </a:ln>
          <a:effectLst/>
        </c:spPr>
      </c:pivotFmt>
      <c:pivotFmt>
        <c:idx val="11"/>
        <c:spPr>
          <a:solidFill>
            <a:srgbClr val="F472B6"/>
          </a:solidFill>
          <a:ln>
            <a:noFill/>
          </a:ln>
          <a:effectLst/>
        </c:spPr>
      </c:pivotFmt>
      <c:pivotFmt>
        <c:idx val="12"/>
        <c:spPr>
          <a:solidFill>
            <a:srgbClr val="F472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472B6"/>
          </a:solidFill>
          <a:ln>
            <a:noFill/>
          </a:ln>
          <a:effectLst/>
        </c:spPr>
      </c:pivotFmt>
      <c:pivotFmt>
        <c:idx val="14"/>
        <c:spPr>
          <a:solidFill>
            <a:srgbClr val="F472B6"/>
          </a:solidFill>
          <a:ln>
            <a:noFill/>
          </a:ln>
          <a:effectLst/>
        </c:spPr>
      </c:pivotFmt>
      <c:pivotFmt>
        <c:idx val="15"/>
        <c:spPr>
          <a:solidFill>
            <a:srgbClr val="F472B6"/>
          </a:solidFill>
          <a:ln>
            <a:noFill/>
          </a:ln>
          <a:effectLst/>
        </c:spPr>
      </c:pivotFmt>
      <c:pivotFmt>
        <c:idx val="16"/>
        <c:spPr>
          <a:solidFill>
            <a:srgbClr val="F472B6"/>
          </a:solidFill>
          <a:ln>
            <a:noFill/>
          </a:ln>
          <a:effectLst/>
        </c:spPr>
      </c:pivotFmt>
      <c:pivotFmt>
        <c:idx val="17"/>
        <c:spPr>
          <a:solidFill>
            <a:srgbClr val="F472B6"/>
          </a:solidFill>
          <a:ln>
            <a:noFill/>
          </a:ln>
          <a:effectLst/>
        </c:spPr>
      </c:pivotFmt>
      <c:pivotFmt>
        <c:idx val="18"/>
        <c:spPr>
          <a:solidFill>
            <a:srgbClr val="F472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472B6"/>
          </a:solidFill>
          <a:ln>
            <a:noFill/>
          </a:ln>
          <a:effectLst/>
        </c:spPr>
      </c:pivotFmt>
      <c:pivotFmt>
        <c:idx val="20"/>
        <c:spPr>
          <a:solidFill>
            <a:srgbClr val="F472B6"/>
          </a:solidFill>
          <a:ln>
            <a:noFill/>
          </a:ln>
          <a:effectLst/>
        </c:spPr>
      </c:pivotFmt>
      <c:pivotFmt>
        <c:idx val="21"/>
        <c:spPr>
          <a:solidFill>
            <a:srgbClr val="F472B6"/>
          </a:solidFill>
          <a:ln>
            <a:noFill/>
          </a:ln>
          <a:effectLst/>
        </c:spPr>
      </c:pivotFmt>
      <c:pivotFmt>
        <c:idx val="22"/>
        <c:spPr>
          <a:solidFill>
            <a:srgbClr val="F472B6"/>
          </a:solidFill>
          <a:ln>
            <a:noFill/>
          </a:ln>
          <a:effectLst/>
        </c:spPr>
      </c:pivotFmt>
      <c:pivotFmt>
        <c:idx val="23"/>
        <c:spPr>
          <a:solidFill>
            <a:srgbClr val="F472B6"/>
          </a:solidFill>
          <a:ln>
            <a:noFill/>
          </a:ln>
          <a:effectLst/>
        </c:spPr>
      </c:pivotFmt>
    </c:pivotFmts>
    <c:plotArea>
      <c:layout/>
      <c:barChart>
        <c:barDir val="bar"/>
        <c:grouping val="clustered"/>
        <c:varyColors val="0"/>
        <c:ser>
          <c:idx val="0"/>
          <c:order val="0"/>
          <c:tx>
            <c:strRef>
              <c:f>'Pivot Tables'!$AB$3</c:f>
              <c:strCache>
                <c:ptCount val="1"/>
                <c:pt idx="0">
                  <c:v>Total</c:v>
                </c:pt>
              </c:strCache>
            </c:strRef>
          </c:tx>
          <c:spPr>
            <a:solidFill>
              <a:srgbClr val="F472B6"/>
            </a:solidFill>
            <a:ln>
              <a:noFill/>
            </a:ln>
            <a:effectLst/>
          </c:spPr>
          <c:invertIfNegative val="0"/>
          <c:dPt>
            <c:idx val="0"/>
            <c:invertIfNegative val="0"/>
            <c:bubble3D val="0"/>
            <c:spPr>
              <a:solidFill>
                <a:srgbClr val="F472B6"/>
              </a:solidFill>
              <a:ln>
                <a:noFill/>
              </a:ln>
              <a:effectLst/>
            </c:spPr>
            <c:extLst>
              <c:ext xmlns:c16="http://schemas.microsoft.com/office/drawing/2014/chart" uri="{C3380CC4-5D6E-409C-BE32-E72D297353CC}">
                <c16:uniqueId val="{00000001-614C-4C2F-884B-77E914C7E06C}"/>
              </c:ext>
            </c:extLst>
          </c:dPt>
          <c:dPt>
            <c:idx val="1"/>
            <c:invertIfNegative val="0"/>
            <c:bubble3D val="0"/>
            <c:spPr>
              <a:solidFill>
                <a:srgbClr val="F472B6"/>
              </a:solidFill>
              <a:ln>
                <a:noFill/>
              </a:ln>
              <a:effectLst/>
            </c:spPr>
            <c:extLst>
              <c:ext xmlns:c16="http://schemas.microsoft.com/office/drawing/2014/chart" uri="{C3380CC4-5D6E-409C-BE32-E72D297353CC}">
                <c16:uniqueId val="{00000003-614C-4C2F-884B-77E914C7E06C}"/>
              </c:ext>
            </c:extLst>
          </c:dPt>
          <c:dPt>
            <c:idx val="2"/>
            <c:invertIfNegative val="0"/>
            <c:bubble3D val="0"/>
            <c:spPr>
              <a:solidFill>
                <a:srgbClr val="F472B6"/>
              </a:solidFill>
              <a:ln>
                <a:noFill/>
              </a:ln>
              <a:effectLst/>
            </c:spPr>
            <c:extLst>
              <c:ext xmlns:c16="http://schemas.microsoft.com/office/drawing/2014/chart" uri="{C3380CC4-5D6E-409C-BE32-E72D297353CC}">
                <c16:uniqueId val="{00000005-614C-4C2F-884B-77E914C7E06C}"/>
              </c:ext>
            </c:extLst>
          </c:dPt>
          <c:dPt>
            <c:idx val="3"/>
            <c:invertIfNegative val="0"/>
            <c:bubble3D val="0"/>
            <c:spPr>
              <a:solidFill>
                <a:srgbClr val="F472B6"/>
              </a:solidFill>
              <a:ln>
                <a:noFill/>
              </a:ln>
              <a:effectLst/>
            </c:spPr>
            <c:extLst>
              <c:ext xmlns:c16="http://schemas.microsoft.com/office/drawing/2014/chart" uri="{C3380CC4-5D6E-409C-BE32-E72D297353CC}">
                <c16:uniqueId val="{00000007-614C-4C2F-884B-77E914C7E06C}"/>
              </c:ext>
            </c:extLst>
          </c:dPt>
          <c:dPt>
            <c:idx val="4"/>
            <c:invertIfNegative val="0"/>
            <c:bubble3D val="0"/>
            <c:spPr>
              <a:solidFill>
                <a:srgbClr val="F472B6"/>
              </a:solidFill>
              <a:ln>
                <a:noFill/>
              </a:ln>
              <a:effectLst/>
            </c:spPr>
            <c:extLst>
              <c:ext xmlns:c16="http://schemas.microsoft.com/office/drawing/2014/chart" uri="{C3380CC4-5D6E-409C-BE32-E72D297353CC}">
                <c16:uniqueId val="{00000009-614C-4C2F-884B-77E914C7E06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Tables'!$AA$4:$AA$9</c:f>
              <c:strCache>
                <c:ptCount val="5"/>
                <c:pt idx="0">
                  <c:v>Fast Travel</c:v>
                </c:pt>
                <c:pt idx="1">
                  <c:v>TechMart</c:v>
                </c:pt>
                <c:pt idx="2">
                  <c:v>Global Office</c:v>
                </c:pt>
                <c:pt idx="3">
                  <c:v>BluePrints</c:v>
                </c:pt>
                <c:pt idx="4">
                  <c:v>ABC Supplies</c:v>
                </c:pt>
              </c:strCache>
            </c:strRef>
          </c:cat>
          <c:val>
            <c:numRef>
              <c:f>'Pivot Tables'!$AB$4:$AB$9</c:f>
              <c:numCache>
                <c:formatCode>0</c:formatCode>
                <c:ptCount val="5"/>
                <c:pt idx="0">
                  <c:v>287.25899280575538</c:v>
                </c:pt>
                <c:pt idx="1">
                  <c:v>289.54777070063693</c:v>
                </c:pt>
                <c:pt idx="2">
                  <c:v>301.28484848484851</c:v>
                </c:pt>
                <c:pt idx="3">
                  <c:v>309.13736263736263</c:v>
                </c:pt>
                <c:pt idx="4">
                  <c:v>325.86624203821657</c:v>
                </c:pt>
              </c:numCache>
            </c:numRef>
          </c:val>
          <c:extLst>
            <c:ext xmlns:c16="http://schemas.microsoft.com/office/drawing/2014/chart" uri="{C3380CC4-5D6E-409C-BE32-E72D297353CC}">
              <c16:uniqueId val="{0000000A-614C-4C2F-884B-77E914C7E06C}"/>
            </c:ext>
          </c:extLst>
        </c:ser>
        <c:dLbls>
          <c:showLegendKey val="0"/>
          <c:showVal val="0"/>
          <c:showCatName val="0"/>
          <c:showSerName val="0"/>
          <c:showPercent val="0"/>
          <c:showBubbleSize val="0"/>
        </c:dLbls>
        <c:gapWidth val="100"/>
        <c:axId val="1236976656"/>
        <c:axId val="1236976240"/>
      </c:barChart>
      <c:valAx>
        <c:axId val="1236976240"/>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5E7EB"/>
                </a:solidFill>
                <a:latin typeface="+mn-lt"/>
                <a:ea typeface="+mn-ea"/>
                <a:cs typeface="+mn-cs"/>
              </a:defRPr>
            </a:pPr>
            <a:endParaRPr lang="en-US"/>
          </a:p>
        </c:txPr>
        <c:crossAx val="1236976656"/>
        <c:crosses val="autoZero"/>
        <c:crossBetween val="between"/>
      </c:valAx>
      <c:catAx>
        <c:axId val="12369766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E5E7EB"/>
                </a:solidFill>
                <a:latin typeface="+mn-lt"/>
                <a:ea typeface="+mn-ea"/>
                <a:cs typeface="+mn-cs"/>
              </a:defRPr>
            </a:pPr>
            <a:endParaRPr lang="en-US"/>
          </a:p>
        </c:txPr>
        <c:crossAx val="123697624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83E7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[Accounts-Payable.xlsx]Pivot Tables!PivotTable6</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Invoice Status Distribution by Year</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F44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F44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F44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F44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Tables'!$W$3:$W$4</c:f>
              <c:strCache>
                <c:ptCount val="1"/>
                <c:pt idx="0">
                  <c:v>Open</c:v>
                </c:pt>
              </c:strCache>
            </c:strRef>
          </c:tx>
          <c:spPr>
            <a:solidFill>
              <a:srgbClr val="EF44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Tables'!$V$5:$V$7</c:f>
              <c:strCache>
                <c:ptCount val="3"/>
                <c:pt idx="0">
                  <c:v>2023</c:v>
                </c:pt>
                <c:pt idx="1">
                  <c:v>2024</c:v>
                </c:pt>
                <c:pt idx="2">
                  <c:v>2025</c:v>
                </c:pt>
              </c:strCache>
            </c:strRef>
          </c:cat>
          <c:val>
            <c:numRef>
              <c:f>'Pivot Tables'!$W$5:$W$7</c:f>
              <c:numCache>
                <c:formatCode>General</c:formatCode>
                <c:ptCount val="3"/>
                <c:pt idx="0">
                  <c:v>93</c:v>
                </c:pt>
                <c:pt idx="1">
                  <c:v>123</c:v>
                </c:pt>
                <c:pt idx="2">
                  <c:v>51</c:v>
                </c:pt>
              </c:numCache>
            </c:numRef>
          </c:val>
          <c:extLst>
            <c:ext xmlns:c16="http://schemas.microsoft.com/office/drawing/2014/chart" uri="{C3380CC4-5D6E-409C-BE32-E72D297353CC}">
              <c16:uniqueId val="{00000000-6839-43C1-9C15-5ABEDCBA4178}"/>
            </c:ext>
          </c:extLst>
        </c:ser>
        <c:ser>
          <c:idx val="1"/>
          <c:order val="1"/>
          <c:tx>
            <c:strRef>
              <c:f>'Pivot Tables'!$X$3:$X$4</c:f>
              <c:strCache>
                <c:ptCount val="1"/>
                <c:pt idx="0">
                  <c:v>Paid</c:v>
                </c:pt>
              </c:strCache>
            </c:strRef>
          </c:tx>
          <c:spPr>
            <a:solidFill>
              <a:srgbClr val="34D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Tables'!$V$5:$V$7</c:f>
              <c:strCache>
                <c:ptCount val="3"/>
                <c:pt idx="0">
                  <c:v>2023</c:v>
                </c:pt>
                <c:pt idx="1">
                  <c:v>2024</c:v>
                </c:pt>
                <c:pt idx="2">
                  <c:v>2025</c:v>
                </c:pt>
              </c:strCache>
            </c:strRef>
          </c:cat>
          <c:val>
            <c:numRef>
              <c:f>'Pivot Tables'!$X$5:$X$7</c:f>
              <c:numCache>
                <c:formatCode>General</c:formatCode>
                <c:ptCount val="3"/>
                <c:pt idx="0">
                  <c:v>117</c:v>
                </c:pt>
                <c:pt idx="1">
                  <c:v>94</c:v>
                </c:pt>
                <c:pt idx="2">
                  <c:v>46</c:v>
                </c:pt>
              </c:numCache>
            </c:numRef>
          </c:val>
          <c:extLst>
            <c:ext xmlns:c16="http://schemas.microsoft.com/office/drawing/2014/chart" uri="{C3380CC4-5D6E-409C-BE32-E72D297353CC}">
              <c16:uniqueId val="{00000006-6839-43C1-9C15-5ABEDCBA4178}"/>
            </c:ext>
          </c:extLst>
        </c:ser>
        <c:ser>
          <c:idx val="2"/>
          <c:order val="2"/>
          <c:tx>
            <c:strRef>
              <c:f>'Pivot Tables'!$Y$3:$Y$4</c:f>
              <c:strCache>
                <c:ptCount val="1"/>
                <c:pt idx="0">
                  <c:v>Partial</c:v>
                </c:pt>
              </c:strCache>
            </c:strRef>
          </c:tx>
          <c:spPr>
            <a:solidFill>
              <a:srgbClr val="F59E0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Tables'!$V$5:$V$7</c:f>
              <c:strCache>
                <c:ptCount val="3"/>
                <c:pt idx="0">
                  <c:v>2023</c:v>
                </c:pt>
                <c:pt idx="1">
                  <c:v>2024</c:v>
                </c:pt>
                <c:pt idx="2">
                  <c:v>2025</c:v>
                </c:pt>
              </c:strCache>
            </c:strRef>
          </c:cat>
          <c:val>
            <c:numRef>
              <c:f>'Pivot Tables'!$Y$5:$Y$7</c:f>
              <c:numCache>
                <c:formatCode>General</c:formatCode>
                <c:ptCount val="3"/>
                <c:pt idx="0">
                  <c:v>114</c:v>
                </c:pt>
                <c:pt idx="1">
                  <c:v>108</c:v>
                </c:pt>
                <c:pt idx="2">
                  <c:v>54</c:v>
                </c:pt>
              </c:numCache>
            </c:numRef>
          </c:val>
          <c:extLst>
            <c:ext xmlns:c16="http://schemas.microsoft.com/office/drawing/2014/chart" uri="{C3380CC4-5D6E-409C-BE32-E72D297353CC}">
              <c16:uniqueId val="{00000007-6839-43C1-9C15-5ABEDCBA4178}"/>
            </c:ext>
          </c:extLst>
        </c:ser>
        <c:dLbls>
          <c:showLegendKey val="0"/>
          <c:showVal val="0"/>
          <c:showCatName val="0"/>
          <c:showSerName val="0"/>
          <c:showPercent val="0"/>
          <c:showBubbleSize val="0"/>
        </c:dLbls>
        <c:gapWidth val="60"/>
        <c:overlap val="-27"/>
        <c:axId val="308507344"/>
        <c:axId val="308507760"/>
      </c:barChart>
      <c:catAx>
        <c:axId val="30850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E5E7EB"/>
                </a:solidFill>
                <a:latin typeface="+mn-lt"/>
                <a:ea typeface="+mn-ea"/>
                <a:cs typeface="+mn-cs"/>
              </a:defRPr>
            </a:pPr>
            <a:endParaRPr lang="en-US"/>
          </a:p>
        </c:txPr>
        <c:crossAx val="308507760"/>
        <c:crosses val="autoZero"/>
        <c:auto val="1"/>
        <c:lblAlgn val="ctr"/>
        <c:lblOffset val="100"/>
        <c:noMultiLvlLbl val="0"/>
      </c:catAx>
      <c:valAx>
        <c:axId val="308507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5E7EB"/>
                </a:solidFill>
                <a:latin typeface="+mn-lt"/>
                <a:ea typeface="+mn-ea"/>
                <a:cs typeface="+mn-cs"/>
              </a:defRPr>
            </a:pPr>
            <a:endParaRPr lang="en-US"/>
          </a:p>
        </c:txPr>
        <c:crossAx val="308507344"/>
        <c:crosses val="autoZero"/>
        <c:crossBetween val="between"/>
      </c:valAx>
      <c:spPr>
        <a:solidFill>
          <a:srgbClr val="2A407E"/>
        </a:solid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rgbClr val="E5E7E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83E7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[Accounts-Payable.xlsx]Pivot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Monthly Invoice Amount vs Payment Amount Trend</a:t>
            </a:r>
            <a:endParaRPr lang="en-US" b="1">
              <a:solidFill>
                <a:schemeClr val="bg1"/>
              </a:solidFill>
            </a:endParaRPr>
          </a:p>
        </c:rich>
      </c:tx>
      <c:layout>
        <c:manualLayout>
          <c:xMode val="edge"/>
          <c:yMode val="edge"/>
          <c:x val="0.3430664027768886"/>
          <c:y val="5.27967721140120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rgbClr val="60A5FA"/>
            </a:solidFill>
            <a:round/>
          </a:ln>
          <a:effectLst/>
        </c:spPr>
        <c:marker>
          <c:symbol val="circle"/>
          <c:size val="7"/>
          <c:spPr>
            <a:solidFill>
              <a:srgbClr val="60A5FA"/>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4D399"/>
            </a:solidFill>
            <a:round/>
          </a:ln>
          <a:effectLst/>
        </c:spPr>
        <c:marker>
          <c:symbol val="circle"/>
          <c:size val="7"/>
          <c:spPr>
            <a:solidFill>
              <a:srgbClr val="34D399"/>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1750" cap="rnd">
            <a:solidFill>
              <a:srgbClr val="34D399"/>
            </a:solidFill>
            <a:round/>
          </a:ln>
          <a:effectLst/>
        </c:spPr>
      </c:pivotFmt>
      <c:pivotFmt>
        <c:idx val="5"/>
        <c:spPr>
          <a:solidFill>
            <a:schemeClr val="accent1"/>
          </a:solidFill>
          <a:ln w="31750" cap="rnd">
            <a:solidFill>
              <a:srgbClr val="60A5FA"/>
            </a:solidFill>
            <a:round/>
          </a:ln>
          <a:effectLst/>
        </c:spPr>
        <c:marker>
          <c:symbol val="circle"/>
          <c:size val="7"/>
          <c:spPr>
            <a:solidFill>
              <a:srgbClr val="60A5FA"/>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1750" cap="rnd">
            <a:solidFill>
              <a:srgbClr val="34D399"/>
            </a:solidFill>
            <a:round/>
          </a:ln>
          <a:effectLst/>
        </c:spPr>
        <c:marker>
          <c:symbol val="circle"/>
          <c:size val="7"/>
          <c:spPr>
            <a:solidFill>
              <a:srgbClr val="34D399"/>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1750" cap="rnd">
            <a:solidFill>
              <a:srgbClr val="60A5FA"/>
            </a:solidFill>
            <a:round/>
          </a:ln>
          <a:effectLst/>
        </c:spPr>
        <c:marker>
          <c:symbol val="circle"/>
          <c:size val="7"/>
          <c:spPr>
            <a:solidFill>
              <a:srgbClr val="60A5FA"/>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31750" cap="rnd">
            <a:solidFill>
              <a:srgbClr val="34D399"/>
            </a:solidFill>
            <a:round/>
          </a:ln>
          <a:effectLst/>
        </c:spPr>
        <c:marker>
          <c:symbol val="circle"/>
          <c:size val="7"/>
          <c:spPr>
            <a:solidFill>
              <a:srgbClr val="34D399"/>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31750" cap="rnd">
            <a:solidFill>
              <a:srgbClr val="60A5FA"/>
            </a:solidFill>
            <a:round/>
          </a:ln>
          <a:effectLst/>
        </c:spPr>
        <c:marker>
          <c:symbol val="circle"/>
          <c:size val="7"/>
          <c:spPr>
            <a:solidFill>
              <a:srgbClr val="60A5FA"/>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1750" cap="rnd">
            <a:solidFill>
              <a:srgbClr val="34D399"/>
            </a:solidFill>
            <a:round/>
          </a:ln>
          <a:effectLst/>
        </c:spPr>
        <c:marker>
          <c:symbol val="circle"/>
          <c:size val="7"/>
          <c:spPr>
            <a:solidFill>
              <a:srgbClr val="34D399"/>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1750" cap="rnd">
            <a:solidFill>
              <a:srgbClr val="60A5FA"/>
            </a:solidFill>
            <a:round/>
          </a:ln>
          <a:effectLst/>
        </c:spPr>
        <c:marker>
          <c:symbol val="circle"/>
          <c:size val="7"/>
          <c:spPr>
            <a:solidFill>
              <a:srgbClr val="60A5FA"/>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1750" cap="rnd">
            <a:solidFill>
              <a:srgbClr val="34D399"/>
            </a:solidFill>
            <a:round/>
          </a:ln>
          <a:effectLst/>
        </c:spPr>
        <c:marker>
          <c:symbol val="circle"/>
          <c:size val="7"/>
          <c:spPr>
            <a:solidFill>
              <a:srgbClr val="34D399"/>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755738177356"/>
          <c:y val="0.17522977472338927"/>
          <c:w val="0.65051598725236581"/>
          <c:h val="0.64923810318763153"/>
        </c:manualLayout>
      </c:layout>
      <c:lineChart>
        <c:grouping val="standard"/>
        <c:varyColors val="0"/>
        <c:ser>
          <c:idx val="0"/>
          <c:order val="0"/>
          <c:tx>
            <c:strRef>
              <c:f>'Pivot Tables'!$S$3</c:f>
              <c:strCache>
                <c:ptCount val="1"/>
                <c:pt idx="0">
                  <c:v>Total Invoice Amount</c:v>
                </c:pt>
              </c:strCache>
            </c:strRef>
          </c:tx>
          <c:spPr>
            <a:ln w="31750" cap="rnd">
              <a:solidFill>
                <a:srgbClr val="60A5FA"/>
              </a:solidFill>
              <a:round/>
            </a:ln>
            <a:effectLst/>
          </c:spPr>
          <c:marker>
            <c:symbol val="circle"/>
            <c:size val="7"/>
            <c:spPr>
              <a:solidFill>
                <a:srgbClr val="60A5FA"/>
              </a:solidFill>
              <a:ln w="9525">
                <a:solidFill>
                  <a:schemeClr val="bg1"/>
                </a:solidFill>
              </a:ln>
              <a:effectLst/>
            </c:spPr>
          </c:marker>
          <c:cat>
            <c:strRef>
              <c:f>'Pivot Tables'!$R$4:$R$33</c:f>
              <c:strCache>
                <c:ptCount val="30"/>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pt idx="12">
                  <c:v>Jan 2024</c:v>
                </c:pt>
                <c:pt idx="13">
                  <c:v>Feb 2024</c:v>
                </c:pt>
                <c:pt idx="14">
                  <c:v>Mar 2024</c:v>
                </c:pt>
                <c:pt idx="15">
                  <c:v>Apr 2024</c:v>
                </c:pt>
                <c:pt idx="16">
                  <c:v>May 2024</c:v>
                </c:pt>
                <c:pt idx="17">
                  <c:v>Jun 2024</c:v>
                </c:pt>
                <c:pt idx="18">
                  <c:v>Jul 2024</c:v>
                </c:pt>
                <c:pt idx="19">
                  <c:v>Aug 2024</c:v>
                </c:pt>
                <c:pt idx="20">
                  <c:v>Sep 2024</c:v>
                </c:pt>
                <c:pt idx="21">
                  <c:v>Oct 2024</c:v>
                </c:pt>
                <c:pt idx="22">
                  <c:v>Nov 2024</c:v>
                </c:pt>
                <c:pt idx="23">
                  <c:v>Dec 2024</c:v>
                </c:pt>
                <c:pt idx="24">
                  <c:v>Jan 2025</c:v>
                </c:pt>
                <c:pt idx="25">
                  <c:v>Feb 2025</c:v>
                </c:pt>
                <c:pt idx="26">
                  <c:v>Mar 2025</c:v>
                </c:pt>
                <c:pt idx="27">
                  <c:v>Apr 2025</c:v>
                </c:pt>
                <c:pt idx="28">
                  <c:v>May 2025</c:v>
                </c:pt>
                <c:pt idx="29">
                  <c:v>Jun 2025</c:v>
                </c:pt>
              </c:strCache>
            </c:strRef>
          </c:cat>
          <c:val>
            <c:numRef>
              <c:f>'Pivot Tables'!$S$4:$S$33</c:f>
              <c:numCache>
                <c:formatCode>General</c:formatCode>
                <c:ptCount val="30"/>
                <c:pt idx="0">
                  <c:v>50751.98</c:v>
                </c:pt>
                <c:pt idx="1">
                  <c:v>70146.05</c:v>
                </c:pt>
                <c:pt idx="2">
                  <c:v>95504.770000000019</c:v>
                </c:pt>
                <c:pt idx="3">
                  <c:v>38272.159999999996</c:v>
                </c:pt>
                <c:pt idx="4">
                  <c:v>90959.29</c:v>
                </c:pt>
                <c:pt idx="5">
                  <c:v>80925.049999999988</c:v>
                </c:pt>
                <c:pt idx="6">
                  <c:v>75158.729999999981</c:v>
                </c:pt>
                <c:pt idx="7">
                  <c:v>77060.44</c:v>
                </c:pt>
                <c:pt idx="8">
                  <c:v>65525.110000000015</c:v>
                </c:pt>
                <c:pt idx="9">
                  <c:v>57424.700000000004</c:v>
                </c:pt>
                <c:pt idx="10">
                  <c:v>75046.399999999994</c:v>
                </c:pt>
                <c:pt idx="11">
                  <c:v>106965.56999999999</c:v>
                </c:pt>
                <c:pt idx="12">
                  <c:v>72194.01999999999</c:v>
                </c:pt>
                <c:pt idx="13">
                  <c:v>51605.53</c:v>
                </c:pt>
                <c:pt idx="14">
                  <c:v>57985.35</c:v>
                </c:pt>
                <c:pt idx="15">
                  <c:v>87390.349999999991</c:v>
                </c:pt>
                <c:pt idx="16">
                  <c:v>69819.44</c:v>
                </c:pt>
                <c:pt idx="17">
                  <c:v>94852.230000000025</c:v>
                </c:pt>
                <c:pt idx="18">
                  <c:v>67650.880000000005</c:v>
                </c:pt>
                <c:pt idx="19">
                  <c:v>47140.22</c:v>
                </c:pt>
                <c:pt idx="20">
                  <c:v>49178.639999999992</c:v>
                </c:pt>
                <c:pt idx="21">
                  <c:v>46251.85</c:v>
                </c:pt>
                <c:pt idx="22">
                  <c:v>67696.97</c:v>
                </c:pt>
                <c:pt idx="23">
                  <c:v>96037.51999999999</c:v>
                </c:pt>
                <c:pt idx="24">
                  <c:v>55649.260000000009</c:v>
                </c:pt>
                <c:pt idx="25">
                  <c:v>69458.660000000018</c:v>
                </c:pt>
                <c:pt idx="26">
                  <c:v>51298.68</c:v>
                </c:pt>
                <c:pt idx="27">
                  <c:v>64222.299999999996</c:v>
                </c:pt>
                <c:pt idx="28">
                  <c:v>66025.72</c:v>
                </c:pt>
                <c:pt idx="29">
                  <c:v>67192.659999999989</c:v>
                </c:pt>
              </c:numCache>
            </c:numRef>
          </c:val>
          <c:smooth val="0"/>
          <c:extLst>
            <c:ext xmlns:c16="http://schemas.microsoft.com/office/drawing/2014/chart" uri="{C3380CC4-5D6E-409C-BE32-E72D297353CC}">
              <c16:uniqueId val="{00000000-C6F4-47B8-8891-F77B60990435}"/>
            </c:ext>
          </c:extLst>
        </c:ser>
        <c:ser>
          <c:idx val="1"/>
          <c:order val="1"/>
          <c:tx>
            <c:strRef>
              <c:f>'Pivot Tables'!$T$3</c:f>
              <c:strCache>
                <c:ptCount val="1"/>
                <c:pt idx="0">
                  <c:v>Total Paid Amount</c:v>
                </c:pt>
              </c:strCache>
            </c:strRef>
          </c:tx>
          <c:spPr>
            <a:ln w="31750" cap="rnd">
              <a:solidFill>
                <a:srgbClr val="34D399"/>
              </a:solidFill>
              <a:round/>
            </a:ln>
            <a:effectLst/>
          </c:spPr>
          <c:marker>
            <c:symbol val="circle"/>
            <c:size val="7"/>
            <c:spPr>
              <a:solidFill>
                <a:srgbClr val="34D399"/>
              </a:solidFill>
              <a:ln w="9525">
                <a:solidFill>
                  <a:schemeClr val="bg1"/>
                </a:solidFill>
              </a:ln>
              <a:effectLst/>
            </c:spPr>
          </c:marker>
          <c:cat>
            <c:strRef>
              <c:f>'Pivot Tables'!$R$4:$R$33</c:f>
              <c:strCache>
                <c:ptCount val="30"/>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pt idx="12">
                  <c:v>Jan 2024</c:v>
                </c:pt>
                <c:pt idx="13">
                  <c:v>Feb 2024</c:v>
                </c:pt>
                <c:pt idx="14">
                  <c:v>Mar 2024</c:v>
                </c:pt>
                <c:pt idx="15">
                  <c:v>Apr 2024</c:v>
                </c:pt>
                <c:pt idx="16">
                  <c:v>May 2024</c:v>
                </c:pt>
                <c:pt idx="17">
                  <c:v>Jun 2024</c:v>
                </c:pt>
                <c:pt idx="18">
                  <c:v>Jul 2024</c:v>
                </c:pt>
                <c:pt idx="19">
                  <c:v>Aug 2024</c:v>
                </c:pt>
                <c:pt idx="20">
                  <c:v>Sep 2024</c:v>
                </c:pt>
                <c:pt idx="21">
                  <c:v>Oct 2024</c:v>
                </c:pt>
                <c:pt idx="22">
                  <c:v>Nov 2024</c:v>
                </c:pt>
                <c:pt idx="23">
                  <c:v>Dec 2024</c:v>
                </c:pt>
                <c:pt idx="24">
                  <c:v>Jan 2025</c:v>
                </c:pt>
                <c:pt idx="25">
                  <c:v>Feb 2025</c:v>
                </c:pt>
                <c:pt idx="26">
                  <c:v>Mar 2025</c:v>
                </c:pt>
                <c:pt idx="27">
                  <c:v>Apr 2025</c:v>
                </c:pt>
                <c:pt idx="28">
                  <c:v>May 2025</c:v>
                </c:pt>
                <c:pt idx="29">
                  <c:v>Jun 2025</c:v>
                </c:pt>
              </c:strCache>
            </c:strRef>
          </c:cat>
          <c:val>
            <c:numRef>
              <c:f>'Pivot Tables'!$T$4:$T$33</c:f>
              <c:numCache>
                <c:formatCode>General</c:formatCode>
                <c:ptCount val="30"/>
                <c:pt idx="0">
                  <c:v>9831.2099999999991</c:v>
                </c:pt>
                <c:pt idx="1">
                  <c:v>23156.799999999996</c:v>
                </c:pt>
                <c:pt idx="2">
                  <c:v>30014.770000000004</c:v>
                </c:pt>
                <c:pt idx="3">
                  <c:v>15663.530000000002</c:v>
                </c:pt>
                <c:pt idx="4">
                  <c:v>30566.21</c:v>
                </c:pt>
                <c:pt idx="5">
                  <c:v>25616.77</c:v>
                </c:pt>
                <c:pt idx="6">
                  <c:v>19646.23</c:v>
                </c:pt>
                <c:pt idx="7">
                  <c:v>34691.470000000008</c:v>
                </c:pt>
                <c:pt idx="8">
                  <c:v>28480.899999999998</c:v>
                </c:pt>
                <c:pt idx="9">
                  <c:v>30990.590000000004</c:v>
                </c:pt>
                <c:pt idx="10">
                  <c:v>40187.670000000013</c:v>
                </c:pt>
                <c:pt idx="11">
                  <c:v>24152.240000000002</c:v>
                </c:pt>
                <c:pt idx="12">
                  <c:v>19268.36</c:v>
                </c:pt>
                <c:pt idx="13">
                  <c:v>16902.189999999999</c:v>
                </c:pt>
                <c:pt idx="14">
                  <c:v>23778.559999999998</c:v>
                </c:pt>
                <c:pt idx="15">
                  <c:v>15071.730000000001</c:v>
                </c:pt>
                <c:pt idx="16">
                  <c:v>19885.370000000003</c:v>
                </c:pt>
                <c:pt idx="17">
                  <c:v>40788.829999999994</c:v>
                </c:pt>
                <c:pt idx="18">
                  <c:v>18691.14</c:v>
                </c:pt>
                <c:pt idx="19">
                  <c:v>2878.58</c:v>
                </c:pt>
                <c:pt idx="20">
                  <c:v>11051.400000000003</c:v>
                </c:pt>
                <c:pt idx="21">
                  <c:v>12184.35</c:v>
                </c:pt>
                <c:pt idx="22">
                  <c:v>17264.289999999997</c:v>
                </c:pt>
                <c:pt idx="23">
                  <c:v>20735.239999999998</c:v>
                </c:pt>
                <c:pt idx="24">
                  <c:v>18544.080000000002</c:v>
                </c:pt>
                <c:pt idx="25">
                  <c:v>24439.55</c:v>
                </c:pt>
                <c:pt idx="26">
                  <c:v>16235.37</c:v>
                </c:pt>
                <c:pt idx="27">
                  <c:v>18813.57</c:v>
                </c:pt>
                <c:pt idx="28">
                  <c:v>22650.18</c:v>
                </c:pt>
                <c:pt idx="29">
                  <c:v>20006.049999999996</c:v>
                </c:pt>
              </c:numCache>
            </c:numRef>
          </c:val>
          <c:smooth val="0"/>
          <c:extLst>
            <c:ext xmlns:c16="http://schemas.microsoft.com/office/drawing/2014/chart" uri="{C3380CC4-5D6E-409C-BE32-E72D297353CC}">
              <c16:uniqueId val="{00000001-C6F4-47B8-8891-F77B60990435}"/>
            </c:ext>
          </c:extLst>
        </c:ser>
        <c:dLbls>
          <c:showLegendKey val="0"/>
          <c:showVal val="0"/>
          <c:showCatName val="0"/>
          <c:showSerName val="0"/>
          <c:showPercent val="0"/>
          <c:showBubbleSize val="0"/>
        </c:dLbls>
        <c:marker val="1"/>
        <c:smooth val="0"/>
        <c:axId val="261068864"/>
        <c:axId val="367806880"/>
      </c:lineChart>
      <c:catAx>
        <c:axId val="26106886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00" b="0" i="0" u="none" strike="noStrike" kern="1200" baseline="0">
                <a:solidFill>
                  <a:srgbClr val="E5E7EB"/>
                </a:solidFill>
                <a:latin typeface="+mn-lt"/>
                <a:ea typeface="+mn-ea"/>
                <a:cs typeface="+mn-cs"/>
              </a:defRPr>
            </a:pPr>
            <a:endParaRPr lang="en-US"/>
          </a:p>
        </c:txPr>
        <c:crossAx val="367806880"/>
        <c:crosses val="autoZero"/>
        <c:auto val="0"/>
        <c:lblAlgn val="ctr"/>
        <c:lblOffset val="100"/>
        <c:noMultiLvlLbl val="0"/>
      </c:catAx>
      <c:valAx>
        <c:axId val="367806880"/>
        <c:scaling>
          <c:orientation val="minMax"/>
        </c:scaling>
        <c:delete val="0"/>
        <c:axPos val="l"/>
        <c:majorGridlines>
          <c:spPr>
            <a:ln w="9525" cap="flat" cmpd="sng" algn="ctr">
              <a:solidFill>
                <a:srgbClr val="64748B">
                  <a:alpha val="67000"/>
                </a:srgb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4E7EC"/>
                </a:solidFill>
                <a:latin typeface="+mn-lt"/>
                <a:ea typeface="+mn-ea"/>
                <a:cs typeface="+mn-cs"/>
              </a:defRPr>
            </a:pPr>
            <a:endParaRPr lang="en-US"/>
          </a:p>
        </c:txPr>
        <c:crossAx val="261068864"/>
        <c:crosses val="autoZero"/>
        <c:crossBetween val="between"/>
        <c:dispUnits>
          <c:builtInUnit val="thousands"/>
          <c:dispUnitsLbl>
            <c:layout>
              <c:manualLayout>
                <c:xMode val="edge"/>
                <c:yMode val="edge"/>
                <c:x val="1.7691917820617249E-2"/>
                <c:y val="0.3130476122806225"/>
              </c:manualLayout>
            </c:layout>
            <c:spPr>
              <a:noFill/>
              <a:ln>
                <a:noFill/>
              </a:ln>
              <a:effectLst/>
            </c:spPr>
            <c:txPr>
              <a:bodyPr rot="-5400000" spcFirstLastPara="1" vertOverflow="ellipsis" vert="horz" wrap="square" anchor="ctr" anchorCtr="1"/>
              <a:lstStyle/>
              <a:p>
                <a:pPr>
                  <a:defRPr sz="1000" b="0" i="0" u="none" strike="noStrike" kern="1200" baseline="0">
                    <a:solidFill>
                      <a:srgbClr val="E5E7EB"/>
                    </a:solidFill>
                    <a:latin typeface="+mn-lt"/>
                    <a:ea typeface="+mn-ea"/>
                    <a:cs typeface="+mn-cs"/>
                  </a:defRPr>
                </a:pPr>
                <a:endParaRPr lang="en-US"/>
              </a:p>
            </c:txPr>
          </c:dispUnitsLbl>
        </c:dispUnits>
      </c:valAx>
      <c:spPr>
        <a:solidFill>
          <a:srgbClr val="2A407E"/>
        </a:solidFill>
        <a:ln>
          <a:noFill/>
        </a:ln>
        <a:effectLst/>
      </c:spPr>
    </c:plotArea>
    <c:legend>
      <c:legendPos val="r"/>
      <c:layout>
        <c:manualLayout>
          <c:xMode val="edge"/>
          <c:yMode val="edge"/>
          <c:x val="0.83595796638434217"/>
          <c:y val="0.44473948332916352"/>
          <c:w val="0.14860471652491847"/>
          <c:h val="0.17988370890361294"/>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E5E7E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83E78"/>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3.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78232</xdr:colOff>
      <xdr:row>12</xdr:row>
      <xdr:rowOff>50800</xdr:rowOff>
    </xdr:from>
    <xdr:to>
      <xdr:col>8</xdr:col>
      <xdr:colOff>565912</xdr:colOff>
      <xdr:row>25</xdr:row>
      <xdr:rowOff>21590</xdr:rowOff>
    </xdr:to>
    <xdr:graphicFrame macro="">
      <xdr:nvGraphicFramePr>
        <xdr:cNvPr id="2" name="Chart 12">
          <a:extLst>
            <a:ext uri="{FF2B5EF4-FFF2-40B4-BE49-F238E27FC236}">
              <a16:creationId xmlns:a16="http://schemas.microsoft.com/office/drawing/2014/main" id="{B7BBBF30-82B6-40FD-9EC1-2839C371C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2032</xdr:colOff>
      <xdr:row>26</xdr:row>
      <xdr:rowOff>6350</xdr:rowOff>
    </xdr:from>
    <xdr:to>
      <xdr:col>8</xdr:col>
      <xdr:colOff>489712</xdr:colOff>
      <xdr:row>38</xdr:row>
      <xdr:rowOff>173990</xdr:rowOff>
    </xdr:to>
    <xdr:graphicFrame macro="">
      <xdr:nvGraphicFramePr>
        <xdr:cNvPr id="3" name="Chart 13">
          <a:extLst>
            <a:ext uri="{FF2B5EF4-FFF2-40B4-BE49-F238E27FC236}">
              <a16:creationId xmlns:a16="http://schemas.microsoft.com/office/drawing/2014/main" id="{20BB53D5-75C1-49E4-999A-2328C5DAD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79502</xdr:colOff>
      <xdr:row>12</xdr:row>
      <xdr:rowOff>0</xdr:rowOff>
    </xdr:from>
    <xdr:to>
      <xdr:col>17</xdr:col>
      <xdr:colOff>231902</xdr:colOff>
      <xdr:row>24</xdr:row>
      <xdr:rowOff>154940</xdr:rowOff>
    </xdr:to>
    <xdr:graphicFrame macro="">
      <xdr:nvGraphicFramePr>
        <xdr:cNvPr id="4" name="Chart 14">
          <a:extLst>
            <a:ext uri="{FF2B5EF4-FFF2-40B4-BE49-F238E27FC236}">
              <a16:creationId xmlns:a16="http://schemas.microsoft.com/office/drawing/2014/main" id="{3D5D50FC-A262-4807-A799-915607BC8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73152</xdr:colOff>
      <xdr:row>25</xdr:row>
      <xdr:rowOff>143510</xdr:rowOff>
    </xdr:from>
    <xdr:to>
      <xdr:col>17</xdr:col>
      <xdr:colOff>225552</xdr:colOff>
      <xdr:row>38</xdr:row>
      <xdr:rowOff>127000</xdr:rowOff>
    </xdr:to>
    <xdr:graphicFrame macro="">
      <xdr:nvGraphicFramePr>
        <xdr:cNvPr id="8" name="Chart 22">
          <a:extLst>
            <a:ext uri="{FF2B5EF4-FFF2-40B4-BE49-F238E27FC236}">
              <a16:creationId xmlns:a16="http://schemas.microsoft.com/office/drawing/2014/main" id="{4DCD645C-5614-4308-AF17-DDA95FF93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301271</xdr:colOff>
      <xdr:row>4</xdr:row>
      <xdr:rowOff>50800</xdr:rowOff>
    </xdr:from>
    <xdr:to>
      <xdr:col>6</xdr:col>
      <xdr:colOff>453671</xdr:colOff>
      <xdr:row>8</xdr:row>
      <xdr:rowOff>20320</xdr:rowOff>
    </xdr:to>
    <xdr:sp macro="" textlink="$V$2">
      <xdr:nvSpPr>
        <xdr:cNvPr id="16" name="TextBox 15">
          <a:extLst>
            <a:ext uri="{FF2B5EF4-FFF2-40B4-BE49-F238E27FC236}">
              <a16:creationId xmlns:a16="http://schemas.microsoft.com/office/drawing/2014/main" id="{23F66C97-5039-4AB9-BB1D-356A94F3E2D5}"/>
            </a:ext>
          </a:extLst>
        </xdr:cNvPr>
        <xdr:cNvSpPr txBox="1"/>
      </xdr:nvSpPr>
      <xdr:spPr>
        <a:xfrm>
          <a:off x="2185104" y="812800"/>
          <a:ext cx="1365956" cy="731520"/>
        </a:xfrm>
        <a:prstGeom prst="roundRect">
          <a:avLst/>
        </a:prstGeom>
        <a:solidFill>
          <a:srgbClr val="2D468B"/>
        </a:solidFill>
        <a:ln w="9525">
          <a:solidFill>
            <a:srgbClr val="4F8FE8"/>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US" sz="900" b="0" i="0" u="none" strike="noStrike">
              <a:solidFill>
                <a:srgbClr val="60A5FA"/>
              </a:solidFill>
              <a:latin typeface="Calibri"/>
              <a:ea typeface="Calibri"/>
              <a:cs typeface="Calibri"/>
            </a:rPr>
            <a:t>Total</a:t>
          </a:r>
          <a:r>
            <a:rPr lang="en-US" sz="1400" b="0" i="0" u="none" strike="noStrike">
              <a:solidFill>
                <a:schemeClr val="bg1"/>
              </a:solidFill>
              <a:latin typeface="Calibri"/>
              <a:ea typeface="Calibri"/>
              <a:cs typeface="Calibri"/>
            </a:rPr>
            <a:t> </a:t>
          </a:r>
          <a:r>
            <a:rPr lang="en-US" sz="900" b="0" i="0" u="none" strike="noStrike">
              <a:solidFill>
                <a:srgbClr val="60A5FA"/>
              </a:solidFill>
              <a:latin typeface="Calibri"/>
              <a:ea typeface="Calibri"/>
              <a:cs typeface="Calibri"/>
            </a:rPr>
            <a:t>Payable</a:t>
          </a:r>
          <a:endParaRPr lang="en-US" sz="900" b="1" i="0" u="none" strike="noStrike">
            <a:solidFill>
              <a:srgbClr val="60A5FA"/>
            </a:solidFill>
            <a:latin typeface="Calibri"/>
            <a:ea typeface="Calibri"/>
            <a:cs typeface="Calibri"/>
          </a:endParaRPr>
        </a:p>
        <a:p>
          <a:pPr algn="ctr"/>
          <a:fld id="{392C4E92-FDFF-44A8-B74A-E46ACCBE8C8F}" type="TxLink">
            <a:rPr lang="en-US" sz="1600" b="1" i="0" u="none" strike="noStrike">
              <a:solidFill>
                <a:schemeClr val="bg1"/>
              </a:solidFill>
              <a:latin typeface="Calibri"/>
              <a:ea typeface="Calibri"/>
              <a:cs typeface="Calibri"/>
            </a:rPr>
            <a:pPr algn="ctr"/>
            <a:t>$2.1M</a:t>
          </a:fld>
          <a:endParaRPr lang="en-US" sz="1600" b="1">
            <a:solidFill>
              <a:schemeClr val="bg1"/>
            </a:solidFill>
          </a:endParaRPr>
        </a:p>
      </xdr:txBody>
    </xdr:sp>
    <xdr:clientData/>
  </xdr:twoCellAnchor>
  <xdr:twoCellAnchor>
    <xdr:from>
      <xdr:col>6</xdr:col>
      <xdr:colOff>538339</xdr:colOff>
      <xdr:row>4</xdr:row>
      <xdr:rowOff>58420</xdr:rowOff>
    </xdr:from>
    <xdr:to>
      <xdr:col>9</xdr:col>
      <xdr:colOff>83961</xdr:colOff>
      <xdr:row>8</xdr:row>
      <xdr:rowOff>27940</xdr:rowOff>
    </xdr:to>
    <xdr:sp macro="" textlink="$V$3">
      <xdr:nvSpPr>
        <xdr:cNvPr id="17" name="TextBox 16">
          <a:extLst>
            <a:ext uri="{FF2B5EF4-FFF2-40B4-BE49-F238E27FC236}">
              <a16:creationId xmlns:a16="http://schemas.microsoft.com/office/drawing/2014/main" id="{A6E5DAD3-15B5-467C-A228-29778A234828}"/>
            </a:ext>
          </a:extLst>
        </xdr:cNvPr>
        <xdr:cNvSpPr txBox="1"/>
      </xdr:nvSpPr>
      <xdr:spPr>
        <a:xfrm>
          <a:off x="3635728" y="820420"/>
          <a:ext cx="1365955" cy="731520"/>
        </a:xfrm>
        <a:prstGeom prst="roundRect">
          <a:avLst/>
        </a:prstGeom>
        <a:solidFill>
          <a:srgbClr val="2D468B"/>
        </a:solidFill>
        <a:ln w="9525" cmpd="sng">
          <a:solidFill>
            <a:srgbClr val="4F8FE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900" b="0" i="0" u="none" strike="noStrike">
            <a:solidFill>
              <a:srgbClr val="A78BFA"/>
            </a:solidFill>
            <a:latin typeface="Calibri"/>
            <a:ea typeface="Calibri"/>
            <a:cs typeface="Calibri"/>
          </a:endParaRPr>
        </a:p>
        <a:p>
          <a:pPr algn="ctr"/>
          <a:r>
            <a:rPr lang="en-US" sz="900" b="0" i="0" u="none" strike="noStrike">
              <a:solidFill>
                <a:srgbClr val="A78BFA"/>
              </a:solidFill>
              <a:latin typeface="Calibri"/>
              <a:ea typeface="Calibri"/>
              <a:cs typeface="Calibri"/>
            </a:rPr>
            <a:t>Outstanding</a:t>
          </a:r>
        </a:p>
        <a:p>
          <a:pPr algn="ctr"/>
          <a:fld id="{097F6380-C0E8-4248-B831-F8668B0DEB68}" type="TxLink">
            <a:rPr lang="en-US" sz="1600" b="1" i="0" u="none" strike="noStrike">
              <a:solidFill>
                <a:schemeClr val="bg1"/>
              </a:solidFill>
              <a:latin typeface="Calibri"/>
              <a:ea typeface="Calibri"/>
              <a:cs typeface="Calibri"/>
            </a:rPr>
            <a:pPr algn="ctr"/>
            <a:t>$670K</a:t>
          </a:fld>
          <a:endParaRPr lang="en-US" sz="1600" b="1">
            <a:solidFill>
              <a:schemeClr val="bg1"/>
            </a:solidFill>
          </a:endParaRPr>
        </a:p>
      </xdr:txBody>
    </xdr:sp>
    <xdr:clientData/>
  </xdr:twoCellAnchor>
  <xdr:twoCellAnchor>
    <xdr:from>
      <xdr:col>11</xdr:col>
      <xdr:colOff>418394</xdr:colOff>
      <xdr:row>4</xdr:row>
      <xdr:rowOff>56445</xdr:rowOff>
    </xdr:from>
    <xdr:to>
      <xdr:col>13</xdr:col>
      <xdr:colOff>570794</xdr:colOff>
      <xdr:row>8</xdr:row>
      <xdr:rowOff>25965</xdr:rowOff>
    </xdr:to>
    <xdr:sp macro="" textlink="$V$8">
      <xdr:nvSpPr>
        <xdr:cNvPr id="19" name="TextBox 18">
          <a:extLst>
            <a:ext uri="{FF2B5EF4-FFF2-40B4-BE49-F238E27FC236}">
              <a16:creationId xmlns:a16="http://schemas.microsoft.com/office/drawing/2014/main" id="{09E614FF-9683-4F6E-BA79-50BA60346063}"/>
            </a:ext>
          </a:extLst>
        </xdr:cNvPr>
        <xdr:cNvSpPr txBox="1"/>
      </xdr:nvSpPr>
      <xdr:spPr>
        <a:xfrm>
          <a:off x="6549672" y="818445"/>
          <a:ext cx="1365955" cy="731520"/>
        </a:xfrm>
        <a:prstGeom prst="roundRect">
          <a:avLst/>
        </a:prstGeom>
        <a:solidFill>
          <a:srgbClr val="2D468B"/>
        </a:solidFill>
        <a:ln w="9525" cmpd="sng">
          <a:solidFill>
            <a:srgbClr val="4F8FE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i="0" u="none" strike="noStrike">
              <a:solidFill>
                <a:srgbClr val="34D399"/>
              </a:solidFill>
              <a:latin typeface="Calibri"/>
              <a:ea typeface="Calibri"/>
              <a:cs typeface="Calibri"/>
            </a:rPr>
            <a:t>Outstanding</a:t>
          </a:r>
          <a:r>
            <a:rPr lang="en-US" sz="2000" b="0" i="0" u="none" strike="noStrike" baseline="0">
              <a:solidFill>
                <a:schemeClr val="bg1"/>
              </a:solidFill>
              <a:latin typeface="Calibri"/>
              <a:ea typeface="Calibri"/>
              <a:cs typeface="Calibri"/>
            </a:rPr>
            <a:t> </a:t>
          </a:r>
          <a:r>
            <a:rPr lang="en-US" sz="900" b="0" i="0" u="none" strike="noStrike" baseline="0">
              <a:solidFill>
                <a:srgbClr val="34D399"/>
              </a:solidFill>
              <a:latin typeface="Calibri"/>
              <a:ea typeface="Calibri"/>
              <a:cs typeface="Calibri"/>
            </a:rPr>
            <a:t>Rate</a:t>
          </a:r>
          <a:endParaRPr lang="en-US" sz="900" b="0" i="0" u="none" strike="noStrike">
            <a:solidFill>
              <a:srgbClr val="34D399"/>
            </a:solidFill>
            <a:latin typeface="Calibri"/>
            <a:ea typeface="Calibri"/>
            <a:cs typeface="Calibri"/>
          </a:endParaRPr>
        </a:p>
        <a:p>
          <a:pPr algn="ctr"/>
          <a:fld id="{40AFA039-51CF-461D-846E-99499D3BE89B}" type="TxLink">
            <a:rPr lang="en-US" sz="1600" b="1" i="0" u="none" strike="noStrike">
              <a:solidFill>
                <a:schemeClr val="bg1"/>
              </a:solidFill>
              <a:latin typeface="Calibri"/>
              <a:ea typeface="Calibri"/>
              <a:cs typeface="Calibri"/>
            </a:rPr>
            <a:pPr algn="ctr"/>
            <a:t>32%</a:t>
          </a:fld>
          <a:endParaRPr lang="en-US" sz="1600" b="1" i="0" u="none" strike="noStrike">
            <a:solidFill>
              <a:schemeClr val="bg1"/>
            </a:solidFill>
            <a:latin typeface="Calibri"/>
            <a:ea typeface="Calibri"/>
            <a:cs typeface="Calibri"/>
          </a:endParaRPr>
        </a:p>
      </xdr:txBody>
    </xdr:sp>
    <xdr:clientData/>
  </xdr:twoCellAnchor>
  <xdr:twoCellAnchor>
    <xdr:from>
      <xdr:col>14</xdr:col>
      <xdr:colOff>68440</xdr:colOff>
      <xdr:row>4</xdr:row>
      <xdr:rowOff>55740</xdr:rowOff>
    </xdr:from>
    <xdr:to>
      <xdr:col>16</xdr:col>
      <xdr:colOff>220840</xdr:colOff>
      <xdr:row>8</xdr:row>
      <xdr:rowOff>25260</xdr:rowOff>
    </xdr:to>
    <xdr:sp macro="" textlink="#REF!">
      <xdr:nvSpPr>
        <xdr:cNvPr id="20" name="TextBox 19">
          <a:extLst>
            <a:ext uri="{FF2B5EF4-FFF2-40B4-BE49-F238E27FC236}">
              <a16:creationId xmlns:a16="http://schemas.microsoft.com/office/drawing/2014/main" id="{EF67E897-970B-468F-9ECF-94D5B06C8B9D}"/>
            </a:ext>
          </a:extLst>
        </xdr:cNvPr>
        <xdr:cNvSpPr txBox="1"/>
      </xdr:nvSpPr>
      <xdr:spPr>
        <a:xfrm>
          <a:off x="8020051" y="817740"/>
          <a:ext cx="1365956" cy="731520"/>
        </a:xfrm>
        <a:prstGeom prst="roundRect">
          <a:avLst/>
        </a:prstGeom>
        <a:solidFill>
          <a:srgbClr val="2D468B"/>
        </a:solidFill>
        <a:ln w="9525" cmpd="sng">
          <a:solidFill>
            <a:srgbClr val="4F8FE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i="0" u="none" strike="noStrike">
              <a:solidFill>
                <a:srgbClr val="EF4444"/>
              </a:solidFill>
              <a:latin typeface="Calibri"/>
              <a:ea typeface="Calibri"/>
              <a:cs typeface="Calibri"/>
            </a:rPr>
            <a:t>Open</a:t>
          </a:r>
          <a:r>
            <a:rPr lang="en-US" sz="1100" b="0" i="0" u="none" strike="noStrike" baseline="0">
              <a:solidFill>
                <a:schemeClr val="bg1"/>
              </a:solidFill>
              <a:latin typeface="Calibri"/>
              <a:ea typeface="Calibri"/>
              <a:cs typeface="Calibri"/>
            </a:rPr>
            <a:t> </a:t>
          </a:r>
          <a:r>
            <a:rPr lang="en-US" sz="900" b="0" i="0" u="none" strike="noStrike" baseline="0">
              <a:solidFill>
                <a:srgbClr val="EF4444"/>
              </a:solidFill>
              <a:latin typeface="Calibri"/>
              <a:ea typeface="Calibri"/>
              <a:cs typeface="Calibri"/>
            </a:rPr>
            <a:t>Invoices</a:t>
          </a:r>
          <a:r>
            <a:rPr lang="en-US" sz="2000" b="0" i="0" u="none" strike="noStrike" baseline="0">
              <a:solidFill>
                <a:schemeClr val="bg1"/>
              </a:solidFill>
              <a:latin typeface="Calibri"/>
              <a:ea typeface="Calibri"/>
              <a:cs typeface="Calibri"/>
            </a:rPr>
            <a:t> </a:t>
          </a:r>
          <a:r>
            <a:rPr lang="en-US" sz="900" b="0" i="0" u="none" strike="noStrike" baseline="0">
              <a:solidFill>
                <a:srgbClr val="EF4444"/>
              </a:solidFill>
              <a:latin typeface="Calibri"/>
              <a:ea typeface="Calibri"/>
              <a:cs typeface="Calibri"/>
            </a:rPr>
            <a:t>Rate</a:t>
          </a:r>
          <a:endParaRPr lang="en-US" sz="900" b="0" i="0" u="none" strike="noStrike">
            <a:solidFill>
              <a:srgbClr val="EF4444"/>
            </a:solidFill>
            <a:latin typeface="Calibri"/>
            <a:ea typeface="Calibri"/>
            <a:cs typeface="Calibri"/>
          </a:endParaRPr>
        </a:p>
        <a:p>
          <a:pPr algn="ctr"/>
          <a:fld id="{937B7216-C1DB-4C63-ABE9-466CED0F0A70}" type="TxLink">
            <a:rPr lang="en-US" sz="1600" b="1" i="0" u="none" strike="noStrike">
              <a:solidFill>
                <a:schemeClr val="bg1"/>
              </a:solidFill>
              <a:latin typeface="Calibri"/>
              <a:ea typeface="Calibri"/>
              <a:cs typeface="Calibri"/>
            </a:rPr>
            <a:pPr algn="ctr"/>
            <a:t>33%</a:t>
          </a:fld>
          <a:endParaRPr lang="en-US" sz="1600" b="1" baseline="0">
            <a:solidFill>
              <a:schemeClr val="bg1"/>
            </a:solidFill>
          </a:endParaRPr>
        </a:p>
      </xdr:txBody>
    </xdr:sp>
    <xdr:clientData/>
  </xdr:twoCellAnchor>
  <xdr:twoCellAnchor editAs="oneCell">
    <xdr:from>
      <xdr:col>2</xdr:col>
      <xdr:colOff>571500</xdr:colOff>
      <xdr:row>8</xdr:row>
      <xdr:rowOff>121920</xdr:rowOff>
    </xdr:from>
    <xdr:to>
      <xdr:col>11</xdr:col>
      <xdr:colOff>400050</xdr:colOff>
      <xdr:row>12</xdr:row>
      <xdr:rowOff>0</xdr:rowOff>
    </xdr:to>
    <mc:AlternateContent xmlns:mc="http://schemas.openxmlformats.org/markup-compatibility/2006" xmlns:a14="http://schemas.microsoft.com/office/drawing/2010/main">
      <mc:Choice Requires="a14">
        <xdr:graphicFrame macro="">
          <xdr:nvGraphicFramePr>
            <xdr:cNvPr id="27" name="Vendor">
              <a:extLst>
                <a:ext uri="{FF2B5EF4-FFF2-40B4-BE49-F238E27FC236}">
                  <a16:creationId xmlns:a16="http://schemas.microsoft.com/office/drawing/2014/main" id="{9855D5C0-FA63-470B-944B-C88809A3C82A}"/>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mlns="">
        <xdr:sp macro="" textlink="">
          <xdr:nvSpPr>
            <xdr:cNvPr id="0" name=""/>
            <xdr:cNvSpPr>
              <a:spLocks noTextEdit="1"/>
            </xdr:cNvSpPr>
          </xdr:nvSpPr>
          <xdr:spPr>
            <a:xfrm>
              <a:off x="1244600" y="1645920"/>
              <a:ext cx="531495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438150</xdr:colOff>
      <xdr:row>8</xdr:row>
      <xdr:rowOff>121920</xdr:rowOff>
    </xdr:from>
    <xdr:to>
      <xdr:col>15</xdr:col>
      <xdr:colOff>57150</xdr:colOff>
      <xdr:row>12</xdr:row>
      <xdr:rowOff>0</xdr:rowOff>
    </xdr:to>
    <mc:AlternateContent xmlns:mc="http://schemas.openxmlformats.org/markup-compatibility/2006" xmlns:a14="http://schemas.microsoft.com/office/drawing/2010/main">
      <mc:Choice Requires="a14">
        <xdr:graphicFrame macro="">
          <xdr:nvGraphicFramePr>
            <xdr:cNvPr id="29" name="Status">
              <a:extLst>
                <a:ext uri="{FF2B5EF4-FFF2-40B4-BE49-F238E27FC236}">
                  <a16:creationId xmlns:a16="http://schemas.microsoft.com/office/drawing/2014/main" id="{E8755EC6-9F82-4BE8-A280-B705C3EE079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6597650" y="1645920"/>
              <a:ext cx="20574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114300</xdr:colOff>
      <xdr:row>8</xdr:row>
      <xdr:rowOff>121920</xdr:rowOff>
    </xdr:from>
    <xdr:to>
      <xdr:col>17</xdr:col>
      <xdr:colOff>596900</xdr:colOff>
      <xdr:row>12</xdr:row>
      <xdr:rowOff>0</xdr:rowOff>
    </xdr:to>
    <mc:AlternateContent xmlns:mc="http://schemas.openxmlformats.org/markup-compatibility/2006" xmlns:a14="http://schemas.microsoft.com/office/drawing/2010/main">
      <mc:Choice Requires="a14">
        <xdr:graphicFrame macro="">
          <xdr:nvGraphicFramePr>
            <xdr:cNvPr id="30" name="Years">
              <a:extLst>
                <a:ext uri="{FF2B5EF4-FFF2-40B4-BE49-F238E27FC236}">
                  <a16:creationId xmlns:a16="http://schemas.microsoft.com/office/drawing/2014/main" id="{73CDB3BB-8D17-4C9F-A273-05DBF8B04BCA}"/>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8712200" y="1645920"/>
              <a:ext cx="1701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435730</xdr:colOff>
      <xdr:row>2</xdr:row>
      <xdr:rowOff>69850</xdr:rowOff>
    </xdr:from>
    <xdr:to>
      <xdr:col>7</xdr:col>
      <xdr:colOff>48381</xdr:colOff>
      <xdr:row>3</xdr:row>
      <xdr:rowOff>101600</xdr:rowOff>
    </xdr:to>
    <xdr:pic>
      <xdr:nvPicPr>
        <xdr:cNvPr id="37" name="Graphic 36" descr="Daily calendar with solid fill">
          <a:extLst>
            <a:ext uri="{FF2B5EF4-FFF2-40B4-BE49-F238E27FC236}">
              <a16:creationId xmlns:a16="http://schemas.microsoft.com/office/drawing/2014/main" id="{F850A8A0-BB28-4253-A6E6-FA86E277955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568397" y="450850"/>
          <a:ext cx="226484" cy="222250"/>
        </a:xfrm>
        <a:prstGeom prst="rect">
          <a:avLst/>
        </a:prstGeom>
      </xdr:spPr>
    </xdr:pic>
    <xdr:clientData/>
  </xdr:twoCellAnchor>
  <xdr:twoCellAnchor>
    <xdr:from>
      <xdr:col>9</xdr:col>
      <xdr:colOff>169334</xdr:colOff>
      <xdr:row>4</xdr:row>
      <xdr:rowOff>56445</xdr:rowOff>
    </xdr:from>
    <xdr:to>
      <xdr:col>11</xdr:col>
      <xdr:colOff>321734</xdr:colOff>
      <xdr:row>8</xdr:row>
      <xdr:rowOff>25965</xdr:rowOff>
    </xdr:to>
    <xdr:sp macro="" textlink="$V$9">
      <xdr:nvSpPr>
        <xdr:cNvPr id="15" name="TextBox 14">
          <a:extLst>
            <a:ext uri="{FF2B5EF4-FFF2-40B4-BE49-F238E27FC236}">
              <a16:creationId xmlns:a16="http://schemas.microsoft.com/office/drawing/2014/main" id="{4E444A63-D8E9-4070-8344-77E40997802C}"/>
            </a:ext>
          </a:extLst>
        </xdr:cNvPr>
        <xdr:cNvSpPr txBox="1"/>
      </xdr:nvSpPr>
      <xdr:spPr>
        <a:xfrm>
          <a:off x="5087056" y="818445"/>
          <a:ext cx="1365956" cy="731520"/>
        </a:xfrm>
        <a:prstGeom prst="roundRect">
          <a:avLst/>
        </a:prstGeom>
        <a:solidFill>
          <a:srgbClr val="2D468B"/>
        </a:solidFill>
        <a:ln w="9525" cmpd="sng">
          <a:solidFill>
            <a:srgbClr val="4F8FE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0" i="0" u="none" strike="noStrike" baseline="0">
            <a:solidFill>
              <a:srgbClr val="000000"/>
            </a:solidFill>
            <a:latin typeface="Calibri"/>
            <a:ea typeface="Calibri"/>
            <a:cs typeface="Calibri"/>
          </a:endParaRPr>
        </a:p>
        <a:p>
          <a:pPr algn="ctr"/>
          <a:r>
            <a:rPr lang="en-US" sz="900" b="0" i="0" u="none" strike="noStrike" baseline="0">
              <a:solidFill>
                <a:srgbClr val="99F6E4"/>
              </a:solidFill>
              <a:latin typeface="Calibri"/>
              <a:ea typeface="Calibri"/>
              <a:cs typeface="Calibri"/>
            </a:rPr>
            <a:t>DPO</a:t>
          </a:r>
        </a:p>
        <a:p>
          <a:pPr algn="ctr"/>
          <a:fld id="{4C95E973-9098-4AE7-B99D-4709966CB37C}" type="TxLink">
            <a:rPr lang="en-US" sz="1600" b="1" i="0" u="none" strike="noStrike" baseline="0">
              <a:solidFill>
                <a:schemeClr val="bg1"/>
              </a:solidFill>
              <a:latin typeface="Calibri"/>
              <a:ea typeface="Calibri"/>
              <a:cs typeface="Calibri"/>
            </a:rPr>
            <a:pPr algn="ctr"/>
            <a:t>30</a:t>
          </a:fld>
          <a:endParaRPr lang="en-US" sz="1600" b="1" baseline="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44450</xdr:colOff>
      <xdr:row>11</xdr:row>
      <xdr:rowOff>110772</xdr:rowOff>
    </xdr:from>
    <xdr:to>
      <xdr:col>9</xdr:col>
      <xdr:colOff>201140</xdr:colOff>
      <xdr:row>24</xdr:row>
      <xdr:rowOff>75212</xdr:rowOff>
    </xdr:to>
    <xdr:graphicFrame macro="">
      <xdr:nvGraphicFramePr>
        <xdr:cNvPr id="5" name="Chart 18">
          <a:extLst>
            <a:ext uri="{FF2B5EF4-FFF2-40B4-BE49-F238E27FC236}">
              <a16:creationId xmlns:a16="http://schemas.microsoft.com/office/drawing/2014/main" id="{0A543A23-4B1A-4BCE-B392-DFAFA4D2A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373944</xdr:colOff>
      <xdr:row>12</xdr:row>
      <xdr:rowOff>8749</xdr:rowOff>
    </xdr:from>
    <xdr:to>
      <xdr:col>17</xdr:col>
      <xdr:colOff>526344</xdr:colOff>
      <xdr:row>24</xdr:row>
      <xdr:rowOff>163689</xdr:rowOff>
    </xdr:to>
    <xdr:graphicFrame macro="">
      <xdr:nvGraphicFramePr>
        <xdr:cNvPr id="6" name="Chart 17">
          <a:extLst>
            <a:ext uri="{FF2B5EF4-FFF2-40B4-BE49-F238E27FC236}">
              <a16:creationId xmlns:a16="http://schemas.microsoft.com/office/drawing/2014/main" id="{BBE5A3F6-5DFE-4251-BF14-E719B672D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28082</xdr:colOff>
      <xdr:row>24</xdr:row>
      <xdr:rowOff>88901</xdr:rowOff>
    </xdr:from>
    <xdr:to>
      <xdr:col>18</xdr:col>
      <xdr:colOff>180482</xdr:colOff>
      <xdr:row>43</xdr:row>
      <xdr:rowOff>64770</xdr:rowOff>
    </xdr:to>
    <xdr:graphicFrame macro="">
      <xdr:nvGraphicFramePr>
        <xdr:cNvPr id="7" name="Chart 16">
          <a:extLst>
            <a:ext uri="{FF2B5EF4-FFF2-40B4-BE49-F238E27FC236}">
              <a16:creationId xmlns:a16="http://schemas.microsoft.com/office/drawing/2014/main" id="{DCCCCD62-D85A-4EC7-9A74-1170DD6C0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146050</xdr:colOff>
      <xdr:row>4</xdr:row>
      <xdr:rowOff>50800</xdr:rowOff>
    </xdr:from>
    <xdr:to>
      <xdr:col>6</xdr:col>
      <xdr:colOff>298450</xdr:colOff>
      <xdr:row>8</xdr:row>
      <xdr:rowOff>20320</xdr:rowOff>
    </xdr:to>
    <xdr:sp macro="" textlink="$V$2">
      <xdr:nvSpPr>
        <xdr:cNvPr id="9" name="TextBox 8">
          <a:extLst>
            <a:ext uri="{FF2B5EF4-FFF2-40B4-BE49-F238E27FC236}">
              <a16:creationId xmlns:a16="http://schemas.microsoft.com/office/drawing/2014/main" id="{A3A91ACB-5D61-4DFA-A022-412C8DBCD2C4}"/>
            </a:ext>
          </a:extLst>
        </xdr:cNvPr>
        <xdr:cNvSpPr txBox="1"/>
      </xdr:nvSpPr>
      <xdr:spPr>
        <a:xfrm>
          <a:off x="2038350" y="812800"/>
          <a:ext cx="1371600" cy="731520"/>
        </a:xfrm>
        <a:prstGeom prst="roundRect">
          <a:avLst/>
        </a:prstGeom>
        <a:solidFill>
          <a:srgbClr val="2D468B"/>
        </a:solidFill>
        <a:ln w="9525">
          <a:solidFill>
            <a:srgbClr val="4F8FE8"/>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US" sz="900" b="0" i="0" u="none" strike="noStrike">
              <a:solidFill>
                <a:srgbClr val="60A5FA"/>
              </a:solidFill>
              <a:latin typeface="Calibri"/>
              <a:ea typeface="Calibri"/>
              <a:cs typeface="Calibri"/>
            </a:rPr>
            <a:t>Total</a:t>
          </a:r>
          <a:r>
            <a:rPr lang="en-US" sz="1400" b="0" i="0" u="none" strike="noStrike">
              <a:solidFill>
                <a:schemeClr val="bg1"/>
              </a:solidFill>
              <a:latin typeface="Calibri"/>
              <a:ea typeface="Calibri"/>
              <a:cs typeface="Calibri"/>
            </a:rPr>
            <a:t> </a:t>
          </a:r>
          <a:r>
            <a:rPr lang="en-US" sz="900" b="0" i="0" u="none" strike="noStrike">
              <a:solidFill>
                <a:srgbClr val="60A5FA"/>
              </a:solidFill>
              <a:latin typeface="Calibri"/>
              <a:ea typeface="Calibri"/>
              <a:cs typeface="Calibri"/>
            </a:rPr>
            <a:t>Payable</a:t>
          </a:r>
          <a:endParaRPr lang="en-US" sz="900" b="1" i="0" u="none" strike="noStrike">
            <a:solidFill>
              <a:srgbClr val="60A5FA"/>
            </a:solidFill>
            <a:latin typeface="Calibri"/>
            <a:ea typeface="Calibri"/>
            <a:cs typeface="Calibri"/>
          </a:endParaRPr>
        </a:p>
        <a:p>
          <a:pPr algn="ctr"/>
          <a:fld id="{392C4E92-FDFF-44A8-B74A-E46ACCBE8C8F}" type="TxLink">
            <a:rPr lang="en-US" sz="1600" b="1" i="0" u="none" strike="noStrike">
              <a:solidFill>
                <a:schemeClr val="bg1"/>
              </a:solidFill>
              <a:latin typeface="Calibri"/>
              <a:ea typeface="Calibri"/>
              <a:cs typeface="Calibri"/>
            </a:rPr>
            <a:pPr algn="ctr"/>
            <a:t>$2.1M</a:t>
          </a:fld>
          <a:endParaRPr lang="en-US" sz="1600" b="1">
            <a:solidFill>
              <a:schemeClr val="bg1"/>
            </a:solidFill>
          </a:endParaRPr>
        </a:p>
      </xdr:txBody>
    </xdr:sp>
    <xdr:clientData/>
  </xdr:twoCellAnchor>
  <xdr:twoCellAnchor>
    <xdr:from>
      <xdr:col>6</xdr:col>
      <xdr:colOff>390172</xdr:colOff>
      <xdr:row>4</xdr:row>
      <xdr:rowOff>58420</xdr:rowOff>
    </xdr:from>
    <xdr:to>
      <xdr:col>8</xdr:col>
      <xdr:colOff>542572</xdr:colOff>
      <xdr:row>8</xdr:row>
      <xdr:rowOff>27940</xdr:rowOff>
    </xdr:to>
    <xdr:sp macro="" textlink="$V$3">
      <xdr:nvSpPr>
        <xdr:cNvPr id="10" name="TextBox 9">
          <a:extLst>
            <a:ext uri="{FF2B5EF4-FFF2-40B4-BE49-F238E27FC236}">
              <a16:creationId xmlns:a16="http://schemas.microsoft.com/office/drawing/2014/main" id="{F33A98F7-88D2-4E05-B890-DF674E926A15}"/>
            </a:ext>
          </a:extLst>
        </xdr:cNvPr>
        <xdr:cNvSpPr txBox="1"/>
      </xdr:nvSpPr>
      <xdr:spPr>
        <a:xfrm>
          <a:off x="3487561" y="820420"/>
          <a:ext cx="1365955" cy="731520"/>
        </a:xfrm>
        <a:prstGeom prst="roundRect">
          <a:avLst/>
        </a:prstGeom>
        <a:solidFill>
          <a:srgbClr val="2D468B"/>
        </a:solidFill>
        <a:ln w="9525" cmpd="sng">
          <a:solidFill>
            <a:srgbClr val="4F8FE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900" b="0" i="0" u="none" strike="noStrike">
            <a:solidFill>
              <a:srgbClr val="A78BFA"/>
            </a:solidFill>
            <a:latin typeface="Calibri"/>
            <a:ea typeface="Calibri"/>
            <a:cs typeface="Calibri"/>
          </a:endParaRPr>
        </a:p>
        <a:p>
          <a:pPr algn="ctr"/>
          <a:r>
            <a:rPr lang="en-US" sz="900" b="0" i="0" u="none" strike="noStrike">
              <a:solidFill>
                <a:srgbClr val="A78BFA"/>
              </a:solidFill>
              <a:latin typeface="Calibri"/>
              <a:ea typeface="Calibri"/>
              <a:cs typeface="Calibri"/>
            </a:rPr>
            <a:t>Outstanding</a:t>
          </a:r>
        </a:p>
        <a:p>
          <a:pPr algn="ctr"/>
          <a:fld id="{097F6380-C0E8-4248-B831-F8668B0DEB68}" type="TxLink">
            <a:rPr lang="en-US" sz="1600" b="1" i="0" u="none" strike="noStrike">
              <a:solidFill>
                <a:schemeClr val="bg1"/>
              </a:solidFill>
              <a:latin typeface="Calibri"/>
              <a:ea typeface="Calibri"/>
              <a:cs typeface="Calibri"/>
            </a:rPr>
            <a:pPr algn="ctr"/>
            <a:t>$670K</a:t>
          </a:fld>
          <a:endParaRPr lang="en-US" sz="1600" b="1">
            <a:solidFill>
              <a:schemeClr val="bg1"/>
            </a:solidFill>
          </a:endParaRPr>
        </a:p>
      </xdr:txBody>
    </xdr:sp>
    <xdr:clientData/>
  </xdr:twoCellAnchor>
  <xdr:twoCellAnchor>
    <xdr:from>
      <xdr:col>11</xdr:col>
      <xdr:colOff>234950</xdr:colOff>
      <xdr:row>4</xdr:row>
      <xdr:rowOff>63500</xdr:rowOff>
    </xdr:from>
    <xdr:to>
      <xdr:col>13</xdr:col>
      <xdr:colOff>387350</xdr:colOff>
      <xdr:row>8</xdr:row>
      <xdr:rowOff>33020</xdr:rowOff>
    </xdr:to>
    <xdr:sp macro="" textlink="$V$8">
      <xdr:nvSpPr>
        <xdr:cNvPr id="12" name="TextBox 11">
          <a:extLst>
            <a:ext uri="{FF2B5EF4-FFF2-40B4-BE49-F238E27FC236}">
              <a16:creationId xmlns:a16="http://schemas.microsoft.com/office/drawing/2014/main" id="{D6540C0E-ECA0-47B5-959D-5B011EE2C0D5}"/>
            </a:ext>
          </a:extLst>
        </xdr:cNvPr>
        <xdr:cNvSpPr txBox="1"/>
      </xdr:nvSpPr>
      <xdr:spPr>
        <a:xfrm>
          <a:off x="6366228" y="825500"/>
          <a:ext cx="1365955" cy="731520"/>
        </a:xfrm>
        <a:prstGeom prst="roundRect">
          <a:avLst/>
        </a:prstGeom>
        <a:solidFill>
          <a:srgbClr val="2D468B"/>
        </a:solidFill>
        <a:ln w="9525" cmpd="sng">
          <a:solidFill>
            <a:srgbClr val="4F8FE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i="0" u="none" strike="noStrike">
              <a:solidFill>
                <a:srgbClr val="34D399"/>
              </a:solidFill>
              <a:latin typeface="Calibri"/>
              <a:ea typeface="Calibri"/>
              <a:cs typeface="Calibri"/>
            </a:rPr>
            <a:t>Outstanding</a:t>
          </a:r>
          <a:r>
            <a:rPr lang="en-US" sz="2000" b="0" i="0" u="none" strike="noStrike" baseline="0">
              <a:solidFill>
                <a:schemeClr val="bg1"/>
              </a:solidFill>
              <a:latin typeface="Calibri"/>
              <a:ea typeface="Calibri"/>
              <a:cs typeface="Calibri"/>
            </a:rPr>
            <a:t> </a:t>
          </a:r>
          <a:r>
            <a:rPr lang="en-US" sz="900" b="0" i="0" u="none" strike="noStrike" baseline="0">
              <a:solidFill>
                <a:srgbClr val="34D399"/>
              </a:solidFill>
              <a:latin typeface="Calibri"/>
              <a:ea typeface="Calibri"/>
              <a:cs typeface="Calibri"/>
            </a:rPr>
            <a:t>Rate</a:t>
          </a:r>
          <a:endParaRPr lang="en-US" sz="900" b="0" i="0" u="none" strike="noStrike">
            <a:solidFill>
              <a:srgbClr val="34D399"/>
            </a:solidFill>
            <a:latin typeface="Calibri"/>
            <a:ea typeface="Calibri"/>
            <a:cs typeface="Calibri"/>
          </a:endParaRPr>
        </a:p>
        <a:p>
          <a:pPr algn="ctr"/>
          <a:fld id="{40AFA039-51CF-461D-846E-99499D3BE89B}" type="TxLink">
            <a:rPr lang="en-US" sz="1600" b="1" i="0" u="none" strike="noStrike">
              <a:solidFill>
                <a:schemeClr val="bg1"/>
              </a:solidFill>
              <a:latin typeface="Calibri"/>
              <a:ea typeface="Calibri"/>
              <a:cs typeface="Calibri"/>
            </a:rPr>
            <a:pPr algn="ctr"/>
            <a:t>32%</a:t>
          </a:fld>
          <a:endParaRPr lang="en-US" sz="1600" b="1" i="0" u="none" strike="noStrike">
            <a:solidFill>
              <a:schemeClr val="bg1"/>
            </a:solidFill>
            <a:latin typeface="Calibri"/>
            <a:ea typeface="Calibri"/>
            <a:cs typeface="Calibri"/>
          </a:endParaRPr>
        </a:p>
      </xdr:txBody>
    </xdr:sp>
    <xdr:clientData/>
  </xdr:twoCellAnchor>
  <xdr:twoCellAnchor>
    <xdr:from>
      <xdr:col>13</xdr:col>
      <xdr:colOff>463550</xdr:colOff>
      <xdr:row>4</xdr:row>
      <xdr:rowOff>62795</xdr:rowOff>
    </xdr:from>
    <xdr:to>
      <xdr:col>16</xdr:col>
      <xdr:colOff>9172</xdr:colOff>
      <xdr:row>8</xdr:row>
      <xdr:rowOff>32315</xdr:rowOff>
    </xdr:to>
    <xdr:sp macro="" textlink="#REF!">
      <xdr:nvSpPr>
        <xdr:cNvPr id="13" name="TextBox 12">
          <a:extLst>
            <a:ext uri="{FF2B5EF4-FFF2-40B4-BE49-F238E27FC236}">
              <a16:creationId xmlns:a16="http://schemas.microsoft.com/office/drawing/2014/main" id="{C251145C-302C-4D38-AD96-D437B684DEFA}"/>
            </a:ext>
          </a:extLst>
        </xdr:cNvPr>
        <xdr:cNvSpPr txBox="1"/>
      </xdr:nvSpPr>
      <xdr:spPr>
        <a:xfrm>
          <a:off x="7808383" y="824795"/>
          <a:ext cx="1365956" cy="731520"/>
        </a:xfrm>
        <a:prstGeom prst="roundRect">
          <a:avLst/>
        </a:prstGeom>
        <a:solidFill>
          <a:srgbClr val="2D468B"/>
        </a:solidFill>
        <a:ln w="9525" cmpd="sng">
          <a:solidFill>
            <a:srgbClr val="4F8FE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900" b="0" i="0" u="none" strike="noStrike">
            <a:solidFill>
              <a:srgbClr val="EF4444"/>
            </a:solidFill>
            <a:latin typeface="Calibri"/>
            <a:ea typeface="Calibri"/>
            <a:cs typeface="Calibri"/>
          </a:endParaRPr>
        </a:p>
        <a:p>
          <a:pPr algn="ctr"/>
          <a:r>
            <a:rPr lang="en-US" sz="900" b="0" i="0" u="none" strike="noStrike">
              <a:solidFill>
                <a:srgbClr val="EF4444"/>
              </a:solidFill>
              <a:latin typeface="Calibri"/>
              <a:ea typeface="Calibri"/>
              <a:cs typeface="Calibri"/>
            </a:rPr>
            <a:t>% of Open</a:t>
          </a:r>
          <a:r>
            <a:rPr lang="en-US" sz="1100" b="0" i="0" u="none" strike="noStrike" baseline="0">
              <a:solidFill>
                <a:schemeClr val="bg1"/>
              </a:solidFill>
              <a:latin typeface="Calibri"/>
              <a:ea typeface="Calibri"/>
              <a:cs typeface="Calibri"/>
            </a:rPr>
            <a:t> </a:t>
          </a:r>
          <a:r>
            <a:rPr lang="en-US" sz="900" b="0" i="0" u="none" strike="noStrike" baseline="0">
              <a:solidFill>
                <a:srgbClr val="EF4444"/>
              </a:solidFill>
              <a:latin typeface="Calibri"/>
              <a:ea typeface="Calibri"/>
              <a:cs typeface="Calibri"/>
            </a:rPr>
            <a:t>Invoices</a:t>
          </a:r>
          <a:endParaRPr lang="en-US" sz="900" b="0" i="0" u="none" strike="noStrike">
            <a:solidFill>
              <a:srgbClr val="EF4444"/>
            </a:solidFill>
            <a:latin typeface="Calibri"/>
            <a:ea typeface="Calibri"/>
            <a:cs typeface="Calibri"/>
          </a:endParaRPr>
        </a:p>
        <a:p>
          <a:pPr algn="ctr"/>
          <a:fld id="{937B7216-C1DB-4C63-ABE9-466CED0F0A70}" type="TxLink">
            <a:rPr lang="en-US" sz="1600" b="1" i="0" u="none" strike="noStrike">
              <a:solidFill>
                <a:schemeClr val="bg1"/>
              </a:solidFill>
              <a:latin typeface="Calibri"/>
              <a:ea typeface="Calibri"/>
              <a:cs typeface="Calibri"/>
            </a:rPr>
            <a:pPr algn="ctr"/>
            <a:t>33%</a:t>
          </a:fld>
          <a:endParaRPr lang="en-US" sz="1600" b="1" baseline="0">
            <a:solidFill>
              <a:schemeClr val="bg1"/>
            </a:solidFill>
          </a:endParaRPr>
        </a:p>
      </xdr:txBody>
    </xdr:sp>
    <xdr:clientData/>
  </xdr:twoCellAnchor>
  <xdr:twoCellAnchor editAs="oneCell">
    <xdr:from>
      <xdr:col>2</xdr:col>
      <xdr:colOff>571500</xdr:colOff>
      <xdr:row>8</xdr:row>
      <xdr:rowOff>121920</xdr:rowOff>
    </xdr:from>
    <xdr:to>
      <xdr:col>11</xdr:col>
      <xdr:colOff>400050</xdr:colOff>
      <xdr:row>12</xdr:row>
      <xdr:rowOff>0</xdr:rowOff>
    </xdr:to>
    <mc:AlternateContent xmlns:mc="http://schemas.openxmlformats.org/markup-compatibility/2006" xmlns:a14="http://schemas.microsoft.com/office/drawing/2010/main">
      <mc:Choice Requires="a14">
        <xdr:graphicFrame macro="">
          <xdr:nvGraphicFramePr>
            <xdr:cNvPr id="14" name="Vendor 1">
              <a:extLst>
                <a:ext uri="{FF2B5EF4-FFF2-40B4-BE49-F238E27FC236}">
                  <a16:creationId xmlns:a16="http://schemas.microsoft.com/office/drawing/2014/main" id="{7DCA7D46-FE48-4D3E-A081-C595AEE47EED}"/>
                </a:ext>
              </a:extLst>
            </xdr:cNvPr>
            <xdr:cNvGraphicFramePr/>
          </xdr:nvGraphicFramePr>
          <xdr:xfrm>
            <a:off x="0" y="0"/>
            <a:ext cx="0" cy="0"/>
          </xdr:xfrm>
          <a:graphic>
            <a:graphicData uri="http://schemas.microsoft.com/office/drawing/2010/slicer">
              <sle:slicer xmlns:sle="http://schemas.microsoft.com/office/drawing/2010/slicer" name="Vendor 1"/>
            </a:graphicData>
          </a:graphic>
        </xdr:graphicFrame>
      </mc:Choice>
      <mc:Fallback xmlns="">
        <xdr:sp macro="" textlink="">
          <xdr:nvSpPr>
            <xdr:cNvPr id="0" name=""/>
            <xdr:cNvSpPr>
              <a:spLocks noTextEdit="1"/>
            </xdr:cNvSpPr>
          </xdr:nvSpPr>
          <xdr:spPr>
            <a:xfrm>
              <a:off x="1241778" y="1645920"/>
              <a:ext cx="528955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438150</xdr:colOff>
      <xdr:row>8</xdr:row>
      <xdr:rowOff>121920</xdr:rowOff>
    </xdr:from>
    <xdr:to>
      <xdr:col>15</xdr:col>
      <xdr:colOff>57150</xdr:colOff>
      <xdr:row>12</xdr:row>
      <xdr:rowOff>0</xdr:rowOff>
    </xdr:to>
    <mc:AlternateContent xmlns:mc="http://schemas.openxmlformats.org/markup-compatibility/2006" xmlns:a14="http://schemas.microsoft.com/office/drawing/2010/main">
      <mc:Choice Requires="a14">
        <xdr:graphicFrame macro="">
          <xdr:nvGraphicFramePr>
            <xdr:cNvPr id="15" name="Status 1">
              <a:extLst>
                <a:ext uri="{FF2B5EF4-FFF2-40B4-BE49-F238E27FC236}">
                  <a16:creationId xmlns:a16="http://schemas.microsoft.com/office/drawing/2014/main" id="{DEB15A76-77AF-4855-83C4-E1074ADBCEDB}"/>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6569428" y="1645920"/>
              <a:ext cx="2046111"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114300</xdr:colOff>
      <xdr:row>8</xdr:row>
      <xdr:rowOff>121920</xdr:rowOff>
    </xdr:from>
    <xdr:to>
      <xdr:col>17</xdr:col>
      <xdr:colOff>596900</xdr:colOff>
      <xdr:row>12</xdr:row>
      <xdr:rowOff>0</xdr:rowOff>
    </xdr:to>
    <mc:AlternateContent xmlns:mc="http://schemas.openxmlformats.org/markup-compatibility/2006" xmlns:a14="http://schemas.microsoft.com/office/drawing/2010/main">
      <mc:Choice Requires="a14">
        <xdr:graphicFrame macro="">
          <xdr:nvGraphicFramePr>
            <xdr:cNvPr id="16" name="Years 1">
              <a:extLst>
                <a:ext uri="{FF2B5EF4-FFF2-40B4-BE49-F238E27FC236}">
                  <a16:creationId xmlns:a16="http://schemas.microsoft.com/office/drawing/2014/main" id="{79878EF5-2D41-47FA-AA79-344D98D7D490}"/>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8672689" y="1645920"/>
              <a:ext cx="1696155"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102041</xdr:colOff>
      <xdr:row>2</xdr:row>
      <xdr:rowOff>72717</xdr:rowOff>
    </xdr:from>
    <xdr:to>
      <xdr:col>7</xdr:col>
      <xdr:colOff>319926</xdr:colOff>
      <xdr:row>3</xdr:row>
      <xdr:rowOff>104467</xdr:rowOff>
    </xdr:to>
    <xdr:pic>
      <xdr:nvPicPr>
        <xdr:cNvPr id="17" name="Graphic 16" descr="Daily calendar with solid fill">
          <a:extLst>
            <a:ext uri="{FF2B5EF4-FFF2-40B4-BE49-F238E27FC236}">
              <a16:creationId xmlns:a16="http://schemas.microsoft.com/office/drawing/2014/main" id="{96F7A8B3-E9F6-4DE8-88FE-CA9C276BC33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792979" y="449748"/>
          <a:ext cx="217885" cy="220266"/>
        </a:xfrm>
        <a:prstGeom prst="rect">
          <a:avLst/>
        </a:prstGeom>
      </xdr:spPr>
    </xdr:pic>
    <xdr:clientData/>
  </xdr:twoCellAnchor>
  <xdr:twoCellAnchor>
    <xdr:from>
      <xdr:col>9</xdr:col>
      <xdr:colOff>14111</xdr:colOff>
      <xdr:row>4</xdr:row>
      <xdr:rowOff>56444</xdr:rowOff>
    </xdr:from>
    <xdr:to>
      <xdr:col>11</xdr:col>
      <xdr:colOff>166511</xdr:colOff>
      <xdr:row>8</xdr:row>
      <xdr:rowOff>25964</xdr:rowOff>
    </xdr:to>
    <xdr:sp macro="" textlink="$V$9">
      <xdr:nvSpPr>
        <xdr:cNvPr id="18" name="TextBox 17">
          <a:extLst>
            <a:ext uri="{FF2B5EF4-FFF2-40B4-BE49-F238E27FC236}">
              <a16:creationId xmlns:a16="http://schemas.microsoft.com/office/drawing/2014/main" id="{22BC7ED6-84F4-49DC-BCA7-A6972D0C11F4}"/>
            </a:ext>
          </a:extLst>
        </xdr:cNvPr>
        <xdr:cNvSpPr txBox="1"/>
      </xdr:nvSpPr>
      <xdr:spPr>
        <a:xfrm>
          <a:off x="4931833" y="818444"/>
          <a:ext cx="1365956" cy="731520"/>
        </a:xfrm>
        <a:prstGeom prst="roundRect">
          <a:avLst/>
        </a:prstGeom>
        <a:solidFill>
          <a:srgbClr val="2D468B"/>
        </a:solidFill>
        <a:ln w="9525" cmpd="sng">
          <a:solidFill>
            <a:srgbClr val="4F8FE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0" i="0" u="none" strike="noStrike" baseline="0">
            <a:solidFill>
              <a:srgbClr val="000000"/>
            </a:solidFill>
            <a:latin typeface="Calibri"/>
            <a:ea typeface="Calibri"/>
            <a:cs typeface="Calibri"/>
          </a:endParaRPr>
        </a:p>
        <a:p>
          <a:pPr algn="ctr"/>
          <a:r>
            <a:rPr lang="en-US" sz="900" b="0" i="0" u="none" strike="noStrike" baseline="0">
              <a:solidFill>
                <a:srgbClr val="99F6E4"/>
              </a:solidFill>
              <a:latin typeface="Calibri"/>
              <a:ea typeface="Calibri"/>
              <a:cs typeface="Calibri"/>
            </a:rPr>
            <a:t>DPO</a:t>
          </a:r>
        </a:p>
        <a:p>
          <a:pPr algn="ctr"/>
          <a:fld id="{4C95E973-9098-4AE7-B99D-4709966CB37C}" type="TxLink">
            <a:rPr lang="en-US" sz="1600" b="1" i="0" u="none" strike="noStrike" baseline="0">
              <a:solidFill>
                <a:schemeClr val="bg1"/>
              </a:solidFill>
              <a:latin typeface="Calibri"/>
              <a:ea typeface="Calibri"/>
              <a:cs typeface="Calibri"/>
            </a:rPr>
            <a:pPr algn="ctr"/>
            <a:t>30</a:t>
          </a:fld>
          <a:endParaRPr lang="en-US" sz="1600" b="1" baseline="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ashini Gunawardana" refreshedDate="46270.58845358796" createdVersion="7" refreshedVersion="7" minRefreshableVersion="3" recordCount="800" xr:uid="{36DBF898-BB52-4483-933A-F693AC81594E}">
  <cacheSource type="worksheet">
    <worksheetSource ref="A1:R801" sheet="Analysis"/>
  </cacheSource>
  <cacheFields count="20">
    <cacheField name="APID" numFmtId="0">
      <sharedItems/>
    </cacheField>
    <cacheField name="Vendor" numFmtId="0">
      <sharedItems count="5">
        <s v="BluePrints"/>
        <s v="Fast Travel"/>
        <s v="ABC Supplies"/>
        <s v="Global Office"/>
        <s v="TechMart"/>
      </sharedItems>
    </cacheField>
    <cacheField name="InvoiceDate" numFmtId="166">
      <sharedItems containsSemiMixedTypes="0" containsNonDate="0" containsDate="1" containsString="0" minDate="2023-01-01T00:00:00" maxDate="2025-07-01T00:00:00" count="552">
        <d v="2024-12-16T00:00:00"/>
        <d v="2024-05-18T00:00:00"/>
        <d v="2024-02-25T00:00:00"/>
        <d v="2024-01-08T00:00:00"/>
        <d v="2024-05-23T00:00:00"/>
        <d v="2024-07-09T00:00:00"/>
        <d v="2024-12-20T00:00:00"/>
        <d v="2024-09-25T00:00:00"/>
        <d v="2024-02-12T00:00:00"/>
        <d v="2024-06-27T00:00:00"/>
        <d v="2024-03-09T00:00:00"/>
        <d v="2024-10-10T00:00:00"/>
        <d v="2023-05-19T00:00:00"/>
        <d v="2023-11-19T00:00:00"/>
        <d v="2024-05-05T00:00:00"/>
        <d v="2023-06-04T00:00:00"/>
        <d v="2023-12-10T00:00:00"/>
        <d v="2024-12-30T00:00:00"/>
        <d v="2025-03-28T00:00:00"/>
        <d v="2023-07-14T00:00:00"/>
        <d v="2023-06-28T00:00:00"/>
        <d v="2024-12-27T00:00:00"/>
        <d v="2023-05-16T00:00:00"/>
        <d v="2023-09-30T00:00:00"/>
        <d v="2024-12-14T00:00:00"/>
        <d v="2023-07-17T00:00:00"/>
        <d v="2024-03-25T00:00:00"/>
        <d v="2024-10-28T00:00:00"/>
        <d v="2023-03-06T00:00:00"/>
        <d v="2024-02-13T00:00:00"/>
        <d v="2023-03-15T00:00:00"/>
        <d v="2023-10-11T00:00:00"/>
        <d v="2024-11-02T00:00:00"/>
        <d v="2025-01-11T00:00:00"/>
        <d v="2023-04-09T00:00:00"/>
        <d v="2023-07-21T00:00:00"/>
        <d v="2024-07-31T00:00:00"/>
        <d v="2023-01-08T00:00:00"/>
        <d v="2023-07-01T00:00:00"/>
        <d v="2025-05-24T00:00:00"/>
        <d v="2024-01-22T00:00:00"/>
        <d v="2023-02-10T00:00:00"/>
        <d v="2025-06-01T00:00:00"/>
        <d v="2023-06-25T00:00:00"/>
        <d v="2023-06-26T00:00:00"/>
        <d v="2025-01-25T00:00:00"/>
        <d v="2025-03-17T00:00:00"/>
        <d v="2023-09-28T00:00:00"/>
        <d v="2024-03-31T00:00:00"/>
        <d v="2023-04-23T00:00:00"/>
        <d v="2023-08-24T00:00:00"/>
        <d v="2023-05-09T00:00:00"/>
        <d v="2023-12-19T00:00:00"/>
        <d v="2023-11-08T00:00:00"/>
        <d v="2023-01-03T00:00:00"/>
        <d v="2024-06-19T00:00:00"/>
        <d v="2025-03-09T00:00:00"/>
        <d v="2024-05-28T00:00:00"/>
        <d v="2024-04-26T00:00:00"/>
        <d v="2023-02-24T00:00:00"/>
        <d v="2025-02-15T00:00:00"/>
        <d v="2024-04-22T00:00:00"/>
        <d v="2025-04-15T00:00:00"/>
        <d v="2025-02-09T00:00:00"/>
        <d v="2025-01-03T00:00:00"/>
        <d v="2024-07-24T00:00:00"/>
        <d v="2023-02-01T00:00:00"/>
        <d v="2024-12-03T00:00:00"/>
        <d v="2025-06-13T00:00:00"/>
        <d v="2024-11-01T00:00:00"/>
        <d v="2023-06-15T00:00:00"/>
        <d v="2023-09-18T00:00:00"/>
        <d v="2025-01-04T00:00:00"/>
        <d v="2023-05-22T00:00:00"/>
        <d v="2024-09-21T00:00:00"/>
        <d v="2024-04-19T00:00:00"/>
        <d v="2023-08-23T00:00:00"/>
        <d v="2025-06-03T00:00:00"/>
        <d v="2024-09-26T00:00:00"/>
        <d v="2024-06-15T00:00:00"/>
        <d v="2024-05-11T00:00:00"/>
        <d v="2023-06-05T00:00:00"/>
        <d v="2025-06-12T00:00:00"/>
        <d v="2023-07-04T00:00:00"/>
        <d v="2024-06-13T00:00:00"/>
        <d v="2025-03-21T00:00:00"/>
        <d v="2024-08-16T00:00:00"/>
        <d v="2024-04-21T00:00:00"/>
        <d v="2023-02-09T00:00:00"/>
        <d v="2023-05-25T00:00:00"/>
        <d v="2023-10-28T00:00:00"/>
        <d v="2023-06-11T00:00:00"/>
        <d v="2024-05-14T00:00:00"/>
        <d v="2024-05-30T00:00:00"/>
        <d v="2024-02-28T00:00:00"/>
        <d v="2024-10-03T00:00:00"/>
        <d v="2023-07-27T00:00:00"/>
        <d v="2024-09-19T00:00:00"/>
        <d v="2025-06-30T00:00:00"/>
        <d v="2024-08-29T00:00:00"/>
        <d v="2023-04-08T00:00:00"/>
        <d v="2024-09-17T00:00:00"/>
        <d v="2023-11-20T00:00:00"/>
        <d v="2024-02-17T00:00:00"/>
        <d v="2025-05-10T00:00:00"/>
        <d v="2024-11-25T00:00:00"/>
        <d v="2023-12-13T00:00:00"/>
        <d v="2023-04-12T00:00:00"/>
        <d v="2024-01-20T00:00:00"/>
        <d v="2024-11-29T00:00:00"/>
        <d v="2024-03-19T00:00:00"/>
        <d v="2023-09-24T00:00:00"/>
        <d v="2023-02-16T00:00:00"/>
        <d v="2023-08-14T00:00:00"/>
        <d v="2025-01-28T00:00:00"/>
        <d v="2024-04-30T00:00:00"/>
        <d v="2023-11-23T00:00:00"/>
        <d v="2025-03-13T00:00:00"/>
        <d v="2024-12-21T00:00:00"/>
        <d v="2023-10-05T00:00:00"/>
        <d v="2023-09-17T00:00:00"/>
        <d v="2023-01-14T00:00:00"/>
        <d v="2024-04-14T00:00:00"/>
        <d v="2023-06-14T00:00:00"/>
        <d v="2023-12-26T00:00:00"/>
        <d v="2025-05-05T00:00:00"/>
        <d v="2024-06-28T00:00:00"/>
        <d v="2024-03-14T00:00:00"/>
        <d v="2024-04-10T00:00:00"/>
        <d v="2024-12-05T00:00:00"/>
        <d v="2024-03-30T00:00:00"/>
        <d v="2023-12-05T00:00:00"/>
        <d v="2024-07-21T00:00:00"/>
        <d v="2023-09-05T00:00:00"/>
        <d v="2024-12-12T00:00:00"/>
        <d v="2024-04-18T00:00:00"/>
        <d v="2025-06-19T00:00:00"/>
        <d v="2023-05-28T00:00:00"/>
        <d v="2023-08-01T00:00:00"/>
        <d v="2024-06-24T00:00:00"/>
        <d v="2023-11-28T00:00:00"/>
        <d v="2023-08-16T00:00:00"/>
        <d v="2023-08-06T00:00:00"/>
        <d v="2024-04-08T00:00:00"/>
        <d v="2024-11-26T00:00:00"/>
        <d v="2023-03-05T00:00:00"/>
        <d v="2024-07-02T00:00:00"/>
        <d v="2024-02-23T00:00:00"/>
        <d v="2024-10-02T00:00:00"/>
        <d v="2023-04-28T00:00:00"/>
        <d v="2024-05-31T00:00:00"/>
        <d v="2025-03-18T00:00:00"/>
        <d v="2024-02-03T00:00:00"/>
        <d v="2024-10-21T00:00:00"/>
        <d v="2023-04-01T00:00:00"/>
        <d v="2024-09-14T00:00:00"/>
        <d v="2025-06-05T00:00:00"/>
        <d v="2024-12-11T00:00:00"/>
        <d v="2025-04-01T00:00:00"/>
        <d v="2023-04-27T00:00:00"/>
        <d v="2024-12-09T00:00:00"/>
        <d v="2024-11-09T00:00:00"/>
        <d v="2025-06-20T00:00:00"/>
        <d v="2023-11-11T00:00:00"/>
        <d v="2024-09-29T00:00:00"/>
        <d v="2024-06-10T00:00:00"/>
        <d v="2023-03-13T00:00:00"/>
        <d v="2025-02-05T00:00:00"/>
        <d v="2024-07-25T00:00:00"/>
        <d v="2025-04-16T00:00:00"/>
        <d v="2023-02-04T00:00:00"/>
        <d v="2025-06-22T00:00:00"/>
        <d v="2024-05-02T00:00:00"/>
        <d v="2024-04-17T00:00:00"/>
        <d v="2023-02-17T00:00:00"/>
        <d v="2025-02-22T00:00:00"/>
        <d v="2025-06-09T00:00:00"/>
        <d v="2023-05-30T00:00:00"/>
        <d v="2024-06-11T00:00:00"/>
        <d v="2025-03-07T00:00:00"/>
        <d v="2024-04-02T00:00:00"/>
        <d v="2023-09-21T00:00:00"/>
        <d v="2024-04-06T00:00:00"/>
        <d v="2024-03-21T00:00:00"/>
        <d v="2025-06-29T00:00:00"/>
        <d v="2023-11-02T00:00:00"/>
        <d v="2025-01-08T00:00:00"/>
        <d v="2025-03-11T00:00:00"/>
        <d v="2023-01-07T00:00:00"/>
        <d v="2025-05-28T00:00:00"/>
        <d v="2024-05-25T00:00:00"/>
        <d v="2024-06-02T00:00:00"/>
        <d v="2023-01-22T00:00:00"/>
        <d v="2024-06-17T00:00:00"/>
        <d v="2024-07-23T00:00:00"/>
        <d v="2025-02-16T00:00:00"/>
        <d v="2024-06-06T00:00:00"/>
        <d v="2024-07-18T00:00:00"/>
        <d v="2024-02-04T00:00:00"/>
        <d v="2023-07-02T00:00:00"/>
        <d v="2024-05-20T00:00:00"/>
        <d v="2023-11-21T00:00:00"/>
        <d v="2025-05-13T00:00:00"/>
        <d v="2025-02-23T00:00:00"/>
        <d v="2024-10-23T00:00:00"/>
        <d v="2025-01-31T00:00:00"/>
        <d v="2023-07-29T00:00:00"/>
        <d v="2024-01-28T00:00:00"/>
        <d v="2023-03-12T00:00:00"/>
        <d v="2024-08-19T00:00:00"/>
        <d v="2025-04-25T00:00:00"/>
        <d v="2023-04-24T00:00:00"/>
        <d v="2024-08-20T00:00:00"/>
        <d v="2024-01-24T00:00:00"/>
        <d v="2023-12-09T00:00:00"/>
        <d v="2023-01-12T00:00:00"/>
        <d v="2023-01-30T00:00:00"/>
        <d v="2024-03-11T00:00:00"/>
        <d v="2023-03-23T00:00:00"/>
        <d v="2024-07-01T00:00:00"/>
        <d v="2023-06-10T00:00:00"/>
        <d v="2024-11-22T00:00:00"/>
        <d v="2023-04-29T00:00:00"/>
        <d v="2023-10-04T00:00:00"/>
        <d v="2024-07-30T00:00:00"/>
        <d v="2025-02-24T00:00:00"/>
        <d v="2023-05-29T00:00:00"/>
        <d v="2025-05-15T00:00:00"/>
        <d v="2024-03-22T00:00:00"/>
        <d v="2023-03-14T00:00:00"/>
        <d v="2023-06-09T00:00:00"/>
        <d v="2025-06-07T00:00:00"/>
        <d v="2025-02-07T00:00:00"/>
        <d v="2023-01-23T00:00:00"/>
        <d v="2023-11-07T00:00:00"/>
        <d v="2023-08-28T00:00:00"/>
        <d v="2024-01-25T00:00:00"/>
        <d v="2023-06-12T00:00:00"/>
        <d v="2025-01-29T00:00:00"/>
        <d v="2023-10-10T00:00:00"/>
        <d v="2023-06-17T00:00:00"/>
        <d v="2024-09-10T00:00:00"/>
        <d v="2025-06-26T00:00:00"/>
        <d v="2023-11-12T00:00:00"/>
        <d v="2024-01-31T00:00:00"/>
        <d v="2024-02-10T00:00:00"/>
        <d v="2024-07-05T00:00:00"/>
        <d v="2024-08-09T00:00:00"/>
        <d v="2024-07-14T00:00:00"/>
        <d v="2023-05-11T00:00:00"/>
        <d v="2025-04-06T00:00:00"/>
        <d v="2024-11-10T00:00:00"/>
        <d v="2024-10-16T00:00:00"/>
        <d v="2025-04-05T00:00:00"/>
        <d v="2024-01-11T00:00:00"/>
        <d v="2023-10-26T00:00:00"/>
        <d v="2024-09-24T00:00:00"/>
        <d v="2023-03-16T00:00:00"/>
        <d v="2025-03-25T00:00:00"/>
        <d v="2023-08-04T00:00:00"/>
        <d v="2024-06-14T00:00:00"/>
        <d v="2024-11-21T00:00:00"/>
        <d v="2023-12-25T00:00:00"/>
        <d v="2023-10-07T00:00:00"/>
        <d v="2023-05-23T00:00:00"/>
        <d v="2025-04-26T00:00:00"/>
        <d v="2025-06-11T00:00:00"/>
        <d v="2025-06-25T00:00:00"/>
        <d v="2025-03-01T00:00:00"/>
        <d v="2023-04-19T00:00:00"/>
        <d v="2023-11-26T00:00:00"/>
        <d v="2025-01-22T00:00:00"/>
        <d v="2024-01-29T00:00:00"/>
        <d v="2024-10-11T00:00:00"/>
        <d v="2023-03-08T00:00:00"/>
        <d v="2024-06-22T00:00:00"/>
        <d v="2025-03-06T00:00:00"/>
        <d v="2024-08-07T00:00:00"/>
        <d v="2025-02-19T00:00:00"/>
        <d v="2024-04-09T00:00:00"/>
        <d v="2023-02-22T00:00:00"/>
        <d v="2023-01-02T00:00:00"/>
        <d v="2024-04-05T00:00:00"/>
        <d v="2024-08-24T00:00:00"/>
        <d v="2023-03-29T00:00:00"/>
        <d v="2023-05-08T00:00:00"/>
        <d v="2024-12-17T00:00:00"/>
        <d v="2024-04-13T00:00:00"/>
        <d v="2024-12-07T00:00:00"/>
        <d v="2025-02-17T00:00:00"/>
        <d v="2024-01-30T00:00:00"/>
        <d v="2025-03-20T00:00:00"/>
        <d v="2023-12-08T00:00:00"/>
        <d v="2025-06-02T00:00:00"/>
        <d v="2023-11-05T00:00:00"/>
        <d v="2023-12-22T00:00:00"/>
        <d v="2025-01-15T00:00:00"/>
        <d v="2025-06-23T00:00:00"/>
        <d v="2024-03-07T00:00:00"/>
        <d v="2023-01-11T00:00:00"/>
        <d v="2023-08-31T00:00:00"/>
        <d v="2023-02-05T00:00:00"/>
        <d v="2024-06-09T00:00:00"/>
        <d v="2023-12-21T00:00:00"/>
        <d v="2025-03-19T00:00:00"/>
        <d v="2023-04-11T00:00:00"/>
        <d v="2025-05-20T00:00:00"/>
        <d v="2023-08-22T00:00:00"/>
        <d v="2024-01-07T00:00:00"/>
        <d v="2024-01-16T00:00:00"/>
        <d v="2024-01-15T00:00:00"/>
        <d v="2025-04-09T00:00:00"/>
        <d v="2024-07-22T00:00:00"/>
        <d v="2024-04-29T00:00:00"/>
        <d v="2025-03-15T00:00:00"/>
        <d v="2023-03-20T00:00:00"/>
        <d v="2023-12-30T00:00:00"/>
        <d v="2025-05-11T00:00:00"/>
        <d v="2023-05-20T00:00:00"/>
        <d v="2023-08-30T00:00:00"/>
        <d v="2023-11-03T00:00:00"/>
        <d v="2023-07-22T00:00:00"/>
        <d v="2024-08-17T00:00:00"/>
        <d v="2023-09-01T00:00:00"/>
        <d v="2024-03-12T00:00:00"/>
        <d v="2024-02-07T00:00:00"/>
        <d v="2023-12-24T00:00:00"/>
        <d v="2023-01-04T00:00:00"/>
        <d v="2024-11-20T00:00:00"/>
        <d v="2024-07-07T00:00:00"/>
        <d v="2023-12-12T00:00:00"/>
        <d v="2024-05-24T00:00:00"/>
        <d v="2024-06-21T00:00:00"/>
        <d v="2024-01-17T00:00:00"/>
        <d v="2024-09-06T00:00:00"/>
        <d v="2023-03-27T00:00:00"/>
        <d v="2025-04-29T00:00:00"/>
        <d v="2023-08-07T00:00:00"/>
        <d v="2025-04-10T00:00:00"/>
        <d v="2024-10-12T00:00:00"/>
        <d v="2025-04-28T00:00:00"/>
        <d v="2025-04-22T00:00:00"/>
        <d v="2023-06-01T00:00:00"/>
        <d v="2023-11-30T00:00:00"/>
        <d v="2023-02-12T00:00:00"/>
        <d v="2023-07-24T00:00:00"/>
        <d v="2023-05-31T00:00:00"/>
        <d v="2025-01-13T00:00:00"/>
        <d v="2023-12-16T00:00:00"/>
        <d v="2024-02-20T00:00:00"/>
        <d v="2023-05-15T00:00:00"/>
        <d v="2023-07-08T00:00:00"/>
        <d v="2023-09-10T00:00:00"/>
        <d v="2024-12-15T00:00:00"/>
        <d v="2024-06-04T00:00:00"/>
        <d v="2023-10-20T00:00:00"/>
        <d v="2024-10-08T00:00:00"/>
        <d v="2025-02-11T00:00:00"/>
        <d v="2023-03-31T00:00:00"/>
        <d v="2023-09-12T00:00:00"/>
        <d v="2023-02-07T00:00:00"/>
        <d v="2024-03-10T00:00:00"/>
        <d v="2023-05-17T00:00:00"/>
        <d v="2023-03-22T00:00:00"/>
        <d v="2023-11-04T00:00:00"/>
        <d v="2023-05-26T00:00:00"/>
        <d v="2023-12-04T00:00:00"/>
        <d v="2024-10-06T00:00:00"/>
        <d v="2024-01-26T00:00:00"/>
        <d v="2024-12-22T00:00:00"/>
        <d v="2025-02-12T00:00:00"/>
        <d v="2024-04-15T00:00:00"/>
        <d v="2023-09-29T00:00:00"/>
        <d v="2025-05-02T00:00:00"/>
        <d v="2024-11-03T00:00:00"/>
        <d v="2023-02-26T00:00:00"/>
        <d v="2024-11-28T00:00:00"/>
        <d v="2024-03-23T00:00:00"/>
        <d v="2024-10-09T00:00:00"/>
        <d v="2025-05-12T00:00:00"/>
        <d v="2024-11-23T00:00:00"/>
        <d v="2023-11-24T00:00:00"/>
        <d v="2023-12-02T00:00:00"/>
        <d v="2024-02-02T00:00:00"/>
        <d v="2023-10-30T00:00:00"/>
        <d v="2023-06-29T00:00:00"/>
        <d v="2023-09-16T00:00:00"/>
        <d v="2023-06-22T00:00:00"/>
        <d v="2025-01-27T00:00:00"/>
        <d v="2025-06-15T00:00:00"/>
        <d v="2023-09-23T00:00:00"/>
        <d v="2024-02-24T00:00:00"/>
        <d v="2023-02-14T00:00:00"/>
        <d v="2024-05-21T00:00:00"/>
        <d v="2024-08-18T00:00:00"/>
        <d v="2023-12-28T00:00:00"/>
        <d v="2024-02-05T00:00:00"/>
        <d v="2025-01-23T00:00:00"/>
        <d v="2024-10-19T00:00:00"/>
        <d v="2024-09-20T00:00:00"/>
        <d v="2025-04-14T00:00:00"/>
        <d v="2025-04-30T00:00:00"/>
        <d v="2025-05-09T00:00:00"/>
        <d v="2024-06-29T00:00:00"/>
        <d v="2023-03-17T00:00:00"/>
        <d v="2023-07-11T00:00:00"/>
        <d v="2023-09-27T00:00:00"/>
        <d v="2024-06-03T00:00:00"/>
        <d v="2023-12-31T00:00:00"/>
        <d v="2024-09-03T00:00:00"/>
        <d v="2023-09-04T00:00:00"/>
        <d v="2025-06-17T00:00:00"/>
        <d v="2025-01-14T00:00:00"/>
        <d v="2024-02-26T00:00:00"/>
        <d v="2024-10-31T00:00:00"/>
        <d v="2024-09-04T00:00:00"/>
        <d v="2024-09-23T00:00:00"/>
        <d v="2025-03-02T00:00:00"/>
        <d v="2025-06-18T00:00:00"/>
        <d v="2025-02-02T00:00:00"/>
        <d v="2024-08-12T00:00:00"/>
        <d v="2023-08-08T00:00:00"/>
        <d v="2024-09-07T00:00:00"/>
        <d v="2024-04-01T00:00:00"/>
        <d v="2024-07-27T00:00:00"/>
        <d v="2023-01-21T00:00:00"/>
        <d v="2023-01-15T00:00:00"/>
        <d v="2023-07-15T00:00:00"/>
        <d v="2025-06-10T00:00:00"/>
        <d v="2024-07-03T00:00:00"/>
        <d v="2023-06-19T00:00:00"/>
        <d v="2025-06-04T00:00:00"/>
        <d v="2024-12-18T00:00:00"/>
        <d v="2023-06-03T00:00:00"/>
        <d v="2025-03-22T00:00:00"/>
        <d v="2024-09-02T00:00:00"/>
        <d v="2024-11-27T00:00:00"/>
        <d v="2024-05-26T00:00:00"/>
        <d v="2023-01-25T00:00:00"/>
        <d v="2023-07-13T00:00:00"/>
        <d v="2023-09-13T00:00:00"/>
        <d v="2024-10-22T00:00:00"/>
        <d v="2023-05-24T00:00:00"/>
        <d v="2024-06-18T00:00:00"/>
        <d v="2024-06-12T00:00:00"/>
        <d v="2023-12-27T00:00:00"/>
        <d v="2023-03-07T00:00:00"/>
        <d v="2024-02-27T00:00:00"/>
        <d v="2024-03-03T00:00:00"/>
        <d v="2025-04-02T00:00:00"/>
        <d v="2023-01-27T00:00:00"/>
        <d v="2023-08-25T00:00:00"/>
        <d v="2023-10-31T00:00:00"/>
        <d v="2024-08-06T00:00:00"/>
        <d v="2023-11-15T00:00:00"/>
        <d v="2023-10-21T00:00:00"/>
        <d v="2024-05-08T00:00:00"/>
        <d v="2023-10-24T00:00:00"/>
        <d v="2023-12-17T00:00:00"/>
        <d v="2023-03-19T00:00:00"/>
        <d v="2025-05-17T00:00:00"/>
        <d v="2023-03-03T00:00:00"/>
        <d v="2023-02-19T00:00:00"/>
        <d v="2023-06-08T00:00:00"/>
        <d v="2023-01-17T00:00:00"/>
        <d v="2023-12-18T00:00:00"/>
        <d v="2024-11-11T00:00:00"/>
        <d v="2024-10-26T00:00:00"/>
        <d v="2023-01-01T00:00:00"/>
        <d v="2024-11-08T00:00:00"/>
        <d v="2025-01-26T00:00:00"/>
        <d v="2025-05-22T00:00:00"/>
        <d v="2024-05-09T00:00:00"/>
        <d v="2023-03-02T00:00:00"/>
        <d v="2025-06-28T00:00:00"/>
        <d v="2023-02-15T00:00:00"/>
        <d v="2024-12-24T00:00:00"/>
        <d v="2024-05-07T00:00:00"/>
        <d v="2025-05-04T00:00:00"/>
        <d v="2023-09-02T00:00:00"/>
        <d v="2023-11-06T00:00:00"/>
        <d v="2023-07-18T00:00:00"/>
        <d v="2023-04-13T00:00:00"/>
        <d v="2024-11-13T00:00:00"/>
        <d v="2023-07-06T00:00:00"/>
        <d v="2023-06-06T00:00:00"/>
        <d v="2023-12-11T00:00:00"/>
        <d v="2023-10-02T00:00:00"/>
        <d v="2025-02-04T00:00:00"/>
        <d v="2024-01-14T00:00:00"/>
        <d v="2025-06-16T00:00:00"/>
        <d v="2023-10-14T00:00:00"/>
        <d v="2023-06-02T00:00:00"/>
        <d v="2025-04-13T00:00:00"/>
        <d v="2023-01-29T00:00:00"/>
        <d v="2024-05-29T00:00:00"/>
        <d v="2024-08-10T00:00:00"/>
        <d v="2023-08-12T00:00:00"/>
        <d v="2025-03-30T00:00:00"/>
        <d v="2023-04-07T00:00:00"/>
        <d v="2024-01-01T00:00:00"/>
        <d v="2023-11-29T00:00:00"/>
        <d v="2024-06-01T00:00:00"/>
        <d v="2023-09-09T00:00:00"/>
        <d v="2023-03-21T00:00:00"/>
        <d v="2024-06-16T00:00:00"/>
        <d v="2024-12-01T00:00:00"/>
        <d v="2025-04-23T00:00:00"/>
        <d v="2023-12-15T00:00:00"/>
        <d v="2023-03-01T00:00:00"/>
        <d v="2023-08-20T00:00:00"/>
        <d v="2025-02-10T00:00:00"/>
        <d v="2023-11-16T00:00:00"/>
        <d v="2024-11-19T00:00:00"/>
        <d v="2024-02-14T00:00:00"/>
        <d v="2024-07-11T00:00:00"/>
        <d v="2023-03-04T00:00:00"/>
        <d v="2024-09-27T00:00:00"/>
        <d v="2023-07-23T00:00:00"/>
        <d v="2024-11-07T00:00:00"/>
        <d v="2023-07-20T00:00:00"/>
        <d v="2023-11-09T00:00:00"/>
        <d v="2024-01-12T00:00:00"/>
        <d v="2025-05-27T00:00:00"/>
        <d v="2025-02-21T00:00:00"/>
        <d v="2023-09-14T00:00:00"/>
        <d v="2023-10-23T00:00:00"/>
        <d v="2024-03-08T00:00:00"/>
        <d v="2023-12-23T00:00:00"/>
        <d v="2023-09-25T00:00:00"/>
        <d v="2024-07-15T00:00:00"/>
        <d v="2024-08-31T00:00:00"/>
        <d v="2024-11-17T00:00:00"/>
        <d v="2024-01-10T00:00:00"/>
        <d v="2024-02-18T00:00:00"/>
        <d v="2024-04-03T00:00:00"/>
        <d v="2023-08-10T00:00:00"/>
        <d v="2023-12-03T00:00:00"/>
        <d v="2025-01-02T00:00:00"/>
        <d v="2024-08-01T00:00:00"/>
        <d v="2025-02-28T00:00:00"/>
        <d v="2024-11-12T00:00:00"/>
        <d v="2023-11-01T00:00:00"/>
        <d v="2023-07-19T00:00:00"/>
        <d v="2025-04-21T00:00:00"/>
        <d v="2025-04-07T00:00:00"/>
        <d v="2025-01-30T00:00:00"/>
        <d v="2024-09-16T00:00:00"/>
        <d v="2023-02-18T00:00:00"/>
        <d v="2023-02-21T00:00:00"/>
        <d v="2024-09-08T00:00:00"/>
        <d v="2025-03-16T00:00:00"/>
      </sharedItems>
      <fieldGroup par="18" base="2">
        <rangePr groupBy="months" startDate="2023-01-01T00:00:00" endDate="2025-07-01T00:00:00"/>
        <groupItems count="14">
          <s v="&lt;1/1/2023"/>
          <s v="Jan"/>
          <s v="Feb"/>
          <s v="Mar"/>
          <s v="Apr"/>
          <s v="May"/>
          <s v="Jun"/>
          <s v="Jul"/>
          <s v="Aug"/>
          <s v="Sep"/>
          <s v="Oct"/>
          <s v="Nov"/>
          <s v="Dec"/>
          <s v="&gt;7/1/2025"/>
        </groupItems>
      </fieldGroup>
    </cacheField>
    <cacheField name="InvoiceMonth" numFmtId="167">
      <sharedItems count="30">
        <s v="Dec 2024"/>
        <s v="May 2024"/>
        <s v="Feb 2024"/>
        <s v="Jan 2024"/>
        <s v="Jul 2024"/>
        <s v="Sep 2024"/>
        <s v="Jun 2024"/>
        <s v="Mar 2024"/>
        <s v="Oct 2024"/>
        <s v="May 2023"/>
        <s v="Nov 2023"/>
        <s v="Jun 2023"/>
        <s v="Dec 2023"/>
        <s v="Mar 2025"/>
        <s v="Jul 2023"/>
        <s v="Sep 2023"/>
        <s v="Mar 2023"/>
        <s v="Oct 2023"/>
        <s v="Nov 2024"/>
        <s v="Jan 2025"/>
        <s v="Apr 2023"/>
        <s v="Jan 2023"/>
        <s v="May 2025"/>
        <s v="Feb 2023"/>
        <s v="Jun 2025"/>
        <s v="Aug 2023"/>
        <s v="Apr 2024"/>
        <s v="Feb 2025"/>
        <s v="Apr 2025"/>
        <s v="Aug 2024"/>
      </sharedItems>
    </cacheField>
    <cacheField name="DueDate" numFmtId="166">
      <sharedItems containsSemiMixedTypes="0" containsNonDate="0" containsDate="1" containsString="0" minDate="2023-01-31T00:00:00" maxDate="2025-07-31T00:00:00"/>
    </cacheField>
    <cacheField name="Currency" numFmtId="0">
      <sharedItems count="5">
        <s v="EUR"/>
        <s v="CAD"/>
        <s v="GBP"/>
        <s v="USD"/>
        <s v="AUD"/>
      </sharedItems>
    </cacheField>
    <cacheField name=" Invoice Amount (USD)" numFmtId="0">
      <sharedItems containsSemiMixedTypes="0" containsString="0" containsNumber="1" minValue="76.83" maxValue="6734.36"/>
    </cacheField>
    <cacheField name="Status" numFmtId="0">
      <sharedItems count="3">
        <s v="Open"/>
        <s v="Partial"/>
        <s v="Paid"/>
      </sharedItems>
    </cacheField>
    <cacheField name="Paid Amount (USD)" numFmtId="2">
      <sharedItems containsSemiMixedTypes="0" containsString="0" containsNumber="1" minValue="0" maxValue="6568.45"/>
    </cacheField>
    <cacheField name="Outstanding Amount (USD)" numFmtId="2">
      <sharedItems containsMixedTypes="1" containsNumber="1" minValue="0" maxValue="6734.36" count="269">
        <n v="400.84"/>
        <s v="N/A"/>
        <n v="1390.64"/>
        <n v="1150.93"/>
        <n v="894.13"/>
        <n v="0"/>
        <n v="217.97"/>
        <n v="884.1"/>
        <n v="2026.92"/>
        <n v="2218.6799999999998"/>
        <n v="2339.0500000000002"/>
        <n v="2941.63"/>
        <n v="717.02"/>
        <n v="576.01"/>
        <n v="478.64"/>
        <n v="4212.01"/>
        <n v="2893.26"/>
        <n v="2591.7600000000002"/>
        <n v="806.85"/>
        <n v="4288.4399999999996"/>
        <n v="4519.76"/>
        <n v="534.54999999999995"/>
        <n v="4865.1000000000004"/>
        <n v="2127.1"/>
        <n v="2137.4499999999998"/>
        <n v="4968.32"/>
        <n v="4336.91"/>
        <n v="2498.69"/>
        <n v="2877.04"/>
        <n v="1877.7"/>
        <n v="1169.93"/>
        <n v="899.95"/>
        <n v="2180.4699999999998"/>
        <n v="417.82"/>
        <n v="2389.36"/>
        <n v="2944.92"/>
        <n v="950.75"/>
        <n v="3468.57"/>
        <n v="2107.2199999999998"/>
        <n v="2595.7800000000002"/>
        <n v="3504.25"/>
        <n v="5710.51"/>
        <n v="1619.24"/>
        <n v="806.06"/>
        <n v="3303.34"/>
        <n v="1093.23"/>
        <n v="3080.8"/>
        <n v="3190.35"/>
        <n v="2223.23"/>
        <n v="3019.21"/>
        <n v="1874.69"/>
        <n v="899.55"/>
        <n v="5749.55"/>
        <n v="3099.08"/>
        <n v="1144.3"/>
        <n v="3671.9"/>
        <n v="249.12"/>
        <n v="3351.78"/>
        <n v="1041.99"/>
        <n v="2040.37"/>
        <n v="3857.74"/>
        <n v="1731.08"/>
        <n v="4740.26"/>
        <n v="589.59"/>
        <n v="2091.1799999999998"/>
        <n v="1016.23"/>
        <n v="4424.1400000000003"/>
        <n v="5942.74"/>
        <n v="3130.93"/>
        <n v="4435.17"/>
        <n v="1896.59"/>
        <n v="3559.28"/>
        <n v="2121.21"/>
        <n v="1483.33"/>
        <n v="2861.17"/>
        <n v="1742.71"/>
        <n v="2862.11"/>
        <n v="3398.83"/>
        <n v="1213.71"/>
        <n v="454.59"/>
        <n v="3048.16"/>
        <n v="2206.77"/>
        <n v="5197.8599999999997"/>
        <n v="3385.32"/>
        <n v="2581.0300000000002"/>
        <n v="917.3"/>
        <n v="569.54"/>
        <n v="1844.79"/>
        <n v="3698.61"/>
        <n v="4887.26"/>
        <n v="927.09"/>
        <n v="1302.8900000000001"/>
        <n v="4356.75"/>
        <n v="970.98"/>
        <n v="1337"/>
        <n v="2605.7800000000002"/>
        <n v="2174.38"/>
        <n v="2732.86"/>
        <n v="1511.36"/>
        <n v="1697.44"/>
        <n v="1644.35"/>
        <n v="2783.63"/>
        <n v="894.91"/>
        <n v="3485.46"/>
        <n v="1477.77"/>
        <n v="3120.97"/>
        <n v="4899.63"/>
        <n v="2010.26"/>
        <n v="2613.71"/>
        <n v="613.16"/>
        <n v="1471.82"/>
        <n v="378.01"/>
        <n v="4607.07"/>
        <n v="5053.43"/>
        <n v="1011.43"/>
        <n v="2160.5100000000002"/>
        <n v="885.04"/>
        <n v="256.45999999999998"/>
        <n v="1823.79"/>
        <n v="3734.59"/>
        <n v="1222.24"/>
        <n v="1797.02"/>
        <n v="3538.83"/>
        <n v="5789.39"/>
        <n v="2317.91"/>
        <n v="1200.21"/>
        <n v="494.94"/>
        <n v="1527.37"/>
        <n v="5435.31"/>
        <n v="3332.33"/>
        <n v="2990.94"/>
        <n v="3499.6"/>
        <n v="658.54"/>
        <n v="5573.19"/>
        <n v="3443.89"/>
        <n v="3343.06"/>
        <n v="2488.5"/>
        <n v="3299.79"/>
        <n v="1040.3900000000001"/>
        <n v="2473.2600000000002"/>
        <n v="4233.1499999999996"/>
        <n v="1963.44"/>
        <n v="1198.44"/>
        <n v="3418.16"/>
        <n v="460.35"/>
        <n v="2305.42"/>
        <n v="1830.17"/>
        <n v="3062.41"/>
        <n v="3917.88"/>
        <n v="1679.91"/>
        <n v="3148.17"/>
        <n v="374.13"/>
        <n v="1867.7"/>
        <n v="609.04"/>
        <n v="2749.87"/>
        <n v="1079.6099999999999"/>
        <n v="862.02"/>
        <n v="4564.21"/>
        <n v="1230.48"/>
        <n v="3076.69"/>
        <n v="2754.27"/>
        <n v="4622.26"/>
        <n v="247.92"/>
        <n v="1603.22"/>
        <n v="1259.93"/>
        <n v="3438.42"/>
        <n v="4973.3"/>
        <n v="835.93"/>
        <n v="2486.0100000000002"/>
        <n v="3185.2"/>
        <n v="211.24"/>
        <n v="597.75"/>
        <n v="1752.55"/>
        <n v="4064.61"/>
        <n v="3888.56"/>
        <n v="2971.5"/>
        <n v="2584.08"/>
        <n v="3357.86"/>
        <n v="6734.36"/>
        <n v="1843.4"/>
        <n v="5180.91"/>
        <n v="3464.37"/>
        <n v="1896.16"/>
        <n v="1204.23"/>
        <n v="5028.55"/>
        <n v="263.95999999999998"/>
        <n v="4399.88"/>
        <n v="1477.7"/>
        <n v="3073.54"/>
        <n v="322.19"/>
        <n v="5090.28"/>
        <n v="4957.1499999999996"/>
        <n v="176.52"/>
        <n v="3156.6"/>
        <n v="3135.97"/>
        <n v="2127.41"/>
        <n v="1946.72"/>
        <n v="1582.42"/>
        <n v="4516.3100000000004"/>
        <n v="765.18"/>
        <n v="3471.55"/>
        <n v="1017.46"/>
        <n v="940.15"/>
        <n v="3505.16"/>
        <n v="147.22"/>
        <n v="204.04"/>
        <n v="4546.88"/>
        <n v="4510.63"/>
        <n v="1653.25"/>
        <n v="894.42"/>
        <n v="1459.2"/>
        <n v="1933.61"/>
        <n v="5575.48"/>
        <n v="669.43"/>
        <n v="3899.93"/>
        <n v="222.84"/>
        <n v="1822.12"/>
        <n v="3128.58"/>
        <n v="3723.61"/>
        <n v="3368.46"/>
        <n v="3073.25"/>
        <n v="5947.74"/>
        <n v="4576.1099999999997"/>
        <n v="2462.11"/>
        <n v="599.71"/>
        <n v="5604.51"/>
        <n v="87.84"/>
        <n v="4448.67"/>
        <n v="3047.51"/>
        <n v="4810.12"/>
        <n v="5487.71"/>
        <n v="2729.08"/>
        <n v="4996.92"/>
        <n v="4203.38"/>
        <n v="299.93"/>
        <n v="450.06"/>
        <n v="3390.6"/>
        <n v="1151.74"/>
        <n v="2615.29"/>
        <n v="2092.08"/>
        <n v="3328.22"/>
        <n v="1548.24"/>
        <n v="2751.87"/>
        <n v="1198.06"/>
        <n v="1123.9000000000001"/>
        <n v="3050.95"/>
        <n v="2186.4899999999998"/>
        <n v="5548.55"/>
        <n v="2322.38"/>
        <n v="5748.05"/>
        <n v="113.89"/>
        <n v="237.85"/>
        <n v="2390.31"/>
        <n v="4626.0600000000004"/>
        <n v="5068.55"/>
        <n v="3214.76"/>
        <n v="211.34"/>
        <n v="2257.94"/>
        <n v="2375.08"/>
        <n v="4697.9799999999996"/>
        <n v="3760.26"/>
        <n v="2519.7600000000002"/>
        <n v="338.72"/>
        <n v="3541.31"/>
        <n v="4553.49"/>
        <n v="1833.64"/>
        <n v="423.29"/>
        <n v="4789.1000000000004"/>
        <n v="833.76"/>
      </sharedItems>
    </cacheField>
    <cacheField name="PaidDate" numFmtId="166">
      <sharedItems containsNonDate="0" containsDate="1" containsString="0" containsBlank="1" minDate="2023-02-01T00:00:00" maxDate="2025-07-27T00:00:00" count="224">
        <m/>
        <d v="2024-10-25T00:00:00"/>
        <d v="2024-03-13T00:00:00"/>
        <d v="2023-12-19T00:00:00"/>
        <d v="2023-07-04T00:00:00"/>
        <d v="2024-07-27T00:00:00"/>
        <d v="2023-08-16T00:00:00"/>
        <d v="2024-04-24T00:00:00"/>
        <d v="2023-04-14T00:00:00"/>
        <d v="2023-11-10T00:00:00"/>
        <d v="2025-02-10T00:00:00"/>
        <d v="2023-03-12T00:00:00"/>
        <d v="2025-04-16T00:00:00"/>
        <d v="2023-10-28T00:00:00"/>
        <d v="2024-04-30T00:00:00"/>
        <d v="2023-05-23T00:00:00"/>
        <d v="2023-12-08T00:00:00"/>
        <d v="2024-06-27T00:00:00"/>
        <d v="2023-03-26T00:00:00"/>
        <d v="2025-03-17T00:00:00"/>
        <d v="2025-03-11T00:00:00"/>
        <d v="2025-02-02T00:00:00"/>
        <d v="2025-01-02T00:00:00"/>
        <d v="2024-12-01T00:00:00"/>
        <d v="2023-10-18T00:00:00"/>
        <d v="2024-10-21T00:00:00"/>
        <d v="2024-05-19T00:00:00"/>
        <d v="2023-09-22T00:00:00"/>
        <d v="2023-08-03T00:00:00"/>
        <d v="2024-07-13T00:00:00"/>
        <d v="2023-07-11T00:00:00"/>
        <d v="2024-06-29T00:00:00"/>
        <d v="2024-11-02T00:00:00"/>
        <d v="2023-03-03T00:00:00"/>
        <d v="2023-12-20T00:00:00"/>
        <d v="2024-03-18T00:00:00"/>
        <d v="2024-01-12T00:00:00"/>
        <d v="2024-05-30T00:00:00"/>
        <d v="2024-07-28T00:00:00"/>
        <d v="2024-04-29T00:00:00"/>
        <d v="2024-01-04T00:00:00"/>
        <d v="2024-08-20T00:00:00"/>
        <d v="2023-10-05T00:00:00"/>
        <d v="2023-12-28T00:00:00"/>
        <d v="2024-05-08T00:00:00"/>
        <d v="2023-04-04T00:00:00"/>
        <d v="2024-06-30T00:00:00"/>
        <d v="2024-10-14T00:00:00"/>
        <d v="2025-01-10T00:00:00"/>
        <d v="2023-05-27T00:00:00"/>
        <d v="2023-12-11T00:00:00"/>
        <d v="2024-10-29T00:00:00"/>
        <d v="2023-12-23T00:00:00"/>
        <d v="2024-08-24T00:00:00"/>
        <d v="2025-01-19T00:00:00"/>
        <d v="2024-06-01T00:00:00"/>
        <d v="2025-03-24T00:00:00"/>
        <d v="2023-10-21T00:00:00"/>
        <d v="2024-04-20T00:00:00"/>
        <d v="2023-12-02T00:00:00"/>
        <d v="2025-02-07T00:00:00"/>
        <d v="2025-06-27T00:00:00"/>
        <d v="2024-06-24T00:00:00"/>
        <d v="2024-07-02T00:00:00"/>
        <d v="2023-11-04T00:00:00"/>
        <d v="2024-08-22T00:00:00"/>
        <d v="2024-03-05T00:00:00"/>
        <d v="2023-08-28T00:00:00"/>
        <d v="2023-04-11T00:00:00"/>
        <d v="2023-05-24T00:00:00"/>
        <d v="2024-01-08T00:00:00"/>
        <d v="2023-03-01T00:00:00"/>
        <d v="2023-07-10T00:00:00"/>
        <d v="2024-08-29T00:00:00"/>
        <d v="2023-06-28T00:00:00"/>
        <d v="2024-04-21T00:00:00"/>
        <d v="2023-04-13T00:00:00"/>
        <d v="2025-07-07T00:00:00"/>
        <d v="2025-03-07T00:00:00"/>
        <d v="2024-02-24T00:00:00"/>
        <d v="2025-07-26T00:00:00"/>
        <d v="2024-03-01T00:00:00"/>
        <d v="2023-06-10T00:00:00"/>
        <d v="2023-11-25T00:00:00"/>
        <d v="2023-04-15T00:00:00"/>
        <d v="2023-09-13T00:00:00"/>
        <d v="2023-09-03T00:00:00"/>
        <d v="2024-12-21T00:00:00"/>
        <d v="2023-11-06T00:00:00"/>
        <d v="2025-03-31T00:00:00"/>
        <d v="2023-05-19T00:00:00"/>
        <d v="2025-06-09T00:00:00"/>
        <d v="2024-07-22T00:00:00"/>
        <d v="2024-11-01T00:00:00"/>
        <d v="2025-04-05T00:00:00"/>
        <d v="2024-05-09T00:00:00"/>
        <d v="2023-02-01T00:00:00"/>
        <d v="2023-06-07T00:00:00"/>
        <d v="2024-11-10T00:00:00"/>
        <d v="2025-01-06T00:00:00"/>
        <d v="2023-02-22T00:00:00"/>
        <d v="2025-04-19T00:00:00"/>
        <d v="2023-12-05T00:00:00"/>
        <d v="2025-02-14T00:00:00"/>
        <d v="2024-04-06T00:00:00"/>
        <d v="2023-03-07T00:00:00"/>
        <d v="2024-01-20T00:00:00"/>
        <d v="2025-04-18T00:00:00"/>
        <d v="2023-09-21T00:00:00"/>
        <d v="2024-02-06T00:00:00"/>
        <d v="2024-02-15T00:00:00"/>
        <d v="2024-02-14T00:00:00"/>
        <d v="2023-04-19T00:00:00"/>
        <d v="2025-06-10T00:00:00"/>
        <d v="2023-09-29T00:00:00"/>
        <d v="2023-10-01T00:00:00"/>
        <d v="2024-10-17T00:00:00"/>
        <d v="2025-06-19T00:00:00"/>
        <d v="2023-02-03T00:00:00"/>
        <d v="2023-12-07T00:00:00"/>
        <d v="2024-10-06T00:00:00"/>
        <d v="2023-04-26T00:00:00"/>
        <d v="2023-07-09T00:00:00"/>
        <d v="2025-05-29T00:00:00"/>
        <d v="2023-09-06T00:00:00"/>
        <d v="2025-05-28T00:00:00"/>
        <d v="2023-06-30T00:00:00"/>
        <d v="2024-11-07T00:00:00"/>
        <d v="2023-10-12T00:00:00"/>
        <d v="2023-03-06T00:00:00"/>
        <d v="2023-06-16T00:00:00"/>
        <d v="2023-06-25T00:00:00"/>
        <d v="2024-11-05T00:00:00"/>
        <d v="2024-02-23T00:00:00"/>
        <d v="2024-02-27T00:00:00"/>
        <d v="2024-07-17T00:00:00"/>
        <d v="2025-03-14T00:00:00"/>
        <d v="2024-05-15T00:00:00"/>
        <d v="2024-11-08T00:00:00"/>
        <d v="2023-12-24T00:00:00"/>
        <d v="2024-12-28T00:00:00"/>
        <d v="2023-11-29T00:00:00"/>
        <d v="2023-07-29T00:00:00"/>
        <d v="2025-02-26T00:00:00"/>
        <d v="2025-07-15T00:00:00"/>
        <d v="2023-10-23T00:00:00"/>
        <d v="2023-04-05T00:00:00"/>
        <d v="2024-09-17T00:00:00"/>
        <d v="2024-10-20T00:00:00"/>
        <d v="2025-06-08T00:00:00"/>
        <d v="2024-07-29T00:00:00"/>
        <d v="2024-07-09T00:00:00"/>
        <d v="2024-10-04T00:00:00"/>
        <d v="2025-03-04T00:00:00"/>
        <d v="2023-09-15T00:00:00"/>
        <d v="2023-09-07T00:00:00"/>
        <d v="2024-08-26T00:00:00"/>
        <d v="2025-04-10T00:00:00"/>
        <d v="2025-06-04T00:00:00"/>
        <d v="2025-07-04T00:00:00"/>
        <d v="2025-01-17T00:00:00"/>
        <d v="2023-07-03T00:00:00"/>
        <d v="2024-10-02T00:00:00"/>
        <d v="2024-12-27T00:00:00"/>
        <d v="2024-06-25T00:00:00"/>
        <d v="2023-10-13T00:00:00"/>
        <d v="2023-06-23T00:00:00"/>
        <d v="2024-10-19T00:00:00"/>
        <d v="2024-06-04T00:00:00"/>
        <d v="2025-07-05T00:00:00"/>
        <d v="2024-03-28T00:00:00"/>
        <d v="2024-03-21T00:00:00"/>
        <d v="2023-11-30T00:00:00"/>
        <d v="2024-07-31T00:00:00"/>
        <d v="2024-01-21T00:00:00"/>
        <d v="2024-09-05T00:00:00"/>
        <d v="2023-12-15T00:00:00"/>
        <d v="2023-11-23T00:00:00"/>
        <d v="2024-01-16T00:00:00"/>
        <d v="2023-11-27T00:00:00"/>
        <d v="2023-02-02T00:00:00"/>
        <d v="2023-02-13T00:00:00"/>
        <d v="2024-10-07T00:00:00"/>
        <d v="2025-02-12T00:00:00"/>
        <d v="2023-10-02T00:00:00"/>
        <d v="2025-05-10T00:00:00"/>
        <d v="2024-08-01T00:00:00"/>
        <d v="2023-07-06T00:00:00"/>
        <d v="2025-07-02T00:00:00"/>
        <d v="2025-03-06T00:00:00"/>
        <d v="2024-02-13T00:00:00"/>
        <d v="2025-07-16T00:00:00"/>
        <d v="2023-07-02T00:00:00"/>
        <d v="2024-01-31T00:00:00"/>
        <d v="2024-01-10T00:00:00"/>
        <d v="2025-06-01T00:00:00"/>
        <d v="2024-01-14T00:00:00"/>
        <d v="2023-05-12T00:00:00"/>
        <d v="2023-09-19T00:00:00"/>
        <d v="2025-03-12T00:00:00"/>
        <d v="2024-12-19T00:00:00"/>
        <d v="2024-03-15T00:00:00"/>
        <d v="2023-08-22T00:00:00"/>
        <d v="2024-11-09T00:00:00"/>
        <d v="2023-04-21T00:00:00"/>
        <d v="2023-10-14T00:00:00"/>
        <d v="2023-11-22T00:00:00"/>
        <d v="2024-04-07T00:00:00"/>
        <d v="2023-03-28T00:00:00"/>
        <d v="2024-01-01T00:00:00"/>
        <d v="2024-05-26T00:00:00"/>
        <d v="2025-03-21T00:00:00"/>
        <d v="2024-02-09T00:00:00"/>
        <d v="2024-12-22T00:00:00"/>
        <d v="2024-05-03T00:00:00"/>
        <d v="2023-09-09T00:00:00"/>
        <d v="2023-04-02T00:00:00"/>
        <d v="2023-12-01T00:00:00"/>
        <d v="2023-08-18T00:00:00"/>
        <d v="2025-05-21T00:00:00"/>
        <d v="2025-05-07T00:00:00"/>
        <d v="2023-08-07T00:00:00"/>
        <d v="2024-07-24T00:00:00"/>
        <d v="2023-03-23T00:00:00"/>
      </sharedItems>
      <fieldGroup par="19" base="10">
        <rangePr groupBy="months" startDate="2023-02-01T00:00:00" endDate="2025-07-27T00:00:00"/>
        <groupItems count="14">
          <s v="(blank)"/>
          <s v="Jan"/>
          <s v="Feb"/>
          <s v="Mar"/>
          <s v="Apr"/>
          <s v="May"/>
          <s v="Jun"/>
          <s v="Jul"/>
          <s v="Aug"/>
          <s v="Sep"/>
          <s v="Oct"/>
          <s v="Nov"/>
          <s v="Dec"/>
          <s v="&gt;7/27/2025"/>
        </groupItems>
      </fieldGroup>
    </cacheField>
    <cacheField name="PaidMonth" numFmtId="166">
      <sharedItems/>
    </cacheField>
    <cacheField name="Terms" numFmtId="0">
      <sharedItems/>
    </cacheField>
    <cacheField name="Reference Date" numFmtId="166">
      <sharedItems containsSemiMixedTypes="0" containsNonDate="0" containsDate="1" containsString="0" minDate="2025-07-30T00:00:00" maxDate="2025-07-31T00:00:00"/>
    </cacheField>
    <cacheField name="Overdue Days" numFmtId="0">
      <sharedItems containsSemiMixedTypes="0" containsString="0" containsNumber="1" containsInteger="1" minValue="0" maxValue="911"/>
    </cacheField>
    <cacheField name="Aging" numFmtId="0">
      <sharedItems count="7">
        <s v="90+"/>
        <s v="Paid"/>
        <s v="31-60"/>
        <s v="1-30"/>
        <s v="61-90"/>
        <s v="Current"/>
        <s v="N/A" u="1"/>
      </sharedItems>
    </cacheField>
    <cacheField name="Overdue Status" numFmtId="0">
      <sharedItems/>
    </cacheField>
    <cacheField name="Quarters" numFmtId="0" databaseField="0">
      <fieldGroup base="2">
        <rangePr groupBy="quarters" startDate="2023-01-01T00:00:00" endDate="2025-07-01T00:00:00"/>
        <groupItems count="6">
          <s v="&lt;1/1/2023"/>
          <s v="Qtr1"/>
          <s v="Qtr2"/>
          <s v="Qtr3"/>
          <s v="Qtr4"/>
          <s v="&gt;7/1/2025"/>
        </groupItems>
      </fieldGroup>
    </cacheField>
    <cacheField name="Years" numFmtId="0" databaseField="0">
      <fieldGroup base="2">
        <rangePr groupBy="years" startDate="2023-01-01T00:00:00" endDate="2025-07-01T00:00:00"/>
        <groupItems count="5">
          <s v="&lt;1/1/2023"/>
          <s v="2023"/>
          <s v="2024"/>
          <s v="2025"/>
          <s v="&gt;7/1/2025"/>
        </groupItems>
      </fieldGroup>
    </cacheField>
    <cacheField name="Years2" numFmtId="0" databaseField="0">
      <fieldGroup base="10">
        <rangePr groupBy="years" startDate="2023-02-01T00:00:00" endDate="2025-07-27T00:00:00"/>
        <groupItems count="5">
          <s v="&lt;2/1/2023"/>
          <s v="2023"/>
          <s v="2024"/>
          <s v="2025"/>
          <s v="&gt;7/27/2025"/>
        </groupItems>
      </fieldGroup>
    </cacheField>
  </cacheFields>
  <extLst>
    <ext xmlns:x14="http://schemas.microsoft.com/office/spreadsheetml/2009/9/main" uri="{725AE2AE-9491-48be-B2B4-4EB974FC3084}">
      <x14:pivotCacheDefinition pivotCacheId="2081956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AP10000"/>
    <x v="0"/>
    <x v="0"/>
    <x v="0"/>
    <d v="2025-01-15T00:00:00"/>
    <x v="0"/>
    <n v="400.84"/>
    <x v="0"/>
    <n v="0"/>
    <x v="0"/>
    <x v="0"/>
    <s v=""/>
    <s v="Net 30"/>
    <d v="2025-07-30T00:00:00"/>
    <n v="196"/>
    <x v="0"/>
    <s v="Due"/>
  </r>
  <r>
    <s v="AP10001"/>
    <x v="0"/>
    <x v="1"/>
    <x v="1"/>
    <d v="2024-06-17T00:00:00"/>
    <x v="1"/>
    <n v="2381.4299999999998"/>
    <x v="1"/>
    <n v="0"/>
    <x v="1"/>
    <x v="0"/>
    <s v=""/>
    <s v="Net 30"/>
    <d v="2025-07-30T00:00:00"/>
    <n v="408"/>
    <x v="0"/>
    <s v="Due"/>
  </r>
  <r>
    <s v="AP10002"/>
    <x v="1"/>
    <x v="2"/>
    <x v="2"/>
    <d v="2024-03-26T00:00:00"/>
    <x v="2"/>
    <n v="1390.64"/>
    <x v="0"/>
    <n v="0"/>
    <x v="2"/>
    <x v="0"/>
    <s v=""/>
    <s v="Net 30"/>
    <d v="2025-07-30T00:00:00"/>
    <n v="491"/>
    <x v="0"/>
    <s v="Due"/>
  </r>
  <r>
    <s v="AP10003"/>
    <x v="2"/>
    <x v="3"/>
    <x v="3"/>
    <d v="2024-02-07T00:00:00"/>
    <x v="3"/>
    <n v="4433.05"/>
    <x v="1"/>
    <n v="0"/>
    <x v="1"/>
    <x v="0"/>
    <s v=""/>
    <s v="Net 30"/>
    <d v="2025-07-30T00:00:00"/>
    <n v="539"/>
    <x v="0"/>
    <s v="Due"/>
  </r>
  <r>
    <s v="AP10004"/>
    <x v="2"/>
    <x v="4"/>
    <x v="1"/>
    <d v="2024-06-22T00:00:00"/>
    <x v="2"/>
    <n v="5904.18"/>
    <x v="1"/>
    <n v="0"/>
    <x v="1"/>
    <x v="0"/>
    <s v=""/>
    <s v="Net 30"/>
    <d v="2025-07-30T00:00:00"/>
    <n v="403"/>
    <x v="0"/>
    <s v="Due"/>
  </r>
  <r>
    <s v="AP10005"/>
    <x v="1"/>
    <x v="5"/>
    <x v="4"/>
    <d v="2024-08-08T00:00:00"/>
    <x v="4"/>
    <n v="1150.93"/>
    <x v="0"/>
    <n v="0"/>
    <x v="3"/>
    <x v="0"/>
    <s v=""/>
    <s v="Net 30"/>
    <d v="2025-07-30T00:00:00"/>
    <n v="356"/>
    <x v="0"/>
    <s v="Due"/>
  </r>
  <r>
    <s v="AP10006"/>
    <x v="0"/>
    <x v="6"/>
    <x v="0"/>
    <d v="2025-01-19T00:00:00"/>
    <x v="3"/>
    <n v="894.13"/>
    <x v="0"/>
    <n v="0"/>
    <x v="4"/>
    <x v="0"/>
    <s v=""/>
    <s v="Net 30"/>
    <d v="2025-07-30T00:00:00"/>
    <n v="192"/>
    <x v="0"/>
    <s v="Due"/>
  </r>
  <r>
    <s v="AP10007"/>
    <x v="1"/>
    <x v="7"/>
    <x v="5"/>
    <d v="2024-10-25T00:00:00"/>
    <x v="2"/>
    <n v="1770.6"/>
    <x v="2"/>
    <n v="1770.6"/>
    <x v="5"/>
    <x v="1"/>
    <s v="2024-Oct"/>
    <s v="Net 30"/>
    <d v="2025-07-30T00:00:00"/>
    <n v="0"/>
    <x v="1"/>
    <s v="Not Due"/>
  </r>
  <r>
    <s v="AP10008"/>
    <x v="2"/>
    <x v="8"/>
    <x v="2"/>
    <d v="2024-03-13T00:00:00"/>
    <x v="1"/>
    <n v="2513.86"/>
    <x v="2"/>
    <n v="2513.86"/>
    <x v="5"/>
    <x v="2"/>
    <s v="2024-Mar"/>
    <s v="Net 30"/>
    <d v="2025-07-30T00:00:00"/>
    <n v="0"/>
    <x v="1"/>
    <s v="Not Due"/>
  </r>
  <r>
    <s v="AP10009"/>
    <x v="2"/>
    <x v="9"/>
    <x v="6"/>
    <d v="2024-07-27T00:00:00"/>
    <x v="3"/>
    <n v="217.97"/>
    <x v="0"/>
    <n v="0"/>
    <x v="6"/>
    <x v="0"/>
    <s v=""/>
    <s v="Net 30"/>
    <d v="2025-07-30T00:00:00"/>
    <n v="368"/>
    <x v="0"/>
    <s v="Due"/>
  </r>
  <r>
    <s v="AP10010"/>
    <x v="0"/>
    <x v="10"/>
    <x v="7"/>
    <d v="2024-04-08T00:00:00"/>
    <x v="0"/>
    <n v="2106.48"/>
    <x v="1"/>
    <n v="0"/>
    <x v="1"/>
    <x v="0"/>
    <s v=""/>
    <s v="Net 30"/>
    <d v="2025-07-30T00:00:00"/>
    <n v="478"/>
    <x v="0"/>
    <s v="Due"/>
  </r>
  <r>
    <s v="AP10011"/>
    <x v="0"/>
    <x v="11"/>
    <x v="8"/>
    <d v="2024-11-09T00:00:00"/>
    <x v="3"/>
    <n v="884.1"/>
    <x v="0"/>
    <n v="0"/>
    <x v="7"/>
    <x v="0"/>
    <s v=""/>
    <s v="Net 30"/>
    <d v="2025-07-30T00:00:00"/>
    <n v="263"/>
    <x v="0"/>
    <s v="Due"/>
  </r>
  <r>
    <s v="AP10012"/>
    <x v="2"/>
    <x v="12"/>
    <x v="9"/>
    <d v="2023-06-18T00:00:00"/>
    <x v="2"/>
    <n v="2026.92"/>
    <x v="0"/>
    <n v="0"/>
    <x v="8"/>
    <x v="0"/>
    <s v=""/>
    <s v="Net 30"/>
    <d v="2025-07-30T00:00:00"/>
    <n v="773"/>
    <x v="0"/>
    <s v="Due"/>
  </r>
  <r>
    <s v="AP10013"/>
    <x v="2"/>
    <x v="13"/>
    <x v="10"/>
    <d v="2023-12-19T00:00:00"/>
    <x v="4"/>
    <n v="3031.5"/>
    <x v="2"/>
    <n v="3031.5"/>
    <x v="5"/>
    <x v="3"/>
    <s v="2023-Dec"/>
    <s v="Net 30"/>
    <d v="2025-07-30T00:00:00"/>
    <n v="0"/>
    <x v="1"/>
    <s v="Not Due"/>
  </r>
  <r>
    <s v="AP10014"/>
    <x v="0"/>
    <x v="14"/>
    <x v="1"/>
    <d v="2024-06-04T00:00:00"/>
    <x v="2"/>
    <n v="2218.6799999999998"/>
    <x v="0"/>
    <n v="0"/>
    <x v="9"/>
    <x v="0"/>
    <s v=""/>
    <s v="Net 30"/>
    <d v="2025-07-30T00:00:00"/>
    <n v="421"/>
    <x v="0"/>
    <s v="Due"/>
  </r>
  <r>
    <s v="AP10015"/>
    <x v="0"/>
    <x v="15"/>
    <x v="11"/>
    <d v="2023-07-04T00:00:00"/>
    <x v="0"/>
    <n v="2198"/>
    <x v="2"/>
    <n v="2198"/>
    <x v="5"/>
    <x v="4"/>
    <s v="2023-Jul"/>
    <s v="Net 30"/>
    <d v="2025-07-30T00:00:00"/>
    <n v="0"/>
    <x v="1"/>
    <s v="Not Due"/>
  </r>
  <r>
    <s v="AP10016"/>
    <x v="0"/>
    <x v="16"/>
    <x v="12"/>
    <d v="2024-01-09T00:00:00"/>
    <x v="2"/>
    <n v="2339.0500000000002"/>
    <x v="0"/>
    <n v="0"/>
    <x v="10"/>
    <x v="0"/>
    <s v=""/>
    <s v="Net 30"/>
    <d v="2025-07-30T00:00:00"/>
    <n v="568"/>
    <x v="0"/>
    <s v="Due"/>
  </r>
  <r>
    <s v="AP10017"/>
    <x v="3"/>
    <x v="17"/>
    <x v="0"/>
    <d v="2025-01-29T00:00:00"/>
    <x v="3"/>
    <n v="2941.63"/>
    <x v="0"/>
    <n v="0"/>
    <x v="11"/>
    <x v="0"/>
    <s v=""/>
    <s v="Net 30"/>
    <d v="2025-07-30T00:00:00"/>
    <n v="182"/>
    <x v="0"/>
    <s v="Due"/>
  </r>
  <r>
    <s v="AP10018"/>
    <x v="1"/>
    <x v="9"/>
    <x v="6"/>
    <d v="2024-07-27T00:00:00"/>
    <x v="3"/>
    <n v="889.44"/>
    <x v="2"/>
    <n v="889.44"/>
    <x v="5"/>
    <x v="5"/>
    <s v="2024-Jul"/>
    <s v="Net 30"/>
    <d v="2025-07-30T00:00:00"/>
    <n v="0"/>
    <x v="1"/>
    <s v="Not Due"/>
  </r>
  <r>
    <s v="AP10019"/>
    <x v="1"/>
    <x v="18"/>
    <x v="13"/>
    <d v="2025-04-27T00:00:00"/>
    <x v="4"/>
    <n v="1108"/>
    <x v="1"/>
    <n v="0"/>
    <x v="1"/>
    <x v="0"/>
    <s v=""/>
    <s v="Net 30"/>
    <d v="2025-07-30T00:00:00"/>
    <n v="94"/>
    <x v="0"/>
    <s v="Due"/>
  </r>
  <r>
    <s v="AP10020"/>
    <x v="4"/>
    <x v="19"/>
    <x v="14"/>
    <d v="2023-08-13T00:00:00"/>
    <x v="4"/>
    <n v="717.02"/>
    <x v="0"/>
    <n v="0"/>
    <x v="12"/>
    <x v="0"/>
    <s v=""/>
    <s v="Net 30"/>
    <d v="2025-07-30T00:00:00"/>
    <n v="717"/>
    <x v="0"/>
    <s v="Due"/>
  </r>
  <r>
    <s v="AP10021"/>
    <x v="4"/>
    <x v="20"/>
    <x v="11"/>
    <d v="2023-07-28T00:00:00"/>
    <x v="1"/>
    <n v="1768.97"/>
    <x v="1"/>
    <n v="0"/>
    <x v="1"/>
    <x v="0"/>
    <s v=""/>
    <s v="Net 30"/>
    <d v="2025-07-30T00:00:00"/>
    <n v="733"/>
    <x v="0"/>
    <s v="Due"/>
  </r>
  <r>
    <s v="AP10022"/>
    <x v="3"/>
    <x v="21"/>
    <x v="0"/>
    <d v="2025-01-26T00:00:00"/>
    <x v="1"/>
    <n v="576.01"/>
    <x v="0"/>
    <n v="0"/>
    <x v="13"/>
    <x v="0"/>
    <s v=""/>
    <s v="Net 30"/>
    <d v="2025-07-30T00:00:00"/>
    <n v="185"/>
    <x v="0"/>
    <s v="Due"/>
  </r>
  <r>
    <s v="AP10023"/>
    <x v="0"/>
    <x v="22"/>
    <x v="9"/>
    <d v="2023-06-15T00:00:00"/>
    <x v="2"/>
    <n v="5758.12"/>
    <x v="1"/>
    <n v="0"/>
    <x v="1"/>
    <x v="0"/>
    <s v=""/>
    <s v="Net 30"/>
    <d v="2025-07-30T00:00:00"/>
    <n v="776"/>
    <x v="0"/>
    <s v="Due"/>
  </r>
  <r>
    <s v="AP10024"/>
    <x v="3"/>
    <x v="23"/>
    <x v="15"/>
    <d v="2023-10-30T00:00:00"/>
    <x v="4"/>
    <n v="478.64"/>
    <x v="0"/>
    <n v="0"/>
    <x v="14"/>
    <x v="0"/>
    <s v=""/>
    <s v="Net 30"/>
    <d v="2025-07-30T00:00:00"/>
    <n v="639"/>
    <x v="0"/>
    <s v="Due"/>
  </r>
  <r>
    <s v="AP10025"/>
    <x v="3"/>
    <x v="24"/>
    <x v="0"/>
    <d v="2025-01-13T00:00:00"/>
    <x v="2"/>
    <n v="5230.24"/>
    <x v="1"/>
    <n v="0"/>
    <x v="1"/>
    <x v="0"/>
    <s v=""/>
    <s v="Net 30"/>
    <d v="2025-07-30T00:00:00"/>
    <n v="198"/>
    <x v="0"/>
    <s v="Due"/>
  </r>
  <r>
    <s v="AP10026"/>
    <x v="0"/>
    <x v="25"/>
    <x v="14"/>
    <d v="2023-08-16T00:00:00"/>
    <x v="1"/>
    <n v="3185.38"/>
    <x v="2"/>
    <n v="3185.38"/>
    <x v="5"/>
    <x v="6"/>
    <s v="2023-Aug"/>
    <s v="Net 30"/>
    <d v="2025-07-30T00:00:00"/>
    <n v="0"/>
    <x v="1"/>
    <s v="Not Due"/>
  </r>
  <r>
    <s v="AP10027"/>
    <x v="1"/>
    <x v="26"/>
    <x v="7"/>
    <d v="2024-04-24T00:00:00"/>
    <x v="3"/>
    <n v="296.64999999999998"/>
    <x v="2"/>
    <n v="296.64999999999998"/>
    <x v="5"/>
    <x v="7"/>
    <s v="2024-Apr"/>
    <s v="Net 30"/>
    <d v="2025-07-30T00:00:00"/>
    <n v="0"/>
    <x v="1"/>
    <s v="Not Due"/>
  </r>
  <r>
    <s v="AP10028"/>
    <x v="4"/>
    <x v="27"/>
    <x v="8"/>
    <d v="2024-11-27T00:00:00"/>
    <x v="2"/>
    <n v="4212.01"/>
    <x v="0"/>
    <n v="0"/>
    <x v="15"/>
    <x v="0"/>
    <s v=""/>
    <s v="Net 30"/>
    <d v="2025-07-30T00:00:00"/>
    <n v="245"/>
    <x v="0"/>
    <s v="Due"/>
  </r>
  <r>
    <s v="AP10029"/>
    <x v="3"/>
    <x v="28"/>
    <x v="16"/>
    <d v="2023-04-05T00:00:00"/>
    <x v="1"/>
    <n v="2893.26"/>
    <x v="0"/>
    <n v="0"/>
    <x v="16"/>
    <x v="0"/>
    <s v=""/>
    <s v="Net 30"/>
    <d v="2025-07-30T00:00:00"/>
    <n v="847"/>
    <x v="0"/>
    <s v="Due"/>
  </r>
  <r>
    <s v="AP10030"/>
    <x v="1"/>
    <x v="29"/>
    <x v="2"/>
    <d v="2024-03-14T00:00:00"/>
    <x v="1"/>
    <n v="2082.48"/>
    <x v="1"/>
    <n v="0"/>
    <x v="1"/>
    <x v="0"/>
    <s v=""/>
    <s v="Net 30"/>
    <d v="2025-07-30T00:00:00"/>
    <n v="503"/>
    <x v="0"/>
    <s v="Due"/>
  </r>
  <r>
    <s v="AP10031"/>
    <x v="1"/>
    <x v="30"/>
    <x v="16"/>
    <d v="2023-04-14T00:00:00"/>
    <x v="0"/>
    <n v="5624.33"/>
    <x v="2"/>
    <n v="5624.33"/>
    <x v="5"/>
    <x v="8"/>
    <s v="2023-Apr"/>
    <s v="Net 30"/>
    <d v="2025-07-30T00:00:00"/>
    <n v="0"/>
    <x v="1"/>
    <s v="Not Due"/>
  </r>
  <r>
    <s v="AP10032"/>
    <x v="3"/>
    <x v="31"/>
    <x v="17"/>
    <d v="2023-11-10T00:00:00"/>
    <x v="3"/>
    <n v="4841.22"/>
    <x v="2"/>
    <n v="4841.22"/>
    <x v="5"/>
    <x v="9"/>
    <s v="2023-Nov"/>
    <s v="Net 30"/>
    <d v="2025-07-30T00:00:00"/>
    <n v="0"/>
    <x v="1"/>
    <s v="Not Due"/>
  </r>
  <r>
    <s v="AP10033"/>
    <x v="2"/>
    <x v="32"/>
    <x v="18"/>
    <d v="2024-12-02T00:00:00"/>
    <x v="4"/>
    <n v="2591.7600000000002"/>
    <x v="0"/>
    <n v="0"/>
    <x v="17"/>
    <x v="0"/>
    <s v=""/>
    <s v="Net 30"/>
    <d v="2025-07-30T00:00:00"/>
    <n v="240"/>
    <x v="0"/>
    <s v="Due"/>
  </r>
  <r>
    <s v="AP10034"/>
    <x v="1"/>
    <x v="33"/>
    <x v="19"/>
    <d v="2025-02-10T00:00:00"/>
    <x v="2"/>
    <n v="5317.87"/>
    <x v="2"/>
    <n v="5317.87"/>
    <x v="5"/>
    <x v="10"/>
    <s v="2025-Feb"/>
    <s v="Net 30"/>
    <d v="2025-07-30T00:00:00"/>
    <n v="0"/>
    <x v="1"/>
    <s v="Not Due"/>
  </r>
  <r>
    <s v="AP10035"/>
    <x v="2"/>
    <x v="34"/>
    <x v="20"/>
    <d v="2023-05-09T00:00:00"/>
    <x v="1"/>
    <n v="806.85"/>
    <x v="0"/>
    <n v="0"/>
    <x v="18"/>
    <x v="0"/>
    <s v=""/>
    <s v="Net 30"/>
    <d v="2025-07-30T00:00:00"/>
    <n v="813"/>
    <x v="0"/>
    <s v="Due"/>
  </r>
  <r>
    <s v="AP10036"/>
    <x v="0"/>
    <x v="35"/>
    <x v="14"/>
    <d v="2023-08-20T00:00:00"/>
    <x v="1"/>
    <n v="3016.66"/>
    <x v="1"/>
    <n v="0"/>
    <x v="1"/>
    <x v="0"/>
    <s v=""/>
    <s v="Net 30"/>
    <d v="2025-07-30T00:00:00"/>
    <n v="710"/>
    <x v="0"/>
    <s v="Due"/>
  </r>
  <r>
    <s v="AP10037"/>
    <x v="3"/>
    <x v="36"/>
    <x v="4"/>
    <d v="2024-08-30T00:00:00"/>
    <x v="3"/>
    <n v="504.02"/>
    <x v="1"/>
    <n v="0"/>
    <x v="1"/>
    <x v="0"/>
    <s v=""/>
    <s v="Net 30"/>
    <d v="2025-07-30T00:00:00"/>
    <n v="334"/>
    <x v="0"/>
    <s v="Due"/>
  </r>
  <r>
    <s v="AP10038"/>
    <x v="0"/>
    <x v="37"/>
    <x v="21"/>
    <d v="2023-02-07T00:00:00"/>
    <x v="2"/>
    <n v="4288.4399999999996"/>
    <x v="0"/>
    <n v="0"/>
    <x v="19"/>
    <x v="0"/>
    <s v=""/>
    <s v="Net 30"/>
    <d v="2025-07-30T00:00:00"/>
    <n v="904"/>
    <x v="0"/>
    <s v="Due"/>
  </r>
  <r>
    <s v="AP10039"/>
    <x v="3"/>
    <x v="38"/>
    <x v="14"/>
    <d v="2023-07-31T00:00:00"/>
    <x v="0"/>
    <n v="3824.79"/>
    <x v="1"/>
    <n v="0"/>
    <x v="1"/>
    <x v="0"/>
    <s v=""/>
    <s v="Net 30"/>
    <d v="2025-07-30T00:00:00"/>
    <n v="730"/>
    <x v="0"/>
    <s v="Due"/>
  </r>
  <r>
    <s v="AP10040"/>
    <x v="3"/>
    <x v="39"/>
    <x v="22"/>
    <d v="2025-06-23T00:00:00"/>
    <x v="3"/>
    <n v="4519.76"/>
    <x v="0"/>
    <n v="0"/>
    <x v="20"/>
    <x v="0"/>
    <s v=""/>
    <s v="Net 30"/>
    <d v="2025-07-30T00:00:00"/>
    <n v="37"/>
    <x v="2"/>
    <s v="Due"/>
  </r>
  <r>
    <s v="AP10041"/>
    <x v="0"/>
    <x v="40"/>
    <x v="3"/>
    <d v="2024-02-21T00:00:00"/>
    <x v="0"/>
    <n v="4767.38"/>
    <x v="1"/>
    <n v="0"/>
    <x v="1"/>
    <x v="0"/>
    <s v=""/>
    <s v="Net 30"/>
    <d v="2025-07-30T00:00:00"/>
    <n v="525"/>
    <x v="0"/>
    <s v="Due"/>
  </r>
  <r>
    <s v="AP10042"/>
    <x v="0"/>
    <x v="41"/>
    <x v="23"/>
    <d v="2023-03-12T00:00:00"/>
    <x v="0"/>
    <n v="3607.07"/>
    <x v="2"/>
    <n v="3607.07"/>
    <x v="5"/>
    <x v="11"/>
    <s v="2023-Mar"/>
    <s v="Net 30"/>
    <d v="2025-07-30T00:00:00"/>
    <n v="0"/>
    <x v="1"/>
    <s v="Not Due"/>
  </r>
  <r>
    <s v="AP10043"/>
    <x v="1"/>
    <x v="42"/>
    <x v="24"/>
    <d v="2025-07-01T00:00:00"/>
    <x v="4"/>
    <n v="1018.55"/>
    <x v="1"/>
    <n v="0"/>
    <x v="1"/>
    <x v="0"/>
    <s v=""/>
    <s v="Net 30"/>
    <d v="2025-07-30T00:00:00"/>
    <n v="29"/>
    <x v="3"/>
    <s v="Due"/>
  </r>
  <r>
    <s v="AP10044"/>
    <x v="0"/>
    <x v="43"/>
    <x v="11"/>
    <d v="2023-07-25T00:00:00"/>
    <x v="2"/>
    <n v="4381.22"/>
    <x v="1"/>
    <n v="0"/>
    <x v="1"/>
    <x v="0"/>
    <s v=""/>
    <s v="Net 30"/>
    <d v="2025-07-30T00:00:00"/>
    <n v="736"/>
    <x v="0"/>
    <s v="Due"/>
  </r>
  <r>
    <s v="AP10045"/>
    <x v="4"/>
    <x v="44"/>
    <x v="11"/>
    <d v="2023-07-26T00:00:00"/>
    <x v="3"/>
    <n v="1164.49"/>
    <x v="1"/>
    <n v="0"/>
    <x v="1"/>
    <x v="0"/>
    <s v=""/>
    <s v="Net 30"/>
    <d v="2025-07-30T00:00:00"/>
    <n v="735"/>
    <x v="0"/>
    <s v="Due"/>
  </r>
  <r>
    <s v="AP10046"/>
    <x v="4"/>
    <x v="33"/>
    <x v="19"/>
    <d v="2025-02-10T00:00:00"/>
    <x v="3"/>
    <n v="2557.61"/>
    <x v="2"/>
    <n v="2557.61"/>
    <x v="5"/>
    <x v="10"/>
    <s v="2025-Feb"/>
    <s v="Net 30"/>
    <d v="2025-07-30T00:00:00"/>
    <n v="0"/>
    <x v="1"/>
    <s v="Not Due"/>
  </r>
  <r>
    <s v="AP10047"/>
    <x v="0"/>
    <x v="45"/>
    <x v="19"/>
    <d v="2025-02-24T00:00:00"/>
    <x v="2"/>
    <n v="534.54999999999995"/>
    <x v="0"/>
    <n v="0"/>
    <x v="21"/>
    <x v="0"/>
    <s v=""/>
    <s v="Net 30"/>
    <d v="2025-07-30T00:00:00"/>
    <n v="156"/>
    <x v="0"/>
    <s v="Due"/>
  </r>
  <r>
    <s v="AP10048"/>
    <x v="3"/>
    <x v="46"/>
    <x v="13"/>
    <d v="2025-04-16T00:00:00"/>
    <x v="1"/>
    <n v="1665.69"/>
    <x v="2"/>
    <n v="1665.69"/>
    <x v="5"/>
    <x v="12"/>
    <s v="2025-Apr"/>
    <s v="Net 30"/>
    <d v="2025-07-30T00:00:00"/>
    <n v="0"/>
    <x v="1"/>
    <s v="Not Due"/>
  </r>
  <r>
    <s v="AP10049"/>
    <x v="0"/>
    <x v="47"/>
    <x v="15"/>
    <d v="2023-10-28T00:00:00"/>
    <x v="2"/>
    <n v="989.68"/>
    <x v="2"/>
    <n v="989.68"/>
    <x v="5"/>
    <x v="13"/>
    <s v="2023-Oct"/>
    <s v="Net 30"/>
    <d v="2025-07-30T00:00:00"/>
    <n v="0"/>
    <x v="1"/>
    <s v="Not Due"/>
  </r>
  <r>
    <s v="AP10050"/>
    <x v="1"/>
    <x v="39"/>
    <x v="22"/>
    <d v="2025-06-23T00:00:00"/>
    <x v="2"/>
    <n v="4865.1000000000004"/>
    <x v="0"/>
    <n v="0"/>
    <x v="22"/>
    <x v="0"/>
    <s v=""/>
    <s v="Net 30"/>
    <d v="2025-07-30T00:00:00"/>
    <n v="37"/>
    <x v="2"/>
    <s v="Due"/>
  </r>
  <r>
    <s v="AP10051"/>
    <x v="0"/>
    <x v="48"/>
    <x v="7"/>
    <d v="2024-04-30T00:00:00"/>
    <x v="4"/>
    <n v="1099.46"/>
    <x v="2"/>
    <n v="1099.46"/>
    <x v="5"/>
    <x v="14"/>
    <s v="2024-Apr"/>
    <s v="Net 30"/>
    <d v="2025-07-30T00:00:00"/>
    <n v="0"/>
    <x v="1"/>
    <s v="Not Due"/>
  </r>
  <r>
    <s v="AP10052"/>
    <x v="0"/>
    <x v="49"/>
    <x v="20"/>
    <d v="2023-05-23T00:00:00"/>
    <x v="1"/>
    <n v="2176.36"/>
    <x v="2"/>
    <n v="2176.36"/>
    <x v="5"/>
    <x v="15"/>
    <s v="2023-May"/>
    <s v="Net 30"/>
    <d v="2025-07-30T00:00:00"/>
    <n v="0"/>
    <x v="1"/>
    <s v="Not Due"/>
  </r>
  <r>
    <s v="AP10053"/>
    <x v="2"/>
    <x v="50"/>
    <x v="25"/>
    <d v="2023-09-23T00:00:00"/>
    <x v="1"/>
    <n v="2238.11"/>
    <x v="1"/>
    <n v="0"/>
    <x v="1"/>
    <x v="0"/>
    <s v=""/>
    <s v="Net 30"/>
    <d v="2025-07-30T00:00:00"/>
    <n v="676"/>
    <x v="0"/>
    <s v="Due"/>
  </r>
  <r>
    <s v="AP10054"/>
    <x v="0"/>
    <x v="51"/>
    <x v="9"/>
    <d v="2023-06-08T00:00:00"/>
    <x v="4"/>
    <n v="1068.42"/>
    <x v="1"/>
    <n v="0"/>
    <x v="1"/>
    <x v="0"/>
    <s v=""/>
    <s v="Net 30"/>
    <d v="2025-07-30T00:00:00"/>
    <n v="783"/>
    <x v="0"/>
    <s v="Due"/>
  </r>
  <r>
    <s v="AP10055"/>
    <x v="4"/>
    <x v="52"/>
    <x v="12"/>
    <d v="2024-01-18T00:00:00"/>
    <x v="4"/>
    <n v="2103.25"/>
    <x v="1"/>
    <n v="0"/>
    <x v="1"/>
    <x v="0"/>
    <s v=""/>
    <s v="Net 30"/>
    <d v="2025-07-30T00:00:00"/>
    <n v="559"/>
    <x v="0"/>
    <s v="Due"/>
  </r>
  <r>
    <s v="AP10056"/>
    <x v="3"/>
    <x v="53"/>
    <x v="10"/>
    <d v="2023-12-08T00:00:00"/>
    <x v="3"/>
    <n v="422.98"/>
    <x v="2"/>
    <n v="422.98"/>
    <x v="5"/>
    <x v="16"/>
    <s v="2023-Dec"/>
    <s v="Net 30"/>
    <d v="2025-07-30T00:00:00"/>
    <n v="0"/>
    <x v="1"/>
    <s v="Not Due"/>
  </r>
  <r>
    <s v="AP10057"/>
    <x v="0"/>
    <x v="54"/>
    <x v="21"/>
    <d v="2023-02-02T00:00:00"/>
    <x v="3"/>
    <n v="2784.23"/>
    <x v="1"/>
    <n v="0"/>
    <x v="1"/>
    <x v="0"/>
    <s v=""/>
    <s v="Net 30"/>
    <d v="2025-07-30T00:00:00"/>
    <n v="909"/>
    <x v="0"/>
    <s v="Due"/>
  </r>
  <r>
    <s v="AP10058"/>
    <x v="4"/>
    <x v="55"/>
    <x v="6"/>
    <d v="2024-07-19T00:00:00"/>
    <x v="1"/>
    <n v="2127.1"/>
    <x v="0"/>
    <n v="0"/>
    <x v="23"/>
    <x v="0"/>
    <s v=""/>
    <s v="Net 30"/>
    <d v="2025-07-30T00:00:00"/>
    <n v="376"/>
    <x v="0"/>
    <s v="Due"/>
  </r>
  <r>
    <s v="AP10059"/>
    <x v="0"/>
    <x v="56"/>
    <x v="13"/>
    <d v="2025-04-08T00:00:00"/>
    <x v="2"/>
    <n v="786.17"/>
    <x v="1"/>
    <n v="0"/>
    <x v="1"/>
    <x v="0"/>
    <s v=""/>
    <s v="Net 30"/>
    <d v="2025-07-30T00:00:00"/>
    <n v="113"/>
    <x v="0"/>
    <s v="Due"/>
  </r>
  <r>
    <s v="AP10060"/>
    <x v="0"/>
    <x v="57"/>
    <x v="1"/>
    <d v="2024-06-27T00:00:00"/>
    <x v="2"/>
    <n v="5230.78"/>
    <x v="2"/>
    <n v="5230.78"/>
    <x v="5"/>
    <x v="17"/>
    <s v="2024-Jun"/>
    <s v="Net 30"/>
    <d v="2025-07-30T00:00:00"/>
    <n v="0"/>
    <x v="1"/>
    <s v="Not Due"/>
  </r>
  <r>
    <s v="AP10061"/>
    <x v="0"/>
    <x v="58"/>
    <x v="26"/>
    <d v="2024-05-26T00:00:00"/>
    <x v="1"/>
    <n v="1484.09"/>
    <x v="1"/>
    <n v="0"/>
    <x v="1"/>
    <x v="0"/>
    <s v=""/>
    <s v="Net 30"/>
    <d v="2025-07-30T00:00:00"/>
    <n v="430"/>
    <x v="0"/>
    <s v="Due"/>
  </r>
  <r>
    <s v="AP10062"/>
    <x v="2"/>
    <x v="59"/>
    <x v="23"/>
    <d v="2023-03-26T00:00:00"/>
    <x v="4"/>
    <n v="1572.77"/>
    <x v="2"/>
    <n v="1572.77"/>
    <x v="5"/>
    <x v="18"/>
    <s v="2023-Mar"/>
    <s v="Net 30"/>
    <d v="2025-07-30T00:00:00"/>
    <n v="0"/>
    <x v="1"/>
    <s v="Not Due"/>
  </r>
  <r>
    <s v="AP10063"/>
    <x v="0"/>
    <x v="60"/>
    <x v="27"/>
    <d v="2025-03-17T00:00:00"/>
    <x v="2"/>
    <n v="4596.79"/>
    <x v="2"/>
    <n v="4596.79"/>
    <x v="5"/>
    <x v="19"/>
    <s v="2025-Mar"/>
    <s v="Net 30"/>
    <d v="2025-07-30T00:00:00"/>
    <n v="0"/>
    <x v="1"/>
    <s v="Not Due"/>
  </r>
  <r>
    <s v="AP10064"/>
    <x v="1"/>
    <x v="61"/>
    <x v="26"/>
    <d v="2024-05-22T00:00:00"/>
    <x v="2"/>
    <n v="4853.0200000000004"/>
    <x v="1"/>
    <n v="0"/>
    <x v="1"/>
    <x v="0"/>
    <s v=""/>
    <s v="Net 30"/>
    <d v="2025-07-30T00:00:00"/>
    <n v="434"/>
    <x v="0"/>
    <s v="Due"/>
  </r>
  <r>
    <s v="AP10065"/>
    <x v="2"/>
    <x v="62"/>
    <x v="28"/>
    <d v="2025-05-15T00:00:00"/>
    <x v="3"/>
    <n v="2137.4499999999998"/>
    <x v="0"/>
    <n v="0"/>
    <x v="24"/>
    <x v="0"/>
    <s v=""/>
    <s v="Net 30"/>
    <d v="2025-07-30T00:00:00"/>
    <n v="76"/>
    <x v="4"/>
    <s v="Due"/>
  </r>
  <r>
    <s v="AP10066"/>
    <x v="4"/>
    <x v="63"/>
    <x v="27"/>
    <d v="2025-03-11T00:00:00"/>
    <x v="3"/>
    <n v="3793.28"/>
    <x v="2"/>
    <n v="3793.28"/>
    <x v="5"/>
    <x v="20"/>
    <s v="2025-Mar"/>
    <s v="Net 30"/>
    <d v="2025-07-30T00:00:00"/>
    <n v="0"/>
    <x v="1"/>
    <s v="Not Due"/>
  </r>
  <r>
    <s v="AP10067"/>
    <x v="0"/>
    <x v="64"/>
    <x v="19"/>
    <d v="2025-02-02T00:00:00"/>
    <x v="1"/>
    <n v="2146.6999999999998"/>
    <x v="2"/>
    <n v="2146.6999999999998"/>
    <x v="5"/>
    <x v="21"/>
    <s v="2025-Feb"/>
    <s v="Net 30"/>
    <d v="2025-07-30T00:00:00"/>
    <n v="0"/>
    <x v="1"/>
    <s v="Not Due"/>
  </r>
  <r>
    <s v="AP10068"/>
    <x v="0"/>
    <x v="65"/>
    <x v="4"/>
    <d v="2024-08-23T00:00:00"/>
    <x v="3"/>
    <n v="4968.32"/>
    <x v="0"/>
    <n v="0"/>
    <x v="25"/>
    <x v="0"/>
    <s v=""/>
    <s v="Net 30"/>
    <d v="2025-07-30T00:00:00"/>
    <n v="341"/>
    <x v="0"/>
    <s v="Due"/>
  </r>
  <r>
    <s v="AP10069"/>
    <x v="0"/>
    <x v="66"/>
    <x v="23"/>
    <d v="2023-03-03T00:00:00"/>
    <x v="3"/>
    <n v="4336.91"/>
    <x v="0"/>
    <n v="0"/>
    <x v="26"/>
    <x v="0"/>
    <s v=""/>
    <s v="Net 30"/>
    <d v="2025-07-30T00:00:00"/>
    <n v="880"/>
    <x v="0"/>
    <s v="Due"/>
  </r>
  <r>
    <s v="AP10070"/>
    <x v="4"/>
    <x v="67"/>
    <x v="0"/>
    <d v="2025-01-02T00:00:00"/>
    <x v="3"/>
    <n v="2479.9499999999998"/>
    <x v="2"/>
    <n v="2479.9499999999998"/>
    <x v="5"/>
    <x v="22"/>
    <s v="2025-Jan"/>
    <s v="Net 30"/>
    <d v="2025-07-30T00:00:00"/>
    <n v="0"/>
    <x v="1"/>
    <s v="Not Due"/>
  </r>
  <r>
    <s v="AP10071"/>
    <x v="4"/>
    <x v="68"/>
    <x v="24"/>
    <d v="2025-07-13T00:00:00"/>
    <x v="3"/>
    <n v="2498.69"/>
    <x v="0"/>
    <n v="0"/>
    <x v="27"/>
    <x v="0"/>
    <s v=""/>
    <s v="Net 30"/>
    <d v="2025-07-30T00:00:00"/>
    <n v="17"/>
    <x v="3"/>
    <s v="Due"/>
  </r>
  <r>
    <s v="AP10072"/>
    <x v="1"/>
    <x v="69"/>
    <x v="18"/>
    <d v="2024-12-01T00:00:00"/>
    <x v="1"/>
    <n v="1521.01"/>
    <x v="2"/>
    <n v="1521.01"/>
    <x v="5"/>
    <x v="23"/>
    <s v="2024-Dec"/>
    <s v="Net 30"/>
    <d v="2025-07-30T00:00:00"/>
    <n v="0"/>
    <x v="1"/>
    <s v="Not Due"/>
  </r>
  <r>
    <s v="AP10073"/>
    <x v="0"/>
    <x v="70"/>
    <x v="11"/>
    <d v="2023-07-15T00:00:00"/>
    <x v="4"/>
    <n v="1499.08"/>
    <x v="1"/>
    <n v="0"/>
    <x v="1"/>
    <x v="0"/>
    <s v=""/>
    <s v="Net 30"/>
    <d v="2025-07-30T00:00:00"/>
    <n v="746"/>
    <x v="0"/>
    <s v="Due"/>
  </r>
  <r>
    <s v="AP10074"/>
    <x v="2"/>
    <x v="71"/>
    <x v="15"/>
    <d v="2023-10-18T00:00:00"/>
    <x v="3"/>
    <n v="3536.09"/>
    <x v="2"/>
    <n v="3536.09"/>
    <x v="5"/>
    <x v="24"/>
    <s v="2023-Oct"/>
    <s v="Net 30"/>
    <d v="2025-07-30T00:00:00"/>
    <n v="0"/>
    <x v="1"/>
    <s v="Not Due"/>
  </r>
  <r>
    <s v="AP10075"/>
    <x v="0"/>
    <x v="72"/>
    <x v="19"/>
    <d v="2025-02-03T00:00:00"/>
    <x v="1"/>
    <n v="2877.04"/>
    <x v="0"/>
    <n v="0"/>
    <x v="28"/>
    <x v="0"/>
    <s v=""/>
    <s v="Net 30"/>
    <d v="2025-07-30T00:00:00"/>
    <n v="177"/>
    <x v="0"/>
    <s v="Due"/>
  </r>
  <r>
    <s v="AP10076"/>
    <x v="4"/>
    <x v="73"/>
    <x v="9"/>
    <d v="2023-06-21T00:00:00"/>
    <x v="3"/>
    <n v="1175.94"/>
    <x v="1"/>
    <n v="0"/>
    <x v="1"/>
    <x v="0"/>
    <s v=""/>
    <s v="Net 30"/>
    <d v="2025-07-30T00:00:00"/>
    <n v="770"/>
    <x v="0"/>
    <s v="Due"/>
  </r>
  <r>
    <s v="AP10077"/>
    <x v="3"/>
    <x v="74"/>
    <x v="5"/>
    <d v="2024-10-21T00:00:00"/>
    <x v="4"/>
    <n v="1148.67"/>
    <x v="2"/>
    <n v="1148.67"/>
    <x v="5"/>
    <x v="25"/>
    <s v="2024-Oct"/>
    <s v="Net 30"/>
    <d v="2025-07-30T00:00:00"/>
    <n v="0"/>
    <x v="1"/>
    <s v="Not Due"/>
  </r>
  <r>
    <s v="AP10078"/>
    <x v="3"/>
    <x v="75"/>
    <x v="26"/>
    <d v="2024-05-19T00:00:00"/>
    <x v="3"/>
    <n v="1687.52"/>
    <x v="2"/>
    <n v="1687.52"/>
    <x v="5"/>
    <x v="26"/>
    <s v="2024-May"/>
    <s v="Net 30"/>
    <d v="2025-07-30T00:00:00"/>
    <n v="0"/>
    <x v="1"/>
    <s v="Not Due"/>
  </r>
  <r>
    <s v="AP10079"/>
    <x v="3"/>
    <x v="76"/>
    <x v="25"/>
    <d v="2023-09-22T00:00:00"/>
    <x v="3"/>
    <n v="1247.56"/>
    <x v="2"/>
    <n v="1247.56"/>
    <x v="5"/>
    <x v="27"/>
    <s v="2023-Sep"/>
    <s v="Net 30"/>
    <d v="2025-07-30T00:00:00"/>
    <n v="0"/>
    <x v="1"/>
    <s v="Not Due"/>
  </r>
  <r>
    <s v="AP10080"/>
    <x v="2"/>
    <x v="77"/>
    <x v="24"/>
    <d v="2025-07-03T00:00:00"/>
    <x v="4"/>
    <n v="2397.29"/>
    <x v="1"/>
    <n v="0"/>
    <x v="1"/>
    <x v="0"/>
    <s v=""/>
    <s v="Net 30"/>
    <d v="2025-07-30T00:00:00"/>
    <n v="27"/>
    <x v="3"/>
    <s v="Due"/>
  </r>
  <r>
    <s v="AP10081"/>
    <x v="4"/>
    <x v="78"/>
    <x v="5"/>
    <d v="2024-10-26T00:00:00"/>
    <x v="0"/>
    <n v="1877.7"/>
    <x v="0"/>
    <n v="0"/>
    <x v="29"/>
    <x v="0"/>
    <s v=""/>
    <s v="Net 30"/>
    <d v="2025-07-30T00:00:00"/>
    <n v="277"/>
    <x v="0"/>
    <s v="Due"/>
  </r>
  <r>
    <s v="AP10082"/>
    <x v="3"/>
    <x v="79"/>
    <x v="6"/>
    <d v="2024-07-15T00:00:00"/>
    <x v="1"/>
    <n v="791.37"/>
    <x v="1"/>
    <n v="0"/>
    <x v="1"/>
    <x v="0"/>
    <s v=""/>
    <s v="Net 30"/>
    <d v="2025-07-30T00:00:00"/>
    <n v="380"/>
    <x v="0"/>
    <s v="Due"/>
  </r>
  <r>
    <s v="AP10083"/>
    <x v="2"/>
    <x v="80"/>
    <x v="1"/>
    <d v="2024-06-10T00:00:00"/>
    <x v="3"/>
    <n v="1927.05"/>
    <x v="1"/>
    <n v="0"/>
    <x v="1"/>
    <x v="0"/>
    <s v=""/>
    <s v="Net 30"/>
    <d v="2025-07-30T00:00:00"/>
    <n v="415"/>
    <x v="0"/>
    <s v="Due"/>
  </r>
  <r>
    <s v="AP10084"/>
    <x v="2"/>
    <x v="81"/>
    <x v="11"/>
    <d v="2023-07-05T00:00:00"/>
    <x v="3"/>
    <n v="1169.93"/>
    <x v="0"/>
    <n v="0"/>
    <x v="30"/>
    <x v="0"/>
    <s v=""/>
    <s v="Net 30"/>
    <d v="2025-07-30T00:00:00"/>
    <n v="756"/>
    <x v="0"/>
    <s v="Due"/>
  </r>
  <r>
    <s v="AP10085"/>
    <x v="4"/>
    <x v="82"/>
    <x v="24"/>
    <d v="2025-07-12T00:00:00"/>
    <x v="2"/>
    <n v="899.95"/>
    <x v="0"/>
    <n v="0"/>
    <x v="31"/>
    <x v="0"/>
    <s v=""/>
    <s v="Net 30"/>
    <d v="2025-07-30T00:00:00"/>
    <n v="18"/>
    <x v="3"/>
    <s v="Due"/>
  </r>
  <r>
    <s v="AP10086"/>
    <x v="4"/>
    <x v="83"/>
    <x v="14"/>
    <d v="2023-08-03T00:00:00"/>
    <x v="1"/>
    <n v="2486.21"/>
    <x v="2"/>
    <n v="2486.21"/>
    <x v="5"/>
    <x v="28"/>
    <s v="2023-Aug"/>
    <s v="Net 30"/>
    <d v="2025-07-30T00:00:00"/>
    <n v="0"/>
    <x v="1"/>
    <s v="Not Due"/>
  </r>
  <r>
    <s v="AP10087"/>
    <x v="4"/>
    <x v="84"/>
    <x v="6"/>
    <d v="2024-07-13T00:00:00"/>
    <x v="1"/>
    <n v="2376"/>
    <x v="2"/>
    <n v="2376"/>
    <x v="5"/>
    <x v="29"/>
    <s v="2024-Jul"/>
    <s v="Net 30"/>
    <d v="2025-07-30T00:00:00"/>
    <n v="0"/>
    <x v="1"/>
    <s v="Not Due"/>
  </r>
  <r>
    <s v="AP10088"/>
    <x v="4"/>
    <x v="85"/>
    <x v="13"/>
    <d v="2025-04-20T00:00:00"/>
    <x v="0"/>
    <n v="2180.4699999999998"/>
    <x v="0"/>
    <n v="0"/>
    <x v="32"/>
    <x v="0"/>
    <s v=""/>
    <s v="Net 30"/>
    <d v="2025-07-30T00:00:00"/>
    <n v="101"/>
    <x v="0"/>
    <s v="Due"/>
  </r>
  <r>
    <s v="AP10089"/>
    <x v="4"/>
    <x v="86"/>
    <x v="29"/>
    <d v="2024-09-15T00:00:00"/>
    <x v="2"/>
    <n v="417.82"/>
    <x v="0"/>
    <n v="0"/>
    <x v="33"/>
    <x v="0"/>
    <s v=""/>
    <s v="Net 30"/>
    <d v="2025-07-30T00:00:00"/>
    <n v="318"/>
    <x v="0"/>
    <s v="Due"/>
  </r>
  <r>
    <s v="AP10090"/>
    <x v="4"/>
    <x v="87"/>
    <x v="26"/>
    <d v="2024-05-21T00:00:00"/>
    <x v="4"/>
    <n v="151.91"/>
    <x v="1"/>
    <n v="0"/>
    <x v="1"/>
    <x v="0"/>
    <s v=""/>
    <s v="Net 30"/>
    <d v="2025-07-30T00:00:00"/>
    <n v="435"/>
    <x v="0"/>
    <s v="Due"/>
  </r>
  <r>
    <s v="AP10091"/>
    <x v="4"/>
    <x v="88"/>
    <x v="23"/>
    <d v="2023-03-11T00:00:00"/>
    <x v="0"/>
    <n v="2389.36"/>
    <x v="0"/>
    <n v="0"/>
    <x v="34"/>
    <x v="0"/>
    <s v=""/>
    <s v="Net 30"/>
    <d v="2025-07-30T00:00:00"/>
    <n v="872"/>
    <x v="0"/>
    <s v="Due"/>
  </r>
  <r>
    <s v="AP10092"/>
    <x v="4"/>
    <x v="89"/>
    <x v="9"/>
    <d v="2023-06-24T00:00:00"/>
    <x v="4"/>
    <n v="2944.92"/>
    <x v="0"/>
    <n v="0"/>
    <x v="35"/>
    <x v="0"/>
    <s v=""/>
    <s v="Net 30"/>
    <d v="2025-07-30T00:00:00"/>
    <n v="767"/>
    <x v="0"/>
    <s v="Due"/>
  </r>
  <r>
    <s v="AP10093"/>
    <x v="3"/>
    <x v="90"/>
    <x v="17"/>
    <d v="2023-11-27T00:00:00"/>
    <x v="4"/>
    <n v="950.75"/>
    <x v="0"/>
    <n v="0"/>
    <x v="36"/>
    <x v="0"/>
    <s v=""/>
    <s v="Net 30"/>
    <d v="2025-07-30T00:00:00"/>
    <n v="611"/>
    <x v="0"/>
    <s v="Due"/>
  </r>
  <r>
    <s v="AP10094"/>
    <x v="0"/>
    <x v="91"/>
    <x v="11"/>
    <d v="2023-07-11T00:00:00"/>
    <x v="4"/>
    <n v="3026.49"/>
    <x v="2"/>
    <n v="3026.49"/>
    <x v="5"/>
    <x v="30"/>
    <s v="2023-Jul"/>
    <s v="Net 30"/>
    <d v="2025-07-30T00:00:00"/>
    <n v="0"/>
    <x v="1"/>
    <s v="Not Due"/>
  </r>
  <r>
    <s v="AP10095"/>
    <x v="1"/>
    <x v="92"/>
    <x v="1"/>
    <d v="2024-06-13T00:00:00"/>
    <x v="1"/>
    <n v="3468.57"/>
    <x v="0"/>
    <n v="0"/>
    <x v="37"/>
    <x v="0"/>
    <s v=""/>
    <s v="Net 30"/>
    <d v="2025-07-30T00:00:00"/>
    <n v="412"/>
    <x v="0"/>
    <s v="Due"/>
  </r>
  <r>
    <s v="AP10096"/>
    <x v="1"/>
    <x v="93"/>
    <x v="1"/>
    <d v="2024-06-29T00:00:00"/>
    <x v="3"/>
    <n v="2179.34"/>
    <x v="2"/>
    <n v="2179.34"/>
    <x v="5"/>
    <x v="31"/>
    <s v="2024-Jun"/>
    <s v="Net 30"/>
    <d v="2025-07-30T00:00:00"/>
    <n v="0"/>
    <x v="1"/>
    <s v="Not Due"/>
  </r>
  <r>
    <s v="AP10097"/>
    <x v="2"/>
    <x v="94"/>
    <x v="2"/>
    <d v="2024-03-29T00:00:00"/>
    <x v="1"/>
    <n v="2107.2199999999998"/>
    <x v="0"/>
    <n v="0"/>
    <x v="38"/>
    <x v="0"/>
    <s v=""/>
    <s v="Net 30"/>
    <d v="2025-07-30T00:00:00"/>
    <n v="488"/>
    <x v="0"/>
    <s v="Due"/>
  </r>
  <r>
    <s v="AP10098"/>
    <x v="3"/>
    <x v="95"/>
    <x v="8"/>
    <d v="2024-11-02T00:00:00"/>
    <x v="1"/>
    <n v="3255.44"/>
    <x v="2"/>
    <n v="3255.44"/>
    <x v="5"/>
    <x v="32"/>
    <s v="2024-Nov"/>
    <s v="Net 30"/>
    <d v="2025-07-30T00:00:00"/>
    <n v="0"/>
    <x v="1"/>
    <s v="Not Due"/>
  </r>
  <r>
    <s v="AP10099"/>
    <x v="0"/>
    <x v="96"/>
    <x v="14"/>
    <d v="2023-08-26T00:00:00"/>
    <x v="0"/>
    <n v="4126.2700000000004"/>
    <x v="1"/>
    <n v="0"/>
    <x v="1"/>
    <x v="0"/>
    <s v=""/>
    <s v="Net 30"/>
    <d v="2025-07-30T00:00:00"/>
    <n v="704"/>
    <x v="0"/>
    <s v="Due"/>
  </r>
  <r>
    <s v="AP10100"/>
    <x v="3"/>
    <x v="97"/>
    <x v="5"/>
    <d v="2024-10-19T00:00:00"/>
    <x v="4"/>
    <n v="2595.7800000000002"/>
    <x v="0"/>
    <n v="0"/>
    <x v="39"/>
    <x v="0"/>
    <s v=""/>
    <s v="Net 30"/>
    <d v="2025-07-30T00:00:00"/>
    <n v="284"/>
    <x v="0"/>
    <s v="Due"/>
  </r>
  <r>
    <s v="AP10101"/>
    <x v="3"/>
    <x v="98"/>
    <x v="24"/>
    <d v="2025-07-30T00:00:00"/>
    <x v="3"/>
    <n v="3518.19"/>
    <x v="1"/>
    <n v="0"/>
    <x v="1"/>
    <x v="0"/>
    <s v=""/>
    <s v="Net 30"/>
    <d v="2025-07-30T00:00:00"/>
    <n v="0"/>
    <x v="5"/>
    <s v="Not Due"/>
  </r>
  <r>
    <s v="AP10102"/>
    <x v="1"/>
    <x v="21"/>
    <x v="0"/>
    <d v="2025-01-26T00:00:00"/>
    <x v="1"/>
    <n v="3504.25"/>
    <x v="0"/>
    <n v="0"/>
    <x v="40"/>
    <x v="0"/>
    <s v=""/>
    <s v="Net 30"/>
    <d v="2025-07-30T00:00:00"/>
    <n v="185"/>
    <x v="0"/>
    <s v="Due"/>
  </r>
  <r>
    <s v="AP10103"/>
    <x v="0"/>
    <x v="99"/>
    <x v="29"/>
    <d v="2024-09-28T00:00:00"/>
    <x v="0"/>
    <n v="4773.8"/>
    <x v="1"/>
    <n v="0"/>
    <x v="1"/>
    <x v="0"/>
    <s v=""/>
    <s v="Net 30"/>
    <d v="2025-07-30T00:00:00"/>
    <n v="305"/>
    <x v="0"/>
    <s v="Due"/>
  </r>
  <r>
    <s v="AP10104"/>
    <x v="0"/>
    <x v="66"/>
    <x v="23"/>
    <d v="2023-03-03T00:00:00"/>
    <x v="1"/>
    <n v="2287.0500000000002"/>
    <x v="2"/>
    <n v="2287.0500000000002"/>
    <x v="5"/>
    <x v="33"/>
    <s v="2023-Mar"/>
    <s v="Net 30"/>
    <d v="2025-07-30T00:00:00"/>
    <n v="0"/>
    <x v="1"/>
    <s v="Not Due"/>
  </r>
  <r>
    <s v="AP10105"/>
    <x v="3"/>
    <x v="100"/>
    <x v="20"/>
    <d v="2023-05-08T00:00:00"/>
    <x v="0"/>
    <n v="5410.94"/>
    <x v="1"/>
    <n v="0"/>
    <x v="1"/>
    <x v="0"/>
    <s v=""/>
    <s v="Net 30"/>
    <d v="2025-07-30T00:00:00"/>
    <n v="814"/>
    <x v="0"/>
    <s v="Due"/>
  </r>
  <r>
    <s v="AP10106"/>
    <x v="4"/>
    <x v="101"/>
    <x v="5"/>
    <d v="2024-10-17T00:00:00"/>
    <x v="2"/>
    <n v="5710.51"/>
    <x v="0"/>
    <n v="0"/>
    <x v="41"/>
    <x v="0"/>
    <s v=""/>
    <s v="Net 30"/>
    <d v="2025-07-30T00:00:00"/>
    <n v="286"/>
    <x v="0"/>
    <s v="Due"/>
  </r>
  <r>
    <s v="AP10107"/>
    <x v="4"/>
    <x v="102"/>
    <x v="10"/>
    <d v="2023-12-20T00:00:00"/>
    <x v="0"/>
    <n v="1736.78"/>
    <x v="2"/>
    <n v="1736.78"/>
    <x v="5"/>
    <x v="34"/>
    <s v="2023-Dec"/>
    <s v="Net 30"/>
    <d v="2025-07-30T00:00:00"/>
    <n v="0"/>
    <x v="1"/>
    <s v="Not Due"/>
  </r>
  <r>
    <s v="AP10108"/>
    <x v="0"/>
    <x v="103"/>
    <x v="2"/>
    <d v="2024-03-18T00:00:00"/>
    <x v="3"/>
    <n v="2302.71"/>
    <x v="2"/>
    <n v="2302.71"/>
    <x v="5"/>
    <x v="35"/>
    <s v="2024-Mar"/>
    <s v="Net 30"/>
    <d v="2025-07-30T00:00:00"/>
    <n v="0"/>
    <x v="1"/>
    <s v="Not Due"/>
  </r>
  <r>
    <s v="AP10109"/>
    <x v="3"/>
    <x v="104"/>
    <x v="22"/>
    <d v="2025-06-09T00:00:00"/>
    <x v="0"/>
    <n v="258.86"/>
    <x v="1"/>
    <n v="0"/>
    <x v="1"/>
    <x v="0"/>
    <s v=""/>
    <s v="Net 30"/>
    <d v="2025-07-30T00:00:00"/>
    <n v="51"/>
    <x v="2"/>
    <s v="Due"/>
  </r>
  <r>
    <s v="AP10110"/>
    <x v="3"/>
    <x v="105"/>
    <x v="18"/>
    <d v="2024-12-25T00:00:00"/>
    <x v="2"/>
    <n v="1619.24"/>
    <x v="0"/>
    <n v="0"/>
    <x v="42"/>
    <x v="0"/>
    <s v=""/>
    <s v="Net 30"/>
    <d v="2025-07-30T00:00:00"/>
    <n v="217"/>
    <x v="0"/>
    <s v="Due"/>
  </r>
  <r>
    <s v="AP10111"/>
    <x v="3"/>
    <x v="106"/>
    <x v="12"/>
    <d v="2024-01-12T00:00:00"/>
    <x v="1"/>
    <n v="2747.87"/>
    <x v="2"/>
    <n v="2747.87"/>
    <x v="5"/>
    <x v="36"/>
    <s v="2024-Jan"/>
    <s v="Net 30"/>
    <d v="2025-07-30T00:00:00"/>
    <n v="0"/>
    <x v="1"/>
    <s v="Not Due"/>
  </r>
  <r>
    <s v="AP10112"/>
    <x v="4"/>
    <x v="107"/>
    <x v="20"/>
    <d v="2023-05-12T00:00:00"/>
    <x v="3"/>
    <n v="945.2"/>
    <x v="1"/>
    <n v="0"/>
    <x v="1"/>
    <x v="0"/>
    <s v=""/>
    <s v="Net 30"/>
    <d v="2025-07-30T00:00:00"/>
    <n v="810"/>
    <x v="0"/>
    <s v="Due"/>
  </r>
  <r>
    <s v="AP10113"/>
    <x v="3"/>
    <x v="108"/>
    <x v="3"/>
    <d v="2024-02-19T00:00:00"/>
    <x v="1"/>
    <n v="1817.61"/>
    <x v="1"/>
    <n v="0"/>
    <x v="1"/>
    <x v="0"/>
    <s v=""/>
    <s v="Net 30"/>
    <d v="2025-07-30T00:00:00"/>
    <n v="527"/>
    <x v="0"/>
    <s v="Due"/>
  </r>
  <r>
    <s v="AP10114"/>
    <x v="4"/>
    <x v="109"/>
    <x v="18"/>
    <d v="2024-12-29T00:00:00"/>
    <x v="3"/>
    <n v="4131.71"/>
    <x v="1"/>
    <n v="0"/>
    <x v="1"/>
    <x v="0"/>
    <s v=""/>
    <s v="Net 30"/>
    <d v="2025-07-30T00:00:00"/>
    <n v="213"/>
    <x v="0"/>
    <s v="Due"/>
  </r>
  <r>
    <s v="AP10115"/>
    <x v="4"/>
    <x v="110"/>
    <x v="7"/>
    <d v="2024-04-18T00:00:00"/>
    <x v="1"/>
    <n v="806.06"/>
    <x v="0"/>
    <n v="0"/>
    <x v="43"/>
    <x v="0"/>
    <s v=""/>
    <s v="Net 30"/>
    <d v="2025-07-30T00:00:00"/>
    <n v="468"/>
    <x v="0"/>
    <s v="Due"/>
  </r>
  <r>
    <s v="AP10116"/>
    <x v="4"/>
    <x v="111"/>
    <x v="15"/>
    <d v="2023-10-24T00:00:00"/>
    <x v="1"/>
    <n v="3303.34"/>
    <x v="0"/>
    <n v="0"/>
    <x v="44"/>
    <x v="0"/>
    <s v=""/>
    <s v="Net 30"/>
    <d v="2025-07-30T00:00:00"/>
    <n v="645"/>
    <x v="0"/>
    <s v="Due"/>
  </r>
  <r>
    <s v="AP10117"/>
    <x v="4"/>
    <x v="112"/>
    <x v="23"/>
    <d v="2023-03-18T00:00:00"/>
    <x v="1"/>
    <n v="1093.23"/>
    <x v="0"/>
    <n v="0"/>
    <x v="45"/>
    <x v="0"/>
    <s v=""/>
    <s v="Net 30"/>
    <d v="2025-07-30T00:00:00"/>
    <n v="865"/>
    <x v="0"/>
    <s v="Due"/>
  </r>
  <r>
    <s v="AP10118"/>
    <x v="0"/>
    <x v="113"/>
    <x v="25"/>
    <d v="2023-09-13T00:00:00"/>
    <x v="1"/>
    <n v="3080.8"/>
    <x v="0"/>
    <n v="0"/>
    <x v="46"/>
    <x v="0"/>
    <s v=""/>
    <s v="Net 30"/>
    <d v="2025-07-30T00:00:00"/>
    <n v="686"/>
    <x v="0"/>
    <s v="Due"/>
  </r>
  <r>
    <s v="AP10119"/>
    <x v="1"/>
    <x v="114"/>
    <x v="19"/>
    <d v="2025-02-27T00:00:00"/>
    <x v="2"/>
    <n v="6090.2"/>
    <x v="1"/>
    <n v="0"/>
    <x v="1"/>
    <x v="0"/>
    <s v=""/>
    <s v="Net 30"/>
    <d v="2025-07-30T00:00:00"/>
    <n v="153"/>
    <x v="0"/>
    <s v="Due"/>
  </r>
  <r>
    <s v="AP10120"/>
    <x v="4"/>
    <x v="115"/>
    <x v="26"/>
    <d v="2024-05-30T00:00:00"/>
    <x v="2"/>
    <n v="1912.86"/>
    <x v="2"/>
    <n v="1912.86"/>
    <x v="5"/>
    <x v="37"/>
    <s v="2024-May"/>
    <s v="Net 30"/>
    <d v="2025-07-30T00:00:00"/>
    <n v="0"/>
    <x v="1"/>
    <s v="Not Due"/>
  </r>
  <r>
    <s v="AP10121"/>
    <x v="2"/>
    <x v="116"/>
    <x v="10"/>
    <d v="2023-12-23T00:00:00"/>
    <x v="0"/>
    <n v="3190.35"/>
    <x v="0"/>
    <n v="0"/>
    <x v="47"/>
    <x v="0"/>
    <s v=""/>
    <s v="Net 30"/>
    <d v="2025-07-30T00:00:00"/>
    <n v="585"/>
    <x v="0"/>
    <s v="Due"/>
  </r>
  <r>
    <s v="AP10122"/>
    <x v="0"/>
    <x v="117"/>
    <x v="13"/>
    <d v="2025-04-12T00:00:00"/>
    <x v="2"/>
    <n v="2845.52"/>
    <x v="1"/>
    <n v="0"/>
    <x v="1"/>
    <x v="0"/>
    <s v=""/>
    <s v="Net 30"/>
    <d v="2025-07-30T00:00:00"/>
    <n v="109"/>
    <x v="0"/>
    <s v="Due"/>
  </r>
  <r>
    <s v="AP10123"/>
    <x v="4"/>
    <x v="118"/>
    <x v="0"/>
    <d v="2025-01-20T00:00:00"/>
    <x v="2"/>
    <n v="2223.23"/>
    <x v="0"/>
    <n v="0"/>
    <x v="48"/>
    <x v="0"/>
    <s v=""/>
    <s v="Net 30"/>
    <d v="2025-07-30T00:00:00"/>
    <n v="191"/>
    <x v="0"/>
    <s v="Due"/>
  </r>
  <r>
    <s v="AP10124"/>
    <x v="1"/>
    <x v="119"/>
    <x v="17"/>
    <d v="2023-11-04T00:00:00"/>
    <x v="4"/>
    <n v="757.46"/>
    <x v="1"/>
    <n v="0"/>
    <x v="1"/>
    <x v="0"/>
    <s v=""/>
    <s v="Net 30"/>
    <d v="2025-07-30T00:00:00"/>
    <n v="634"/>
    <x v="0"/>
    <s v="Due"/>
  </r>
  <r>
    <s v="AP10125"/>
    <x v="1"/>
    <x v="120"/>
    <x v="15"/>
    <d v="2023-10-17T00:00:00"/>
    <x v="4"/>
    <n v="3019.21"/>
    <x v="0"/>
    <n v="0"/>
    <x v="49"/>
    <x v="0"/>
    <s v=""/>
    <s v="Net 30"/>
    <d v="2025-07-30T00:00:00"/>
    <n v="652"/>
    <x v="0"/>
    <s v="Due"/>
  </r>
  <r>
    <s v="AP10126"/>
    <x v="2"/>
    <x v="121"/>
    <x v="21"/>
    <d v="2023-02-13T00:00:00"/>
    <x v="3"/>
    <n v="2545.81"/>
    <x v="1"/>
    <n v="0"/>
    <x v="1"/>
    <x v="0"/>
    <s v=""/>
    <s v="Net 30"/>
    <d v="2025-07-30T00:00:00"/>
    <n v="898"/>
    <x v="0"/>
    <s v="Due"/>
  </r>
  <r>
    <s v="AP10127"/>
    <x v="3"/>
    <x v="122"/>
    <x v="26"/>
    <d v="2024-05-14T00:00:00"/>
    <x v="4"/>
    <n v="714.91"/>
    <x v="1"/>
    <n v="0"/>
    <x v="1"/>
    <x v="0"/>
    <s v=""/>
    <s v="Net 30"/>
    <d v="2025-07-30T00:00:00"/>
    <n v="442"/>
    <x v="0"/>
    <s v="Due"/>
  </r>
  <r>
    <s v="AP10128"/>
    <x v="3"/>
    <x v="123"/>
    <x v="11"/>
    <d v="2023-07-14T00:00:00"/>
    <x v="2"/>
    <n v="1133.93"/>
    <x v="1"/>
    <n v="0"/>
    <x v="1"/>
    <x v="0"/>
    <s v=""/>
    <s v="Net 30"/>
    <d v="2025-07-30T00:00:00"/>
    <n v="747"/>
    <x v="0"/>
    <s v="Due"/>
  </r>
  <r>
    <s v="AP10129"/>
    <x v="3"/>
    <x v="124"/>
    <x v="12"/>
    <d v="2024-01-25T00:00:00"/>
    <x v="3"/>
    <n v="2107.58"/>
    <x v="1"/>
    <n v="0"/>
    <x v="1"/>
    <x v="0"/>
    <s v=""/>
    <s v="Net 30"/>
    <d v="2025-07-30T00:00:00"/>
    <n v="552"/>
    <x v="0"/>
    <s v="Due"/>
  </r>
  <r>
    <s v="AP10130"/>
    <x v="4"/>
    <x v="125"/>
    <x v="22"/>
    <d v="2025-06-04T00:00:00"/>
    <x v="3"/>
    <n v="1874.69"/>
    <x v="0"/>
    <n v="0"/>
    <x v="50"/>
    <x v="0"/>
    <s v=""/>
    <s v="Net 30"/>
    <d v="2025-07-30T00:00:00"/>
    <n v="56"/>
    <x v="2"/>
    <s v="Due"/>
  </r>
  <r>
    <s v="AP10131"/>
    <x v="3"/>
    <x v="126"/>
    <x v="6"/>
    <d v="2024-07-28T00:00:00"/>
    <x v="0"/>
    <n v="5109.9799999999996"/>
    <x v="2"/>
    <n v="5109.9799999999996"/>
    <x v="5"/>
    <x v="38"/>
    <s v="2024-Jul"/>
    <s v="Net 30"/>
    <d v="2025-07-30T00:00:00"/>
    <n v="0"/>
    <x v="1"/>
    <s v="Not Due"/>
  </r>
  <r>
    <s v="AP10132"/>
    <x v="1"/>
    <x v="127"/>
    <x v="7"/>
    <d v="2024-04-13T00:00:00"/>
    <x v="1"/>
    <n v="90.42"/>
    <x v="1"/>
    <n v="0"/>
    <x v="1"/>
    <x v="0"/>
    <s v=""/>
    <s v="Net 30"/>
    <d v="2025-07-30T00:00:00"/>
    <n v="473"/>
    <x v="0"/>
    <s v="Due"/>
  </r>
  <r>
    <s v="AP10133"/>
    <x v="2"/>
    <x v="128"/>
    <x v="26"/>
    <d v="2024-05-10T00:00:00"/>
    <x v="4"/>
    <n v="899.55"/>
    <x v="0"/>
    <n v="0"/>
    <x v="51"/>
    <x v="0"/>
    <s v=""/>
    <s v="Net 30"/>
    <d v="2025-07-30T00:00:00"/>
    <n v="446"/>
    <x v="0"/>
    <s v="Due"/>
  </r>
  <r>
    <s v="AP10134"/>
    <x v="2"/>
    <x v="129"/>
    <x v="0"/>
    <d v="2025-01-04T00:00:00"/>
    <x v="0"/>
    <n v="5749.55"/>
    <x v="0"/>
    <n v="0"/>
    <x v="52"/>
    <x v="0"/>
    <s v=""/>
    <s v="Net 30"/>
    <d v="2025-07-30T00:00:00"/>
    <n v="207"/>
    <x v="0"/>
    <s v="Due"/>
  </r>
  <r>
    <s v="AP10135"/>
    <x v="0"/>
    <x v="130"/>
    <x v="7"/>
    <d v="2024-04-29T00:00:00"/>
    <x v="4"/>
    <n v="1712.3"/>
    <x v="2"/>
    <n v="1712.3"/>
    <x v="5"/>
    <x v="39"/>
    <s v="2024-Apr"/>
    <s v="Net 30"/>
    <d v="2025-07-30T00:00:00"/>
    <n v="0"/>
    <x v="1"/>
    <s v="Not Due"/>
  </r>
  <r>
    <s v="AP10136"/>
    <x v="0"/>
    <x v="131"/>
    <x v="12"/>
    <d v="2024-01-04T00:00:00"/>
    <x v="1"/>
    <n v="2911.5"/>
    <x v="2"/>
    <n v="2911.5"/>
    <x v="5"/>
    <x v="40"/>
    <s v="2024-Jan"/>
    <s v="Net 30"/>
    <d v="2025-07-30T00:00:00"/>
    <n v="0"/>
    <x v="1"/>
    <s v="Not Due"/>
  </r>
  <r>
    <s v="AP10137"/>
    <x v="4"/>
    <x v="132"/>
    <x v="4"/>
    <d v="2024-08-20T00:00:00"/>
    <x v="4"/>
    <n v="2823.09"/>
    <x v="2"/>
    <n v="2823.09"/>
    <x v="5"/>
    <x v="41"/>
    <s v="2024-Aug"/>
    <s v="Net 30"/>
    <d v="2025-07-30T00:00:00"/>
    <n v="0"/>
    <x v="1"/>
    <s v="Not Due"/>
  </r>
  <r>
    <s v="AP10138"/>
    <x v="4"/>
    <x v="133"/>
    <x v="15"/>
    <d v="2023-10-05T00:00:00"/>
    <x v="2"/>
    <n v="4589.24"/>
    <x v="2"/>
    <n v="4589.24"/>
    <x v="5"/>
    <x v="42"/>
    <s v="2023-Oct"/>
    <s v="Net 30"/>
    <d v="2025-07-30T00:00:00"/>
    <n v="0"/>
    <x v="1"/>
    <s v="Not Due"/>
  </r>
  <r>
    <s v="AP10139"/>
    <x v="3"/>
    <x v="134"/>
    <x v="0"/>
    <d v="2025-01-11T00:00:00"/>
    <x v="0"/>
    <n v="4572.84"/>
    <x v="1"/>
    <n v="0"/>
    <x v="1"/>
    <x v="0"/>
    <s v=""/>
    <s v="Net 30"/>
    <d v="2025-07-30T00:00:00"/>
    <n v="200"/>
    <x v="0"/>
    <s v="Due"/>
  </r>
  <r>
    <s v="AP10140"/>
    <x v="3"/>
    <x v="135"/>
    <x v="26"/>
    <d v="2024-05-18T00:00:00"/>
    <x v="1"/>
    <n v="3099.08"/>
    <x v="0"/>
    <n v="0"/>
    <x v="53"/>
    <x v="0"/>
    <s v=""/>
    <s v="Net 30"/>
    <d v="2025-07-30T00:00:00"/>
    <n v="438"/>
    <x v="0"/>
    <s v="Due"/>
  </r>
  <r>
    <s v="AP10141"/>
    <x v="1"/>
    <x v="136"/>
    <x v="24"/>
    <d v="2025-07-19T00:00:00"/>
    <x v="3"/>
    <n v="3350.66"/>
    <x v="1"/>
    <n v="0"/>
    <x v="1"/>
    <x v="0"/>
    <s v=""/>
    <s v="Net 30"/>
    <d v="2025-07-30T00:00:00"/>
    <n v="11"/>
    <x v="3"/>
    <s v="Due"/>
  </r>
  <r>
    <s v="AP10142"/>
    <x v="4"/>
    <x v="137"/>
    <x v="9"/>
    <d v="2023-06-27T00:00:00"/>
    <x v="3"/>
    <n v="4762.47"/>
    <x v="1"/>
    <n v="0"/>
    <x v="1"/>
    <x v="0"/>
    <s v=""/>
    <s v="Net 30"/>
    <d v="2025-07-30T00:00:00"/>
    <n v="764"/>
    <x v="0"/>
    <s v="Due"/>
  </r>
  <r>
    <s v="AP10143"/>
    <x v="4"/>
    <x v="138"/>
    <x v="25"/>
    <d v="2023-08-31T00:00:00"/>
    <x v="4"/>
    <n v="1144.3"/>
    <x v="0"/>
    <n v="0"/>
    <x v="54"/>
    <x v="0"/>
    <s v=""/>
    <s v="Net 30"/>
    <d v="2025-07-30T00:00:00"/>
    <n v="699"/>
    <x v="0"/>
    <s v="Due"/>
  </r>
  <r>
    <s v="AP10144"/>
    <x v="2"/>
    <x v="139"/>
    <x v="6"/>
    <d v="2024-07-24T00:00:00"/>
    <x v="2"/>
    <n v="2998.06"/>
    <x v="1"/>
    <n v="0"/>
    <x v="1"/>
    <x v="0"/>
    <s v=""/>
    <s v="Net 30"/>
    <d v="2025-07-30T00:00:00"/>
    <n v="371"/>
    <x v="0"/>
    <s v="Due"/>
  </r>
  <r>
    <s v="AP10145"/>
    <x v="3"/>
    <x v="140"/>
    <x v="10"/>
    <d v="2023-12-28T00:00:00"/>
    <x v="2"/>
    <n v="3590.57"/>
    <x v="2"/>
    <n v="3590.57"/>
    <x v="5"/>
    <x v="43"/>
    <s v="2023-Dec"/>
    <s v="Net 30"/>
    <d v="2025-07-30T00:00:00"/>
    <n v="0"/>
    <x v="1"/>
    <s v="Not Due"/>
  </r>
  <r>
    <s v="AP10146"/>
    <x v="4"/>
    <x v="128"/>
    <x v="26"/>
    <d v="2024-05-10T00:00:00"/>
    <x v="1"/>
    <n v="1742.84"/>
    <x v="1"/>
    <n v="0"/>
    <x v="1"/>
    <x v="0"/>
    <s v=""/>
    <s v="Net 30"/>
    <d v="2025-07-30T00:00:00"/>
    <n v="446"/>
    <x v="0"/>
    <s v="Due"/>
  </r>
  <r>
    <s v="AP10147"/>
    <x v="3"/>
    <x v="141"/>
    <x v="25"/>
    <d v="2023-09-15T00:00:00"/>
    <x v="3"/>
    <n v="2803.47"/>
    <x v="1"/>
    <n v="0"/>
    <x v="1"/>
    <x v="0"/>
    <s v=""/>
    <s v="Net 30"/>
    <d v="2025-07-30T00:00:00"/>
    <n v="684"/>
    <x v="0"/>
    <s v="Due"/>
  </r>
  <r>
    <s v="AP10148"/>
    <x v="1"/>
    <x v="23"/>
    <x v="15"/>
    <d v="2023-10-30T00:00:00"/>
    <x v="0"/>
    <n v="4319.8100000000004"/>
    <x v="1"/>
    <n v="0"/>
    <x v="1"/>
    <x v="0"/>
    <s v=""/>
    <s v="Net 30"/>
    <d v="2025-07-30T00:00:00"/>
    <n v="639"/>
    <x v="0"/>
    <s v="Due"/>
  </r>
  <r>
    <s v="AP10149"/>
    <x v="2"/>
    <x v="84"/>
    <x v="6"/>
    <d v="2024-07-13T00:00:00"/>
    <x v="4"/>
    <n v="3397.81"/>
    <x v="2"/>
    <n v="3397.81"/>
    <x v="5"/>
    <x v="29"/>
    <s v="2024-Jul"/>
    <s v="Net 30"/>
    <d v="2025-07-30T00:00:00"/>
    <n v="0"/>
    <x v="1"/>
    <s v="Not Due"/>
  </r>
  <r>
    <s v="AP10150"/>
    <x v="4"/>
    <x v="142"/>
    <x v="25"/>
    <d v="2023-09-05T00:00:00"/>
    <x v="3"/>
    <n v="1555.44"/>
    <x v="1"/>
    <n v="0"/>
    <x v="1"/>
    <x v="0"/>
    <s v=""/>
    <s v="Net 30"/>
    <d v="2025-07-30T00:00:00"/>
    <n v="694"/>
    <x v="0"/>
    <s v="Due"/>
  </r>
  <r>
    <s v="AP10151"/>
    <x v="2"/>
    <x v="143"/>
    <x v="26"/>
    <d v="2024-05-08T00:00:00"/>
    <x v="3"/>
    <n v="2731.15"/>
    <x v="2"/>
    <n v="2731.15"/>
    <x v="5"/>
    <x v="44"/>
    <s v="2024-May"/>
    <s v="Net 30"/>
    <d v="2025-07-30T00:00:00"/>
    <n v="0"/>
    <x v="1"/>
    <s v="Not Due"/>
  </r>
  <r>
    <s v="AP10152"/>
    <x v="0"/>
    <x v="144"/>
    <x v="18"/>
    <d v="2024-12-26T00:00:00"/>
    <x v="1"/>
    <n v="2599.5"/>
    <x v="1"/>
    <n v="0"/>
    <x v="1"/>
    <x v="0"/>
    <s v=""/>
    <s v="Net 30"/>
    <d v="2025-07-30T00:00:00"/>
    <n v="216"/>
    <x v="0"/>
    <s v="Due"/>
  </r>
  <r>
    <s v="AP10153"/>
    <x v="0"/>
    <x v="145"/>
    <x v="16"/>
    <d v="2023-04-04T00:00:00"/>
    <x v="0"/>
    <n v="1783.98"/>
    <x v="2"/>
    <n v="1783.98"/>
    <x v="5"/>
    <x v="45"/>
    <s v="2023-Apr"/>
    <s v="Net 30"/>
    <d v="2025-07-30T00:00:00"/>
    <n v="0"/>
    <x v="1"/>
    <s v="Not Due"/>
  </r>
  <r>
    <s v="AP10154"/>
    <x v="1"/>
    <x v="146"/>
    <x v="4"/>
    <d v="2024-08-01T00:00:00"/>
    <x v="3"/>
    <n v="3671.9"/>
    <x v="0"/>
    <n v="0"/>
    <x v="55"/>
    <x v="0"/>
    <s v=""/>
    <s v="Net 30"/>
    <d v="2025-07-30T00:00:00"/>
    <n v="363"/>
    <x v="0"/>
    <s v="Due"/>
  </r>
  <r>
    <s v="AP10155"/>
    <x v="2"/>
    <x v="147"/>
    <x v="2"/>
    <d v="2024-03-24T00:00:00"/>
    <x v="3"/>
    <n v="249.12"/>
    <x v="0"/>
    <n v="0"/>
    <x v="56"/>
    <x v="0"/>
    <s v=""/>
    <s v="Net 30"/>
    <d v="2025-07-30T00:00:00"/>
    <n v="493"/>
    <x v="0"/>
    <s v="Due"/>
  </r>
  <r>
    <s v="AP10156"/>
    <x v="3"/>
    <x v="148"/>
    <x v="8"/>
    <d v="2024-11-01T00:00:00"/>
    <x v="0"/>
    <n v="1452.58"/>
    <x v="1"/>
    <n v="0"/>
    <x v="1"/>
    <x v="0"/>
    <s v=""/>
    <s v="Net 30"/>
    <d v="2025-07-30T00:00:00"/>
    <n v="271"/>
    <x v="0"/>
    <s v="Due"/>
  </r>
  <r>
    <s v="AP10157"/>
    <x v="3"/>
    <x v="15"/>
    <x v="11"/>
    <d v="2023-07-04T00:00:00"/>
    <x v="3"/>
    <n v="4374.63"/>
    <x v="1"/>
    <n v="0"/>
    <x v="1"/>
    <x v="0"/>
    <s v=""/>
    <s v="Net 30"/>
    <d v="2025-07-30T00:00:00"/>
    <n v="757"/>
    <x v="0"/>
    <s v="Due"/>
  </r>
  <r>
    <s v="AP10158"/>
    <x v="3"/>
    <x v="149"/>
    <x v="20"/>
    <d v="2023-05-28T00:00:00"/>
    <x v="0"/>
    <n v="4297.9399999999996"/>
    <x v="1"/>
    <n v="0"/>
    <x v="1"/>
    <x v="0"/>
    <s v=""/>
    <s v="Net 30"/>
    <d v="2025-07-30T00:00:00"/>
    <n v="794"/>
    <x v="0"/>
    <s v="Due"/>
  </r>
  <r>
    <s v="AP10159"/>
    <x v="3"/>
    <x v="150"/>
    <x v="1"/>
    <d v="2024-06-30T00:00:00"/>
    <x v="4"/>
    <n v="3035.26"/>
    <x v="2"/>
    <n v="3035.26"/>
    <x v="5"/>
    <x v="46"/>
    <s v="2024-Jun"/>
    <s v="Net 30"/>
    <d v="2025-07-30T00:00:00"/>
    <n v="0"/>
    <x v="1"/>
    <s v="Not Due"/>
  </r>
  <r>
    <s v="AP10160"/>
    <x v="1"/>
    <x v="119"/>
    <x v="17"/>
    <d v="2023-11-04T00:00:00"/>
    <x v="1"/>
    <n v="3351.78"/>
    <x v="0"/>
    <n v="0"/>
    <x v="57"/>
    <x v="0"/>
    <s v=""/>
    <s v="Net 30"/>
    <d v="2025-07-30T00:00:00"/>
    <n v="634"/>
    <x v="0"/>
    <s v="Due"/>
  </r>
  <r>
    <s v="AP10161"/>
    <x v="0"/>
    <x v="151"/>
    <x v="13"/>
    <d v="2025-04-17T00:00:00"/>
    <x v="4"/>
    <n v="2576.7800000000002"/>
    <x v="1"/>
    <n v="0"/>
    <x v="1"/>
    <x v="0"/>
    <s v=""/>
    <s v="Net 30"/>
    <d v="2025-07-30T00:00:00"/>
    <n v="104"/>
    <x v="0"/>
    <s v="Due"/>
  </r>
  <r>
    <s v="AP10162"/>
    <x v="4"/>
    <x v="152"/>
    <x v="2"/>
    <d v="2024-03-04T00:00:00"/>
    <x v="4"/>
    <n v="2582.7800000000002"/>
    <x v="1"/>
    <n v="0"/>
    <x v="1"/>
    <x v="0"/>
    <s v=""/>
    <s v="Net 30"/>
    <d v="2025-07-30T00:00:00"/>
    <n v="513"/>
    <x v="0"/>
    <s v="Due"/>
  </r>
  <r>
    <s v="AP10163"/>
    <x v="4"/>
    <x v="153"/>
    <x v="8"/>
    <d v="2024-11-20T00:00:00"/>
    <x v="1"/>
    <n v="1738.14"/>
    <x v="1"/>
    <n v="0"/>
    <x v="1"/>
    <x v="0"/>
    <s v=""/>
    <s v="Net 30"/>
    <d v="2025-07-30T00:00:00"/>
    <n v="252"/>
    <x v="0"/>
    <s v="Due"/>
  </r>
  <r>
    <s v="AP10164"/>
    <x v="4"/>
    <x v="154"/>
    <x v="20"/>
    <d v="2023-05-01T00:00:00"/>
    <x v="1"/>
    <n v="469.14"/>
    <x v="1"/>
    <n v="0"/>
    <x v="1"/>
    <x v="0"/>
    <s v=""/>
    <s v="Net 30"/>
    <d v="2025-07-30T00:00:00"/>
    <n v="821"/>
    <x v="0"/>
    <s v="Due"/>
  </r>
  <r>
    <s v="AP10165"/>
    <x v="2"/>
    <x v="155"/>
    <x v="5"/>
    <d v="2024-10-14T00:00:00"/>
    <x v="1"/>
    <n v="103.85"/>
    <x v="2"/>
    <n v="103.85"/>
    <x v="5"/>
    <x v="47"/>
    <s v="2024-Oct"/>
    <s v="Net 30"/>
    <d v="2025-07-30T00:00:00"/>
    <n v="0"/>
    <x v="1"/>
    <s v="Not Due"/>
  </r>
  <r>
    <s v="AP10166"/>
    <x v="3"/>
    <x v="156"/>
    <x v="24"/>
    <d v="2025-07-05T00:00:00"/>
    <x v="3"/>
    <n v="1041.99"/>
    <x v="0"/>
    <n v="0"/>
    <x v="58"/>
    <x v="0"/>
    <s v=""/>
    <s v="Net 30"/>
    <d v="2025-07-30T00:00:00"/>
    <n v="25"/>
    <x v="3"/>
    <s v="Due"/>
  </r>
  <r>
    <s v="AP10167"/>
    <x v="0"/>
    <x v="91"/>
    <x v="11"/>
    <d v="2023-07-11T00:00:00"/>
    <x v="1"/>
    <n v="2040.37"/>
    <x v="0"/>
    <n v="0"/>
    <x v="59"/>
    <x v="0"/>
    <s v=""/>
    <s v="Net 30"/>
    <d v="2025-07-30T00:00:00"/>
    <n v="750"/>
    <x v="0"/>
    <s v="Due"/>
  </r>
  <r>
    <s v="AP10168"/>
    <x v="0"/>
    <x v="157"/>
    <x v="0"/>
    <d v="2025-01-10T00:00:00"/>
    <x v="2"/>
    <n v="4183.07"/>
    <x v="2"/>
    <n v="4183.07"/>
    <x v="5"/>
    <x v="48"/>
    <s v="2025-Jan"/>
    <s v="Net 30"/>
    <d v="2025-07-30T00:00:00"/>
    <n v="0"/>
    <x v="1"/>
    <s v="Not Due"/>
  </r>
  <r>
    <s v="AP10169"/>
    <x v="1"/>
    <x v="158"/>
    <x v="28"/>
    <d v="2025-05-01T00:00:00"/>
    <x v="4"/>
    <n v="2259.77"/>
    <x v="1"/>
    <n v="0"/>
    <x v="1"/>
    <x v="0"/>
    <s v=""/>
    <s v="Net 30"/>
    <d v="2025-07-30T00:00:00"/>
    <n v="90"/>
    <x v="4"/>
    <s v="Due"/>
  </r>
  <r>
    <s v="AP10170"/>
    <x v="4"/>
    <x v="159"/>
    <x v="20"/>
    <d v="2023-05-27T00:00:00"/>
    <x v="4"/>
    <n v="3526.27"/>
    <x v="2"/>
    <n v="3526.27"/>
    <x v="5"/>
    <x v="49"/>
    <s v="2023-May"/>
    <s v="Net 30"/>
    <d v="2025-07-30T00:00:00"/>
    <n v="0"/>
    <x v="1"/>
    <s v="Not Due"/>
  </r>
  <r>
    <s v="AP10171"/>
    <x v="0"/>
    <x v="160"/>
    <x v="0"/>
    <d v="2025-01-08T00:00:00"/>
    <x v="3"/>
    <n v="3205.33"/>
    <x v="1"/>
    <n v="0"/>
    <x v="1"/>
    <x v="0"/>
    <s v=""/>
    <s v="Net 30"/>
    <d v="2025-07-30T00:00:00"/>
    <n v="203"/>
    <x v="0"/>
    <s v="Due"/>
  </r>
  <r>
    <s v="AP10172"/>
    <x v="2"/>
    <x v="161"/>
    <x v="18"/>
    <d v="2024-12-09T00:00:00"/>
    <x v="3"/>
    <n v="1285.77"/>
    <x v="1"/>
    <n v="0"/>
    <x v="1"/>
    <x v="0"/>
    <s v=""/>
    <s v="Net 30"/>
    <d v="2025-07-30T00:00:00"/>
    <n v="233"/>
    <x v="0"/>
    <s v="Due"/>
  </r>
  <r>
    <s v="AP10173"/>
    <x v="0"/>
    <x v="162"/>
    <x v="24"/>
    <d v="2025-07-20T00:00:00"/>
    <x v="3"/>
    <n v="216.78"/>
    <x v="1"/>
    <n v="0"/>
    <x v="1"/>
    <x v="0"/>
    <s v=""/>
    <s v="Net 30"/>
    <d v="2025-07-30T00:00:00"/>
    <n v="10"/>
    <x v="3"/>
    <s v="Due"/>
  </r>
  <r>
    <s v="AP10174"/>
    <x v="4"/>
    <x v="145"/>
    <x v="16"/>
    <d v="2023-04-04T00:00:00"/>
    <x v="1"/>
    <n v="3258.22"/>
    <x v="1"/>
    <n v="0"/>
    <x v="1"/>
    <x v="0"/>
    <s v=""/>
    <s v="Net 30"/>
    <d v="2025-07-30T00:00:00"/>
    <n v="848"/>
    <x v="0"/>
    <s v="Due"/>
  </r>
  <r>
    <s v="AP10175"/>
    <x v="1"/>
    <x v="163"/>
    <x v="10"/>
    <d v="2023-12-11T00:00:00"/>
    <x v="4"/>
    <n v="3082.93"/>
    <x v="2"/>
    <n v="3082.93"/>
    <x v="5"/>
    <x v="50"/>
    <s v="2023-Dec"/>
    <s v="Net 30"/>
    <d v="2025-07-30T00:00:00"/>
    <n v="0"/>
    <x v="1"/>
    <s v="Not Due"/>
  </r>
  <r>
    <s v="AP10176"/>
    <x v="0"/>
    <x v="164"/>
    <x v="5"/>
    <d v="2024-10-29T00:00:00"/>
    <x v="1"/>
    <n v="267.47000000000003"/>
    <x v="2"/>
    <n v="267.47000000000003"/>
    <x v="5"/>
    <x v="51"/>
    <s v="2024-Oct"/>
    <s v="Net 30"/>
    <d v="2025-07-30T00:00:00"/>
    <n v="0"/>
    <x v="1"/>
    <s v="Not Due"/>
  </r>
  <r>
    <s v="AP10177"/>
    <x v="3"/>
    <x v="165"/>
    <x v="6"/>
    <d v="2024-07-10T00:00:00"/>
    <x v="0"/>
    <n v="3857.74"/>
    <x v="0"/>
    <n v="0"/>
    <x v="60"/>
    <x v="0"/>
    <s v=""/>
    <s v="Net 30"/>
    <d v="2025-07-30T00:00:00"/>
    <n v="385"/>
    <x v="0"/>
    <s v="Due"/>
  </r>
  <r>
    <s v="AP10178"/>
    <x v="2"/>
    <x v="116"/>
    <x v="10"/>
    <d v="2023-12-23T00:00:00"/>
    <x v="3"/>
    <n v="4616.42"/>
    <x v="2"/>
    <n v="4616.42"/>
    <x v="5"/>
    <x v="52"/>
    <s v="2023-Dec"/>
    <s v="Net 30"/>
    <d v="2025-07-30T00:00:00"/>
    <n v="0"/>
    <x v="1"/>
    <s v="Not Due"/>
  </r>
  <r>
    <s v="AP10179"/>
    <x v="2"/>
    <x v="166"/>
    <x v="16"/>
    <d v="2023-04-12T00:00:00"/>
    <x v="3"/>
    <n v="1731.08"/>
    <x v="0"/>
    <n v="0"/>
    <x v="61"/>
    <x v="0"/>
    <s v=""/>
    <s v="Net 30"/>
    <d v="2025-07-30T00:00:00"/>
    <n v="840"/>
    <x v="0"/>
    <s v="Due"/>
  </r>
  <r>
    <s v="AP10180"/>
    <x v="0"/>
    <x v="167"/>
    <x v="27"/>
    <d v="2025-03-07T00:00:00"/>
    <x v="1"/>
    <n v="2908.09"/>
    <x v="1"/>
    <n v="0"/>
    <x v="1"/>
    <x v="0"/>
    <s v=""/>
    <s v="Net 30"/>
    <d v="2025-07-30T00:00:00"/>
    <n v="145"/>
    <x v="0"/>
    <s v="Due"/>
  </r>
  <r>
    <s v="AP10181"/>
    <x v="4"/>
    <x v="168"/>
    <x v="4"/>
    <d v="2024-08-24T00:00:00"/>
    <x v="1"/>
    <n v="1278.28"/>
    <x v="2"/>
    <n v="1278.28"/>
    <x v="5"/>
    <x v="53"/>
    <s v="2024-Aug"/>
    <s v="Net 30"/>
    <d v="2025-07-30T00:00:00"/>
    <n v="0"/>
    <x v="1"/>
    <s v="Not Due"/>
  </r>
  <r>
    <s v="AP10182"/>
    <x v="1"/>
    <x v="6"/>
    <x v="0"/>
    <d v="2025-01-19T00:00:00"/>
    <x v="0"/>
    <n v="4821.58"/>
    <x v="2"/>
    <n v="4821.58"/>
    <x v="5"/>
    <x v="54"/>
    <s v="2025-Jan"/>
    <s v="Net 30"/>
    <d v="2025-07-30T00:00:00"/>
    <n v="0"/>
    <x v="1"/>
    <s v="Not Due"/>
  </r>
  <r>
    <s v="AP10183"/>
    <x v="2"/>
    <x v="169"/>
    <x v="28"/>
    <d v="2025-05-16T00:00:00"/>
    <x v="0"/>
    <n v="706.49"/>
    <x v="1"/>
    <n v="0"/>
    <x v="1"/>
    <x v="0"/>
    <s v=""/>
    <s v="Net 30"/>
    <d v="2025-07-30T00:00:00"/>
    <n v="75"/>
    <x v="4"/>
    <s v="Due"/>
  </r>
  <r>
    <s v="AP10184"/>
    <x v="4"/>
    <x v="170"/>
    <x v="23"/>
    <d v="2023-03-06T00:00:00"/>
    <x v="2"/>
    <n v="4740.26"/>
    <x v="0"/>
    <n v="0"/>
    <x v="62"/>
    <x v="0"/>
    <s v=""/>
    <s v="Net 30"/>
    <d v="2025-07-30T00:00:00"/>
    <n v="877"/>
    <x v="0"/>
    <s v="Due"/>
  </r>
  <r>
    <s v="AP10185"/>
    <x v="2"/>
    <x v="171"/>
    <x v="24"/>
    <d v="2025-07-22T00:00:00"/>
    <x v="1"/>
    <n v="589.59"/>
    <x v="0"/>
    <n v="0"/>
    <x v="63"/>
    <x v="0"/>
    <s v=""/>
    <s v="Net 30"/>
    <d v="2025-07-30T00:00:00"/>
    <n v="8"/>
    <x v="3"/>
    <s v="Due"/>
  </r>
  <r>
    <s v="AP10186"/>
    <x v="0"/>
    <x v="172"/>
    <x v="1"/>
    <d v="2024-06-01T00:00:00"/>
    <x v="2"/>
    <n v="2960.66"/>
    <x v="2"/>
    <n v="2960.66"/>
    <x v="5"/>
    <x v="55"/>
    <s v="2024-Jun"/>
    <s v="Net 30"/>
    <d v="2025-07-30T00:00:00"/>
    <n v="0"/>
    <x v="1"/>
    <s v="Not Due"/>
  </r>
  <r>
    <s v="AP10187"/>
    <x v="1"/>
    <x v="52"/>
    <x v="12"/>
    <d v="2024-01-18T00:00:00"/>
    <x v="3"/>
    <n v="4356.53"/>
    <x v="1"/>
    <n v="0"/>
    <x v="1"/>
    <x v="0"/>
    <s v=""/>
    <s v="Net 30"/>
    <d v="2025-07-30T00:00:00"/>
    <n v="559"/>
    <x v="0"/>
    <s v="Due"/>
  </r>
  <r>
    <s v="AP10188"/>
    <x v="0"/>
    <x v="173"/>
    <x v="26"/>
    <d v="2024-05-17T00:00:00"/>
    <x v="4"/>
    <n v="2091.1799999999998"/>
    <x v="0"/>
    <n v="0"/>
    <x v="64"/>
    <x v="0"/>
    <s v=""/>
    <s v="Net 30"/>
    <d v="2025-07-30T00:00:00"/>
    <n v="439"/>
    <x v="0"/>
    <s v="Due"/>
  </r>
  <r>
    <s v="AP10189"/>
    <x v="3"/>
    <x v="172"/>
    <x v="1"/>
    <d v="2024-06-01T00:00:00"/>
    <x v="1"/>
    <n v="679.37"/>
    <x v="2"/>
    <n v="679.37"/>
    <x v="5"/>
    <x v="55"/>
    <s v="2024-Jun"/>
    <s v="Net 30"/>
    <d v="2025-07-30T00:00:00"/>
    <n v="0"/>
    <x v="1"/>
    <s v="Not Due"/>
  </r>
  <r>
    <s v="AP10190"/>
    <x v="2"/>
    <x v="174"/>
    <x v="23"/>
    <d v="2023-03-19T00:00:00"/>
    <x v="4"/>
    <n v="3414.39"/>
    <x v="1"/>
    <n v="0"/>
    <x v="1"/>
    <x v="0"/>
    <s v=""/>
    <s v="Net 30"/>
    <d v="2025-07-30T00:00:00"/>
    <n v="864"/>
    <x v="0"/>
    <s v="Due"/>
  </r>
  <r>
    <s v="AP10191"/>
    <x v="3"/>
    <x v="175"/>
    <x v="27"/>
    <d v="2025-03-24T00:00:00"/>
    <x v="4"/>
    <n v="106.15"/>
    <x v="2"/>
    <n v="106.15"/>
    <x v="5"/>
    <x v="56"/>
    <s v="2025-Mar"/>
    <s v="Net 30"/>
    <d v="2025-07-30T00:00:00"/>
    <n v="0"/>
    <x v="1"/>
    <s v="Not Due"/>
  </r>
  <r>
    <s v="AP10192"/>
    <x v="4"/>
    <x v="176"/>
    <x v="24"/>
    <d v="2025-07-09T00:00:00"/>
    <x v="1"/>
    <n v="357.56"/>
    <x v="1"/>
    <n v="0"/>
    <x v="1"/>
    <x v="0"/>
    <s v=""/>
    <s v="Net 30"/>
    <d v="2025-07-30T00:00:00"/>
    <n v="21"/>
    <x v="3"/>
    <s v="Due"/>
  </r>
  <r>
    <s v="AP10193"/>
    <x v="3"/>
    <x v="177"/>
    <x v="9"/>
    <d v="2023-06-29T00:00:00"/>
    <x v="2"/>
    <n v="3394.11"/>
    <x v="1"/>
    <n v="0"/>
    <x v="1"/>
    <x v="0"/>
    <s v=""/>
    <s v="Net 30"/>
    <d v="2025-07-30T00:00:00"/>
    <n v="762"/>
    <x v="0"/>
    <s v="Due"/>
  </r>
  <r>
    <s v="AP10194"/>
    <x v="4"/>
    <x v="178"/>
    <x v="6"/>
    <d v="2024-07-11T00:00:00"/>
    <x v="1"/>
    <n v="1016.23"/>
    <x v="0"/>
    <n v="0"/>
    <x v="65"/>
    <x v="0"/>
    <s v=""/>
    <s v="Net 30"/>
    <d v="2025-07-30T00:00:00"/>
    <n v="384"/>
    <x v="0"/>
    <s v="Due"/>
  </r>
  <r>
    <s v="AP10195"/>
    <x v="4"/>
    <x v="179"/>
    <x v="13"/>
    <d v="2025-04-06T00:00:00"/>
    <x v="4"/>
    <n v="1894.45"/>
    <x v="1"/>
    <n v="0"/>
    <x v="1"/>
    <x v="0"/>
    <s v=""/>
    <s v="Net 30"/>
    <d v="2025-07-30T00:00:00"/>
    <n v="115"/>
    <x v="0"/>
    <s v="Due"/>
  </r>
  <r>
    <s v="AP10196"/>
    <x v="1"/>
    <x v="180"/>
    <x v="26"/>
    <d v="2024-05-02T00:00:00"/>
    <x v="2"/>
    <n v="4424.1400000000003"/>
    <x v="0"/>
    <n v="0"/>
    <x v="66"/>
    <x v="0"/>
    <s v=""/>
    <s v="Net 30"/>
    <d v="2025-07-30T00:00:00"/>
    <n v="454"/>
    <x v="0"/>
    <s v="Due"/>
  </r>
  <r>
    <s v="AP10197"/>
    <x v="0"/>
    <x v="181"/>
    <x v="15"/>
    <d v="2023-10-21T00:00:00"/>
    <x v="3"/>
    <n v="392.7"/>
    <x v="2"/>
    <n v="392.7"/>
    <x v="5"/>
    <x v="57"/>
    <s v="2023-Oct"/>
    <s v="Net 30"/>
    <d v="2025-07-30T00:00:00"/>
    <n v="0"/>
    <x v="1"/>
    <s v="Not Due"/>
  </r>
  <r>
    <s v="AP10198"/>
    <x v="1"/>
    <x v="182"/>
    <x v="26"/>
    <d v="2024-05-06T00:00:00"/>
    <x v="3"/>
    <n v="4366.6499999999996"/>
    <x v="1"/>
    <n v="0"/>
    <x v="1"/>
    <x v="0"/>
    <s v=""/>
    <s v="Net 30"/>
    <d v="2025-07-30T00:00:00"/>
    <n v="450"/>
    <x v="0"/>
    <s v="Due"/>
  </r>
  <r>
    <s v="AP10199"/>
    <x v="4"/>
    <x v="183"/>
    <x v="7"/>
    <d v="2024-04-20T00:00:00"/>
    <x v="0"/>
    <n v="1570.71"/>
    <x v="2"/>
    <n v="1570.71"/>
    <x v="5"/>
    <x v="58"/>
    <s v="2024-Apr"/>
    <s v="Net 30"/>
    <d v="2025-07-30T00:00:00"/>
    <n v="0"/>
    <x v="1"/>
    <s v="Not Due"/>
  </r>
  <r>
    <s v="AP10200"/>
    <x v="3"/>
    <x v="184"/>
    <x v="24"/>
    <d v="2025-07-29T00:00:00"/>
    <x v="2"/>
    <n v="5942.74"/>
    <x v="0"/>
    <n v="0"/>
    <x v="67"/>
    <x v="0"/>
    <s v=""/>
    <s v="Net 30"/>
    <d v="2025-07-30T00:00:00"/>
    <n v="1"/>
    <x v="3"/>
    <s v="Due"/>
  </r>
  <r>
    <s v="AP10201"/>
    <x v="3"/>
    <x v="185"/>
    <x v="10"/>
    <d v="2023-12-02T00:00:00"/>
    <x v="3"/>
    <n v="3414.97"/>
    <x v="2"/>
    <n v="3414.97"/>
    <x v="5"/>
    <x v="59"/>
    <s v="2023-Dec"/>
    <s v="Net 30"/>
    <d v="2025-07-30T00:00:00"/>
    <n v="0"/>
    <x v="1"/>
    <s v="Not Due"/>
  </r>
  <r>
    <s v="AP10202"/>
    <x v="3"/>
    <x v="186"/>
    <x v="19"/>
    <d v="2025-02-07T00:00:00"/>
    <x v="1"/>
    <n v="1188.79"/>
    <x v="2"/>
    <n v="1188.79"/>
    <x v="5"/>
    <x v="60"/>
    <s v="2025-Feb"/>
    <s v="Net 30"/>
    <d v="2025-07-30T00:00:00"/>
    <n v="0"/>
    <x v="1"/>
    <s v="Not Due"/>
  </r>
  <r>
    <s v="AP10203"/>
    <x v="1"/>
    <x v="187"/>
    <x v="13"/>
    <d v="2025-04-10T00:00:00"/>
    <x v="0"/>
    <n v="3130.93"/>
    <x v="0"/>
    <n v="0"/>
    <x v="68"/>
    <x v="0"/>
    <s v=""/>
    <s v="Net 30"/>
    <d v="2025-07-30T00:00:00"/>
    <n v="111"/>
    <x v="0"/>
    <s v="Due"/>
  </r>
  <r>
    <s v="AP10204"/>
    <x v="2"/>
    <x v="188"/>
    <x v="21"/>
    <d v="2023-02-06T00:00:00"/>
    <x v="4"/>
    <n v="1574.05"/>
    <x v="1"/>
    <n v="0"/>
    <x v="1"/>
    <x v="0"/>
    <s v=""/>
    <s v="Net 30"/>
    <d v="2025-07-30T00:00:00"/>
    <n v="905"/>
    <x v="0"/>
    <s v="Due"/>
  </r>
  <r>
    <s v="AP10205"/>
    <x v="4"/>
    <x v="189"/>
    <x v="22"/>
    <d v="2025-06-27T00:00:00"/>
    <x v="3"/>
    <n v="3171.13"/>
    <x v="2"/>
    <n v="3171.13"/>
    <x v="5"/>
    <x v="61"/>
    <s v="2025-Jun"/>
    <s v="Net 30"/>
    <d v="2025-07-30T00:00:00"/>
    <n v="0"/>
    <x v="1"/>
    <s v="Not Due"/>
  </r>
  <r>
    <s v="AP10206"/>
    <x v="0"/>
    <x v="190"/>
    <x v="1"/>
    <d v="2024-06-24T00:00:00"/>
    <x v="0"/>
    <n v="2602.98"/>
    <x v="2"/>
    <n v="2602.98"/>
    <x v="5"/>
    <x v="62"/>
    <s v="2024-Jun"/>
    <s v="Net 30"/>
    <d v="2025-07-30T00:00:00"/>
    <n v="0"/>
    <x v="1"/>
    <s v="Not Due"/>
  </r>
  <r>
    <s v="AP10207"/>
    <x v="0"/>
    <x v="191"/>
    <x v="6"/>
    <d v="2024-07-02T00:00:00"/>
    <x v="3"/>
    <n v="4392.95"/>
    <x v="2"/>
    <n v="4392.95"/>
    <x v="5"/>
    <x v="63"/>
    <s v="2024-Jul"/>
    <s v="Net 30"/>
    <d v="2025-07-30T00:00:00"/>
    <n v="0"/>
    <x v="1"/>
    <s v="Not Due"/>
  </r>
  <r>
    <s v="AP10208"/>
    <x v="3"/>
    <x v="119"/>
    <x v="17"/>
    <d v="2023-11-04T00:00:00"/>
    <x v="0"/>
    <n v="890.81"/>
    <x v="2"/>
    <n v="890.81"/>
    <x v="5"/>
    <x v="64"/>
    <s v="2023-Nov"/>
    <s v="Net 30"/>
    <d v="2025-07-30T00:00:00"/>
    <n v="0"/>
    <x v="1"/>
    <s v="Not Due"/>
  </r>
  <r>
    <s v="AP10209"/>
    <x v="0"/>
    <x v="128"/>
    <x v="26"/>
    <d v="2024-05-10T00:00:00"/>
    <x v="3"/>
    <n v="4435.17"/>
    <x v="0"/>
    <n v="0"/>
    <x v="69"/>
    <x v="0"/>
    <s v=""/>
    <s v="Net 30"/>
    <d v="2025-07-30T00:00:00"/>
    <n v="446"/>
    <x v="0"/>
    <s v="Due"/>
  </r>
  <r>
    <s v="AP10210"/>
    <x v="0"/>
    <x v="192"/>
    <x v="21"/>
    <d v="2023-02-21T00:00:00"/>
    <x v="1"/>
    <n v="1896.59"/>
    <x v="0"/>
    <n v="0"/>
    <x v="70"/>
    <x v="0"/>
    <s v=""/>
    <s v="Net 30"/>
    <d v="2025-07-30T00:00:00"/>
    <n v="890"/>
    <x v="0"/>
    <s v="Due"/>
  </r>
  <r>
    <s v="AP10211"/>
    <x v="0"/>
    <x v="193"/>
    <x v="6"/>
    <d v="2024-07-17T00:00:00"/>
    <x v="3"/>
    <n v="4803.24"/>
    <x v="1"/>
    <n v="0"/>
    <x v="1"/>
    <x v="0"/>
    <s v=""/>
    <s v="Net 30"/>
    <d v="2025-07-30T00:00:00"/>
    <n v="378"/>
    <x v="0"/>
    <s v="Due"/>
  </r>
  <r>
    <s v="AP10212"/>
    <x v="1"/>
    <x v="194"/>
    <x v="4"/>
    <d v="2024-08-22T00:00:00"/>
    <x v="3"/>
    <n v="3007.22"/>
    <x v="2"/>
    <n v="3007.22"/>
    <x v="5"/>
    <x v="65"/>
    <s v="2024-Aug"/>
    <s v="Net 30"/>
    <d v="2025-07-30T00:00:00"/>
    <n v="0"/>
    <x v="1"/>
    <s v="Not Due"/>
  </r>
  <r>
    <s v="AP10213"/>
    <x v="0"/>
    <x v="195"/>
    <x v="27"/>
    <d v="2025-03-18T00:00:00"/>
    <x v="1"/>
    <n v="3559.28"/>
    <x v="0"/>
    <n v="0"/>
    <x v="71"/>
    <x v="0"/>
    <s v=""/>
    <s v="Net 30"/>
    <d v="2025-07-30T00:00:00"/>
    <n v="134"/>
    <x v="0"/>
    <s v="Due"/>
  </r>
  <r>
    <s v="AP10214"/>
    <x v="1"/>
    <x v="196"/>
    <x v="6"/>
    <d v="2024-07-06T00:00:00"/>
    <x v="0"/>
    <n v="1788.75"/>
    <x v="1"/>
    <n v="0"/>
    <x v="1"/>
    <x v="0"/>
    <s v=""/>
    <s v="Net 30"/>
    <d v="2025-07-30T00:00:00"/>
    <n v="389"/>
    <x v="0"/>
    <s v="Due"/>
  </r>
  <r>
    <s v="AP10215"/>
    <x v="1"/>
    <x v="197"/>
    <x v="4"/>
    <d v="2024-08-17T00:00:00"/>
    <x v="2"/>
    <n v="4047.47"/>
    <x v="1"/>
    <n v="0"/>
    <x v="1"/>
    <x v="0"/>
    <s v=""/>
    <s v="Net 30"/>
    <d v="2025-07-30T00:00:00"/>
    <n v="347"/>
    <x v="0"/>
    <s v="Due"/>
  </r>
  <r>
    <s v="AP10216"/>
    <x v="3"/>
    <x v="198"/>
    <x v="2"/>
    <d v="2024-03-05T00:00:00"/>
    <x v="2"/>
    <n v="1243.53"/>
    <x v="2"/>
    <n v="1243.53"/>
    <x v="5"/>
    <x v="66"/>
    <s v="2024-Mar"/>
    <s v="Net 30"/>
    <d v="2025-07-30T00:00:00"/>
    <n v="0"/>
    <x v="1"/>
    <s v="Not Due"/>
  </r>
  <r>
    <s v="AP10217"/>
    <x v="1"/>
    <x v="199"/>
    <x v="14"/>
    <d v="2023-08-01T00:00:00"/>
    <x v="2"/>
    <n v="4332.5600000000004"/>
    <x v="1"/>
    <n v="0"/>
    <x v="1"/>
    <x v="0"/>
    <s v=""/>
    <s v="Net 30"/>
    <d v="2025-07-30T00:00:00"/>
    <n v="729"/>
    <x v="0"/>
    <s v="Due"/>
  </r>
  <r>
    <s v="AP10218"/>
    <x v="2"/>
    <x v="200"/>
    <x v="1"/>
    <d v="2024-06-19T00:00:00"/>
    <x v="3"/>
    <n v="2307.79"/>
    <x v="1"/>
    <n v="0"/>
    <x v="1"/>
    <x v="0"/>
    <s v=""/>
    <s v="Net 30"/>
    <d v="2025-07-30T00:00:00"/>
    <n v="406"/>
    <x v="0"/>
    <s v="Due"/>
  </r>
  <r>
    <s v="AP10219"/>
    <x v="2"/>
    <x v="201"/>
    <x v="10"/>
    <d v="2023-12-21T00:00:00"/>
    <x v="0"/>
    <n v="3381.08"/>
    <x v="1"/>
    <n v="0"/>
    <x v="1"/>
    <x v="0"/>
    <s v=""/>
    <s v="Net 30"/>
    <d v="2025-07-30T00:00:00"/>
    <n v="587"/>
    <x v="0"/>
    <s v="Due"/>
  </r>
  <r>
    <s v="AP10220"/>
    <x v="2"/>
    <x v="200"/>
    <x v="1"/>
    <d v="2024-06-19T00:00:00"/>
    <x v="3"/>
    <n v="2565.02"/>
    <x v="1"/>
    <n v="0"/>
    <x v="1"/>
    <x v="0"/>
    <s v=""/>
    <s v="Net 30"/>
    <d v="2025-07-30T00:00:00"/>
    <n v="406"/>
    <x v="0"/>
    <s v="Due"/>
  </r>
  <r>
    <s v="AP10221"/>
    <x v="1"/>
    <x v="202"/>
    <x v="22"/>
    <d v="2025-06-12T00:00:00"/>
    <x v="3"/>
    <n v="2121.21"/>
    <x v="0"/>
    <n v="0"/>
    <x v="72"/>
    <x v="0"/>
    <s v=""/>
    <s v="Net 30"/>
    <d v="2025-07-30T00:00:00"/>
    <n v="48"/>
    <x v="2"/>
    <s v="Due"/>
  </r>
  <r>
    <s v="AP10222"/>
    <x v="1"/>
    <x v="158"/>
    <x v="28"/>
    <d v="2025-05-01T00:00:00"/>
    <x v="0"/>
    <n v="1483.33"/>
    <x v="0"/>
    <n v="0"/>
    <x v="73"/>
    <x v="0"/>
    <s v=""/>
    <s v="Net 30"/>
    <d v="2025-07-30T00:00:00"/>
    <n v="90"/>
    <x v="4"/>
    <s v="Due"/>
  </r>
  <r>
    <s v="AP10223"/>
    <x v="1"/>
    <x v="203"/>
    <x v="27"/>
    <d v="2025-03-25T00:00:00"/>
    <x v="4"/>
    <n v="2861.17"/>
    <x v="0"/>
    <n v="0"/>
    <x v="74"/>
    <x v="0"/>
    <s v=""/>
    <s v="Net 30"/>
    <d v="2025-07-30T00:00:00"/>
    <n v="127"/>
    <x v="0"/>
    <s v="Due"/>
  </r>
  <r>
    <s v="AP10224"/>
    <x v="0"/>
    <x v="204"/>
    <x v="8"/>
    <d v="2024-11-22T00:00:00"/>
    <x v="4"/>
    <n v="1742.71"/>
    <x v="0"/>
    <n v="0"/>
    <x v="75"/>
    <x v="0"/>
    <s v=""/>
    <s v="Net 30"/>
    <d v="2025-07-30T00:00:00"/>
    <n v="250"/>
    <x v="0"/>
    <s v="Due"/>
  </r>
  <r>
    <s v="AP10225"/>
    <x v="0"/>
    <x v="205"/>
    <x v="19"/>
    <d v="2025-03-02T00:00:00"/>
    <x v="0"/>
    <n v="2862.11"/>
    <x v="0"/>
    <n v="0"/>
    <x v="76"/>
    <x v="0"/>
    <s v=""/>
    <s v="Net 30"/>
    <d v="2025-07-30T00:00:00"/>
    <n v="150"/>
    <x v="0"/>
    <s v="Due"/>
  </r>
  <r>
    <s v="AP10226"/>
    <x v="0"/>
    <x v="206"/>
    <x v="14"/>
    <d v="2023-08-28T00:00:00"/>
    <x v="0"/>
    <n v="3323.65"/>
    <x v="2"/>
    <n v="3323.65"/>
    <x v="5"/>
    <x v="67"/>
    <s v="2023-Aug"/>
    <s v="Net 30"/>
    <d v="2025-07-30T00:00:00"/>
    <n v="0"/>
    <x v="1"/>
    <s v="Not Due"/>
  </r>
  <r>
    <s v="AP10227"/>
    <x v="1"/>
    <x v="207"/>
    <x v="3"/>
    <d v="2024-02-27T00:00:00"/>
    <x v="0"/>
    <n v="3398.83"/>
    <x v="0"/>
    <n v="0"/>
    <x v="77"/>
    <x v="0"/>
    <s v=""/>
    <s v="Net 30"/>
    <d v="2025-07-30T00:00:00"/>
    <n v="519"/>
    <x v="0"/>
    <s v="Due"/>
  </r>
  <r>
    <s v="AP10228"/>
    <x v="3"/>
    <x v="208"/>
    <x v="16"/>
    <d v="2023-04-11T00:00:00"/>
    <x v="3"/>
    <n v="328.97"/>
    <x v="2"/>
    <n v="328.97"/>
    <x v="5"/>
    <x v="68"/>
    <s v="2023-Apr"/>
    <s v="Net 30"/>
    <d v="2025-07-30T00:00:00"/>
    <n v="0"/>
    <x v="1"/>
    <s v="Not Due"/>
  </r>
  <r>
    <s v="AP10229"/>
    <x v="3"/>
    <x v="209"/>
    <x v="29"/>
    <d v="2024-09-18T00:00:00"/>
    <x v="3"/>
    <n v="1213.71"/>
    <x v="0"/>
    <n v="0"/>
    <x v="78"/>
    <x v="0"/>
    <s v=""/>
    <s v="Net 30"/>
    <d v="2025-07-30T00:00:00"/>
    <n v="315"/>
    <x v="0"/>
    <s v="Due"/>
  </r>
  <r>
    <s v="AP10230"/>
    <x v="2"/>
    <x v="210"/>
    <x v="28"/>
    <d v="2025-05-25T00:00:00"/>
    <x v="3"/>
    <n v="454.59"/>
    <x v="0"/>
    <n v="0"/>
    <x v="79"/>
    <x v="0"/>
    <s v=""/>
    <s v="Net 30"/>
    <d v="2025-07-30T00:00:00"/>
    <n v="66"/>
    <x v="4"/>
    <s v="Due"/>
  </r>
  <r>
    <s v="AP10231"/>
    <x v="2"/>
    <x v="211"/>
    <x v="20"/>
    <d v="2023-05-24T00:00:00"/>
    <x v="1"/>
    <n v="3088.98"/>
    <x v="2"/>
    <n v="3088.98"/>
    <x v="5"/>
    <x v="69"/>
    <s v="2023-May"/>
    <s v="Net 30"/>
    <d v="2025-07-30T00:00:00"/>
    <n v="0"/>
    <x v="1"/>
    <s v="Not Due"/>
  </r>
  <r>
    <s v="AP10232"/>
    <x v="0"/>
    <x v="212"/>
    <x v="29"/>
    <d v="2024-09-19T00:00:00"/>
    <x v="3"/>
    <n v="3048.16"/>
    <x v="0"/>
    <n v="0"/>
    <x v="80"/>
    <x v="0"/>
    <s v=""/>
    <s v="Net 30"/>
    <d v="2025-07-30T00:00:00"/>
    <n v="314"/>
    <x v="0"/>
    <s v="Due"/>
  </r>
  <r>
    <s v="AP10233"/>
    <x v="3"/>
    <x v="12"/>
    <x v="9"/>
    <d v="2023-06-18T00:00:00"/>
    <x v="4"/>
    <n v="3319.17"/>
    <x v="1"/>
    <n v="0"/>
    <x v="1"/>
    <x v="0"/>
    <s v=""/>
    <s v="Net 30"/>
    <d v="2025-07-30T00:00:00"/>
    <n v="773"/>
    <x v="0"/>
    <s v="Due"/>
  </r>
  <r>
    <s v="AP10234"/>
    <x v="0"/>
    <x v="213"/>
    <x v="3"/>
    <d v="2024-02-23T00:00:00"/>
    <x v="3"/>
    <n v="2206.77"/>
    <x v="0"/>
    <n v="0"/>
    <x v="81"/>
    <x v="0"/>
    <s v=""/>
    <s v="Net 30"/>
    <d v="2025-07-30T00:00:00"/>
    <n v="523"/>
    <x v="0"/>
    <s v="Due"/>
  </r>
  <r>
    <s v="AP10235"/>
    <x v="0"/>
    <x v="214"/>
    <x v="12"/>
    <d v="2024-01-08T00:00:00"/>
    <x v="3"/>
    <n v="1191.52"/>
    <x v="2"/>
    <n v="1191.52"/>
    <x v="5"/>
    <x v="70"/>
    <s v="2024-Jan"/>
    <s v="Net 30"/>
    <d v="2025-07-30T00:00:00"/>
    <n v="0"/>
    <x v="1"/>
    <s v="Not Due"/>
  </r>
  <r>
    <s v="AP10236"/>
    <x v="0"/>
    <x v="215"/>
    <x v="21"/>
    <d v="2023-02-11T00:00:00"/>
    <x v="1"/>
    <n v="1238.8800000000001"/>
    <x v="1"/>
    <n v="0"/>
    <x v="1"/>
    <x v="0"/>
    <s v=""/>
    <s v="Net 30"/>
    <d v="2025-07-30T00:00:00"/>
    <n v="900"/>
    <x v="0"/>
    <s v="Due"/>
  </r>
  <r>
    <s v="AP10237"/>
    <x v="1"/>
    <x v="216"/>
    <x v="21"/>
    <d v="2023-03-01T00:00:00"/>
    <x v="2"/>
    <n v="3099.83"/>
    <x v="2"/>
    <n v="3099.83"/>
    <x v="5"/>
    <x v="71"/>
    <s v="2023-Mar"/>
    <s v="Net 30"/>
    <d v="2025-07-30T00:00:00"/>
    <n v="0"/>
    <x v="1"/>
    <s v="Not Due"/>
  </r>
  <r>
    <s v="AP10238"/>
    <x v="2"/>
    <x v="217"/>
    <x v="7"/>
    <d v="2024-04-10T00:00:00"/>
    <x v="2"/>
    <n v="5197.8599999999997"/>
    <x v="0"/>
    <n v="0"/>
    <x v="82"/>
    <x v="0"/>
    <s v=""/>
    <s v="Net 30"/>
    <d v="2025-07-30T00:00:00"/>
    <n v="476"/>
    <x v="0"/>
    <s v="Due"/>
  </r>
  <r>
    <s v="AP10239"/>
    <x v="2"/>
    <x v="218"/>
    <x v="16"/>
    <d v="2023-04-22T00:00:00"/>
    <x v="4"/>
    <n v="3434.12"/>
    <x v="1"/>
    <n v="0"/>
    <x v="1"/>
    <x v="0"/>
    <s v=""/>
    <s v="Net 30"/>
    <d v="2025-07-30T00:00:00"/>
    <n v="830"/>
    <x v="0"/>
    <s v="Due"/>
  </r>
  <r>
    <s v="AP10240"/>
    <x v="2"/>
    <x v="219"/>
    <x v="4"/>
    <d v="2024-07-31T00:00:00"/>
    <x v="3"/>
    <n v="3536.61"/>
    <x v="1"/>
    <n v="0"/>
    <x v="1"/>
    <x v="0"/>
    <s v=""/>
    <s v="Net 30"/>
    <d v="2025-07-30T00:00:00"/>
    <n v="364"/>
    <x v="0"/>
    <s v="Due"/>
  </r>
  <r>
    <s v="AP10241"/>
    <x v="4"/>
    <x v="220"/>
    <x v="11"/>
    <d v="2023-07-10T00:00:00"/>
    <x v="0"/>
    <n v="5674.68"/>
    <x v="2"/>
    <n v="5674.68"/>
    <x v="5"/>
    <x v="72"/>
    <s v="2023-Jul"/>
    <s v="Net 30"/>
    <d v="2025-07-30T00:00:00"/>
    <n v="0"/>
    <x v="1"/>
    <s v="Not Due"/>
  </r>
  <r>
    <s v="AP10242"/>
    <x v="0"/>
    <x v="221"/>
    <x v="18"/>
    <d v="2024-12-22T00:00:00"/>
    <x v="4"/>
    <n v="2708.83"/>
    <x v="1"/>
    <n v="0"/>
    <x v="1"/>
    <x v="0"/>
    <s v=""/>
    <s v="Net 30"/>
    <d v="2025-07-30T00:00:00"/>
    <n v="220"/>
    <x v="0"/>
    <s v="Due"/>
  </r>
  <r>
    <s v="AP10243"/>
    <x v="0"/>
    <x v="222"/>
    <x v="20"/>
    <d v="2023-05-29T00:00:00"/>
    <x v="1"/>
    <n v="1412.78"/>
    <x v="1"/>
    <n v="0"/>
    <x v="1"/>
    <x v="0"/>
    <s v=""/>
    <s v="Net 30"/>
    <d v="2025-07-30T00:00:00"/>
    <n v="793"/>
    <x v="0"/>
    <s v="Due"/>
  </r>
  <r>
    <s v="AP10244"/>
    <x v="0"/>
    <x v="122"/>
    <x v="26"/>
    <d v="2024-05-14T00:00:00"/>
    <x v="4"/>
    <n v="3268.18"/>
    <x v="1"/>
    <n v="0"/>
    <x v="1"/>
    <x v="0"/>
    <s v=""/>
    <s v="Net 30"/>
    <d v="2025-07-30T00:00:00"/>
    <n v="442"/>
    <x v="0"/>
    <s v="Due"/>
  </r>
  <r>
    <s v="AP10245"/>
    <x v="2"/>
    <x v="223"/>
    <x v="17"/>
    <d v="2023-11-03T00:00:00"/>
    <x v="3"/>
    <n v="3118.33"/>
    <x v="1"/>
    <n v="0"/>
    <x v="1"/>
    <x v="0"/>
    <s v=""/>
    <s v="Net 30"/>
    <d v="2025-07-30T00:00:00"/>
    <n v="635"/>
    <x v="0"/>
    <s v="Due"/>
  </r>
  <r>
    <s v="AP10246"/>
    <x v="2"/>
    <x v="224"/>
    <x v="4"/>
    <d v="2024-08-29T00:00:00"/>
    <x v="1"/>
    <n v="3483.81"/>
    <x v="2"/>
    <n v="3483.81"/>
    <x v="5"/>
    <x v="73"/>
    <s v="2024-Aug"/>
    <s v="Net 30"/>
    <d v="2025-07-30T00:00:00"/>
    <n v="0"/>
    <x v="1"/>
    <s v="Not Due"/>
  </r>
  <r>
    <s v="AP10247"/>
    <x v="4"/>
    <x v="225"/>
    <x v="27"/>
    <d v="2025-03-26T00:00:00"/>
    <x v="4"/>
    <n v="2543.87"/>
    <x v="1"/>
    <n v="0"/>
    <x v="1"/>
    <x v="0"/>
    <s v=""/>
    <s v="Net 30"/>
    <d v="2025-07-30T00:00:00"/>
    <n v="126"/>
    <x v="0"/>
    <s v="Due"/>
  </r>
  <r>
    <s v="AP10248"/>
    <x v="2"/>
    <x v="226"/>
    <x v="9"/>
    <d v="2023-06-28T00:00:00"/>
    <x v="2"/>
    <n v="3783.17"/>
    <x v="2"/>
    <n v="3783.17"/>
    <x v="5"/>
    <x v="74"/>
    <s v="2023-Jun"/>
    <s v="Net 30"/>
    <d v="2025-07-30T00:00:00"/>
    <n v="0"/>
    <x v="1"/>
    <s v="Not Due"/>
  </r>
  <r>
    <s v="AP10249"/>
    <x v="1"/>
    <x v="227"/>
    <x v="22"/>
    <d v="2025-06-14T00:00:00"/>
    <x v="4"/>
    <n v="3385.32"/>
    <x v="0"/>
    <n v="0"/>
    <x v="83"/>
    <x v="0"/>
    <s v=""/>
    <s v="Net 30"/>
    <d v="2025-07-30T00:00:00"/>
    <n v="46"/>
    <x v="2"/>
    <s v="Due"/>
  </r>
  <r>
    <s v="AP10250"/>
    <x v="4"/>
    <x v="80"/>
    <x v="1"/>
    <d v="2024-06-10T00:00:00"/>
    <x v="4"/>
    <n v="2581.0300000000002"/>
    <x v="0"/>
    <n v="0"/>
    <x v="84"/>
    <x v="0"/>
    <s v=""/>
    <s v="Net 30"/>
    <d v="2025-07-30T00:00:00"/>
    <n v="415"/>
    <x v="0"/>
    <s v="Due"/>
  </r>
  <r>
    <s v="AP10251"/>
    <x v="0"/>
    <x v="228"/>
    <x v="7"/>
    <d v="2024-04-21T00:00:00"/>
    <x v="3"/>
    <n v="2609.4499999999998"/>
    <x v="2"/>
    <n v="2609.4499999999998"/>
    <x v="5"/>
    <x v="75"/>
    <s v="2024-Apr"/>
    <s v="Net 30"/>
    <d v="2025-07-30T00:00:00"/>
    <n v="0"/>
    <x v="1"/>
    <s v="Not Due"/>
  </r>
  <r>
    <s v="AP10252"/>
    <x v="0"/>
    <x v="229"/>
    <x v="16"/>
    <d v="2023-04-13T00:00:00"/>
    <x v="2"/>
    <n v="716.33"/>
    <x v="2"/>
    <n v="716.33"/>
    <x v="5"/>
    <x v="76"/>
    <s v="2023-Apr"/>
    <s v="Net 30"/>
    <d v="2025-07-30T00:00:00"/>
    <n v="0"/>
    <x v="1"/>
    <s v="Not Due"/>
  </r>
  <r>
    <s v="AP10253"/>
    <x v="3"/>
    <x v="230"/>
    <x v="11"/>
    <d v="2023-07-09T00:00:00"/>
    <x v="4"/>
    <n v="2666.51"/>
    <x v="1"/>
    <n v="0"/>
    <x v="1"/>
    <x v="0"/>
    <s v=""/>
    <s v="Net 30"/>
    <d v="2025-07-30T00:00:00"/>
    <n v="752"/>
    <x v="0"/>
    <s v="Due"/>
  </r>
  <r>
    <s v="AP10254"/>
    <x v="0"/>
    <x v="57"/>
    <x v="1"/>
    <d v="2024-06-27T00:00:00"/>
    <x v="4"/>
    <n v="917.3"/>
    <x v="0"/>
    <n v="0"/>
    <x v="85"/>
    <x v="0"/>
    <s v=""/>
    <s v="Net 30"/>
    <d v="2025-07-30T00:00:00"/>
    <n v="398"/>
    <x v="0"/>
    <s v="Due"/>
  </r>
  <r>
    <s v="AP10255"/>
    <x v="1"/>
    <x v="231"/>
    <x v="24"/>
    <d v="2025-07-07T00:00:00"/>
    <x v="0"/>
    <n v="1080.7"/>
    <x v="2"/>
    <n v="1080.7"/>
    <x v="5"/>
    <x v="77"/>
    <s v="2025-Jul"/>
    <s v="Net 30"/>
    <d v="2025-07-30T00:00:00"/>
    <n v="0"/>
    <x v="1"/>
    <s v="Not Due"/>
  </r>
  <r>
    <s v="AP10256"/>
    <x v="4"/>
    <x v="232"/>
    <x v="27"/>
    <d v="2025-03-09T00:00:00"/>
    <x v="2"/>
    <n v="4593.3"/>
    <x v="1"/>
    <n v="0"/>
    <x v="1"/>
    <x v="0"/>
    <s v=""/>
    <s v="Net 30"/>
    <d v="2025-07-30T00:00:00"/>
    <n v="143"/>
    <x v="0"/>
    <s v="Due"/>
  </r>
  <r>
    <s v="AP10257"/>
    <x v="4"/>
    <x v="233"/>
    <x v="21"/>
    <d v="2023-02-22T00:00:00"/>
    <x v="0"/>
    <n v="569.54"/>
    <x v="0"/>
    <n v="0"/>
    <x v="86"/>
    <x v="0"/>
    <s v=""/>
    <s v="Net 30"/>
    <d v="2025-07-30T00:00:00"/>
    <n v="889"/>
    <x v="0"/>
    <s v="Due"/>
  </r>
  <r>
    <s v="AP10258"/>
    <x v="1"/>
    <x v="234"/>
    <x v="10"/>
    <d v="2023-12-07T00:00:00"/>
    <x v="3"/>
    <n v="2309.52"/>
    <x v="1"/>
    <n v="0"/>
    <x v="1"/>
    <x v="0"/>
    <s v=""/>
    <s v="Net 30"/>
    <d v="2025-07-30T00:00:00"/>
    <n v="601"/>
    <x v="0"/>
    <s v="Due"/>
  </r>
  <r>
    <s v="AP10259"/>
    <x v="0"/>
    <x v="235"/>
    <x v="25"/>
    <d v="2023-09-27T00:00:00"/>
    <x v="1"/>
    <n v="1844.79"/>
    <x v="0"/>
    <n v="0"/>
    <x v="87"/>
    <x v="0"/>
    <s v=""/>
    <s v="Net 30"/>
    <d v="2025-07-30T00:00:00"/>
    <n v="672"/>
    <x v="0"/>
    <s v="Due"/>
  </r>
  <r>
    <s v="AP10260"/>
    <x v="2"/>
    <x v="228"/>
    <x v="7"/>
    <d v="2024-04-21T00:00:00"/>
    <x v="3"/>
    <n v="3084.27"/>
    <x v="2"/>
    <n v="3084.27"/>
    <x v="5"/>
    <x v="75"/>
    <s v="2024-Apr"/>
    <s v="Net 30"/>
    <d v="2025-07-30T00:00:00"/>
    <n v="0"/>
    <x v="1"/>
    <s v="Not Due"/>
  </r>
  <r>
    <s v="AP10261"/>
    <x v="0"/>
    <x v="167"/>
    <x v="27"/>
    <d v="2025-03-07T00:00:00"/>
    <x v="0"/>
    <n v="2592.61"/>
    <x v="2"/>
    <n v="2592.61"/>
    <x v="5"/>
    <x v="78"/>
    <s v="2025-Mar"/>
    <s v="Net 30"/>
    <d v="2025-07-30T00:00:00"/>
    <n v="0"/>
    <x v="1"/>
    <s v="Not Due"/>
  </r>
  <r>
    <s v="AP10262"/>
    <x v="3"/>
    <x v="236"/>
    <x v="3"/>
    <d v="2024-02-24T00:00:00"/>
    <x v="4"/>
    <n v="778.31"/>
    <x v="2"/>
    <n v="778.31"/>
    <x v="5"/>
    <x v="79"/>
    <s v="2024-Feb"/>
    <s v="Net 30"/>
    <d v="2025-07-30T00:00:00"/>
    <n v="0"/>
    <x v="1"/>
    <s v="Not Due"/>
  </r>
  <r>
    <s v="AP10263"/>
    <x v="2"/>
    <x v="237"/>
    <x v="11"/>
    <d v="2023-07-12T00:00:00"/>
    <x v="3"/>
    <n v="985.69"/>
    <x v="1"/>
    <n v="0"/>
    <x v="1"/>
    <x v="0"/>
    <s v=""/>
    <s v="Net 30"/>
    <d v="2025-07-30T00:00:00"/>
    <n v="749"/>
    <x v="0"/>
    <s v="Due"/>
  </r>
  <r>
    <s v="AP10264"/>
    <x v="0"/>
    <x v="227"/>
    <x v="22"/>
    <d v="2025-06-14T00:00:00"/>
    <x v="1"/>
    <n v="3250.47"/>
    <x v="1"/>
    <n v="0"/>
    <x v="1"/>
    <x v="0"/>
    <s v=""/>
    <s v="Net 30"/>
    <d v="2025-07-30T00:00:00"/>
    <n v="46"/>
    <x v="2"/>
    <s v="Due"/>
  </r>
  <r>
    <s v="AP10265"/>
    <x v="4"/>
    <x v="238"/>
    <x v="19"/>
    <d v="2025-02-28T00:00:00"/>
    <x v="2"/>
    <n v="1922.95"/>
    <x v="1"/>
    <n v="0"/>
    <x v="1"/>
    <x v="0"/>
    <s v=""/>
    <s v="Net 30"/>
    <d v="2025-07-30T00:00:00"/>
    <n v="152"/>
    <x v="0"/>
    <s v="Due"/>
  </r>
  <r>
    <s v="AP10266"/>
    <x v="3"/>
    <x v="239"/>
    <x v="17"/>
    <d v="2023-11-09T00:00:00"/>
    <x v="0"/>
    <n v="3698.61"/>
    <x v="0"/>
    <n v="0"/>
    <x v="88"/>
    <x v="0"/>
    <s v=""/>
    <s v="Net 30"/>
    <d v="2025-07-30T00:00:00"/>
    <n v="629"/>
    <x v="0"/>
    <s v="Due"/>
  </r>
  <r>
    <s v="AP10267"/>
    <x v="2"/>
    <x v="240"/>
    <x v="11"/>
    <d v="2023-07-17T00:00:00"/>
    <x v="3"/>
    <n v="4887.26"/>
    <x v="0"/>
    <n v="0"/>
    <x v="89"/>
    <x v="0"/>
    <s v=""/>
    <s v="Net 30"/>
    <d v="2025-07-30T00:00:00"/>
    <n v="744"/>
    <x v="0"/>
    <s v="Due"/>
  </r>
  <r>
    <s v="AP10268"/>
    <x v="3"/>
    <x v="241"/>
    <x v="5"/>
    <d v="2024-10-10T00:00:00"/>
    <x v="2"/>
    <n v="5277.25"/>
    <x v="1"/>
    <n v="0"/>
    <x v="1"/>
    <x v="0"/>
    <s v=""/>
    <s v="Net 30"/>
    <d v="2025-07-30T00:00:00"/>
    <n v="293"/>
    <x v="0"/>
    <s v="Due"/>
  </r>
  <r>
    <s v="AP10269"/>
    <x v="3"/>
    <x v="82"/>
    <x v="24"/>
    <d v="2025-07-12T00:00:00"/>
    <x v="1"/>
    <n v="927.09"/>
    <x v="0"/>
    <n v="0"/>
    <x v="90"/>
    <x v="0"/>
    <s v=""/>
    <s v="Net 30"/>
    <d v="2025-07-30T00:00:00"/>
    <n v="18"/>
    <x v="3"/>
    <s v="Due"/>
  </r>
  <r>
    <s v="AP10270"/>
    <x v="3"/>
    <x v="242"/>
    <x v="24"/>
    <d v="2025-07-26T00:00:00"/>
    <x v="2"/>
    <n v="5849.89"/>
    <x v="2"/>
    <n v="5849.89"/>
    <x v="5"/>
    <x v="80"/>
    <s v="2025-Jul"/>
    <s v="Net 30"/>
    <d v="2025-07-30T00:00:00"/>
    <n v="0"/>
    <x v="1"/>
    <s v="Not Due"/>
  </r>
  <r>
    <s v="AP10271"/>
    <x v="3"/>
    <x v="243"/>
    <x v="10"/>
    <d v="2023-12-12T00:00:00"/>
    <x v="4"/>
    <n v="1302.8900000000001"/>
    <x v="0"/>
    <n v="0"/>
    <x v="91"/>
    <x v="0"/>
    <s v=""/>
    <s v="Net 30"/>
    <d v="2025-07-30T00:00:00"/>
    <n v="596"/>
    <x v="0"/>
    <s v="Due"/>
  </r>
  <r>
    <s v="AP10272"/>
    <x v="0"/>
    <x v="228"/>
    <x v="7"/>
    <d v="2024-04-21T00:00:00"/>
    <x v="0"/>
    <n v="4356.75"/>
    <x v="0"/>
    <n v="0"/>
    <x v="92"/>
    <x v="0"/>
    <s v=""/>
    <s v="Net 30"/>
    <d v="2025-07-30T00:00:00"/>
    <n v="465"/>
    <x v="0"/>
    <s v="Due"/>
  </r>
  <r>
    <s v="AP10273"/>
    <x v="1"/>
    <x v="244"/>
    <x v="3"/>
    <d v="2024-03-01T00:00:00"/>
    <x v="4"/>
    <n v="1466.12"/>
    <x v="2"/>
    <n v="1466.12"/>
    <x v="5"/>
    <x v="81"/>
    <s v="2024-Mar"/>
    <s v="Net 30"/>
    <d v="2025-07-30T00:00:00"/>
    <n v="0"/>
    <x v="1"/>
    <s v="Not Due"/>
  </r>
  <r>
    <s v="AP10274"/>
    <x v="1"/>
    <x v="245"/>
    <x v="2"/>
    <d v="2024-03-11T00:00:00"/>
    <x v="3"/>
    <n v="970.98"/>
    <x v="0"/>
    <n v="0"/>
    <x v="93"/>
    <x v="0"/>
    <s v=""/>
    <s v="Net 30"/>
    <d v="2025-07-30T00:00:00"/>
    <n v="506"/>
    <x v="0"/>
    <s v="Due"/>
  </r>
  <r>
    <s v="AP10275"/>
    <x v="3"/>
    <x v="208"/>
    <x v="16"/>
    <d v="2023-04-11T00:00:00"/>
    <x v="4"/>
    <n v="535.12"/>
    <x v="2"/>
    <n v="535.12"/>
    <x v="5"/>
    <x v="68"/>
    <s v="2023-Apr"/>
    <s v="Net 30"/>
    <d v="2025-07-30T00:00:00"/>
    <n v="0"/>
    <x v="1"/>
    <s v="Not Due"/>
  </r>
  <r>
    <s v="AP10276"/>
    <x v="2"/>
    <x v="246"/>
    <x v="4"/>
    <d v="2024-08-04T00:00:00"/>
    <x v="2"/>
    <n v="1337"/>
    <x v="0"/>
    <n v="0"/>
    <x v="94"/>
    <x v="0"/>
    <s v=""/>
    <s v="Net 30"/>
    <d v="2025-07-30T00:00:00"/>
    <n v="360"/>
    <x v="0"/>
    <s v="Due"/>
  </r>
  <r>
    <s v="AP10277"/>
    <x v="2"/>
    <x v="247"/>
    <x v="29"/>
    <d v="2024-09-08T00:00:00"/>
    <x v="2"/>
    <n v="2605.7800000000002"/>
    <x v="0"/>
    <n v="0"/>
    <x v="95"/>
    <x v="0"/>
    <s v=""/>
    <s v="Net 30"/>
    <d v="2025-07-30T00:00:00"/>
    <n v="325"/>
    <x v="0"/>
    <s v="Due"/>
  </r>
  <r>
    <s v="AP10278"/>
    <x v="0"/>
    <x v="248"/>
    <x v="4"/>
    <d v="2024-08-13T00:00:00"/>
    <x v="3"/>
    <n v="1199.03"/>
    <x v="1"/>
    <n v="0"/>
    <x v="1"/>
    <x v="0"/>
    <s v=""/>
    <s v="Net 30"/>
    <d v="2025-07-30T00:00:00"/>
    <n v="351"/>
    <x v="0"/>
    <s v="Due"/>
  </r>
  <r>
    <s v="AP10279"/>
    <x v="2"/>
    <x v="249"/>
    <x v="9"/>
    <d v="2023-06-10T00:00:00"/>
    <x v="3"/>
    <n v="317.85000000000002"/>
    <x v="2"/>
    <n v="317.85000000000002"/>
    <x v="5"/>
    <x v="82"/>
    <s v="2023-Jun"/>
    <s v="Net 30"/>
    <d v="2025-07-30T00:00:00"/>
    <n v="0"/>
    <x v="1"/>
    <s v="Not Due"/>
  </r>
  <r>
    <s v="AP10280"/>
    <x v="1"/>
    <x v="250"/>
    <x v="28"/>
    <d v="2025-05-06T00:00:00"/>
    <x v="0"/>
    <n v="5306.09"/>
    <x v="1"/>
    <n v="0"/>
    <x v="1"/>
    <x v="0"/>
    <s v=""/>
    <s v="Net 30"/>
    <d v="2025-07-30T00:00:00"/>
    <n v="85"/>
    <x v="4"/>
    <s v="Due"/>
  </r>
  <r>
    <s v="AP10281"/>
    <x v="0"/>
    <x v="251"/>
    <x v="18"/>
    <d v="2024-12-10T00:00:00"/>
    <x v="2"/>
    <n v="2174.38"/>
    <x v="0"/>
    <n v="0"/>
    <x v="96"/>
    <x v="0"/>
    <s v=""/>
    <s v="Net 30"/>
    <d v="2025-07-30T00:00:00"/>
    <n v="232"/>
    <x v="0"/>
    <s v="Due"/>
  </r>
  <r>
    <s v="AP10282"/>
    <x v="1"/>
    <x v="174"/>
    <x v="23"/>
    <d v="2023-03-19T00:00:00"/>
    <x v="2"/>
    <n v="2732.86"/>
    <x v="0"/>
    <n v="0"/>
    <x v="97"/>
    <x v="0"/>
    <s v=""/>
    <s v="Net 30"/>
    <d v="2025-07-30T00:00:00"/>
    <n v="864"/>
    <x v="0"/>
    <s v="Due"/>
  </r>
  <r>
    <s v="AP10283"/>
    <x v="1"/>
    <x v="252"/>
    <x v="8"/>
    <d v="2024-11-15T00:00:00"/>
    <x v="1"/>
    <n v="1511.36"/>
    <x v="0"/>
    <n v="0"/>
    <x v="98"/>
    <x v="0"/>
    <s v=""/>
    <s v="Net 30"/>
    <d v="2025-07-30T00:00:00"/>
    <n v="257"/>
    <x v="0"/>
    <s v="Due"/>
  </r>
  <r>
    <s v="AP10284"/>
    <x v="4"/>
    <x v="253"/>
    <x v="28"/>
    <d v="2025-05-05T00:00:00"/>
    <x v="1"/>
    <n v="2956.59"/>
    <x v="1"/>
    <n v="0"/>
    <x v="1"/>
    <x v="0"/>
    <s v=""/>
    <s v="Net 30"/>
    <d v="2025-07-30T00:00:00"/>
    <n v="86"/>
    <x v="4"/>
    <s v="Due"/>
  </r>
  <r>
    <s v="AP10285"/>
    <x v="0"/>
    <x v="254"/>
    <x v="3"/>
    <d v="2024-02-10T00:00:00"/>
    <x v="2"/>
    <n v="4700.4799999999996"/>
    <x v="1"/>
    <n v="0"/>
    <x v="1"/>
    <x v="0"/>
    <s v=""/>
    <s v="Net 30"/>
    <d v="2025-07-30T00:00:00"/>
    <n v="536"/>
    <x v="0"/>
    <s v="Due"/>
  </r>
  <r>
    <s v="AP10286"/>
    <x v="1"/>
    <x v="255"/>
    <x v="17"/>
    <d v="2023-11-25T00:00:00"/>
    <x v="3"/>
    <n v="310.83999999999997"/>
    <x v="2"/>
    <n v="310.83999999999997"/>
    <x v="5"/>
    <x v="83"/>
    <s v="2023-Nov"/>
    <s v="Net 30"/>
    <d v="2025-07-30T00:00:00"/>
    <n v="0"/>
    <x v="1"/>
    <s v="Not Due"/>
  </r>
  <r>
    <s v="AP10287"/>
    <x v="2"/>
    <x v="256"/>
    <x v="5"/>
    <d v="2024-10-24T00:00:00"/>
    <x v="0"/>
    <n v="1082.18"/>
    <x v="1"/>
    <n v="0"/>
    <x v="1"/>
    <x v="0"/>
    <s v=""/>
    <s v="Net 30"/>
    <d v="2025-07-30T00:00:00"/>
    <n v="279"/>
    <x v="0"/>
    <s v="Due"/>
  </r>
  <r>
    <s v="AP10288"/>
    <x v="4"/>
    <x v="257"/>
    <x v="16"/>
    <d v="2023-04-15T00:00:00"/>
    <x v="3"/>
    <n v="4087.15"/>
    <x v="2"/>
    <n v="4087.15"/>
    <x v="5"/>
    <x v="84"/>
    <s v="2023-Apr"/>
    <s v="Net 30"/>
    <d v="2025-07-30T00:00:00"/>
    <n v="0"/>
    <x v="1"/>
    <s v="Not Due"/>
  </r>
  <r>
    <s v="AP10289"/>
    <x v="3"/>
    <x v="258"/>
    <x v="13"/>
    <d v="2025-04-24T00:00:00"/>
    <x v="1"/>
    <n v="1697.44"/>
    <x v="0"/>
    <n v="0"/>
    <x v="99"/>
    <x v="0"/>
    <s v=""/>
    <s v="Net 30"/>
    <d v="2025-07-30T00:00:00"/>
    <n v="97"/>
    <x v="0"/>
    <s v="Due"/>
  </r>
  <r>
    <s v="AP10290"/>
    <x v="4"/>
    <x v="113"/>
    <x v="25"/>
    <d v="2023-09-13T00:00:00"/>
    <x v="2"/>
    <n v="6521.56"/>
    <x v="2"/>
    <n v="6521.56"/>
    <x v="5"/>
    <x v="85"/>
    <s v="2023-Sep"/>
    <s v="Net 30"/>
    <d v="2025-07-30T00:00:00"/>
    <n v="0"/>
    <x v="1"/>
    <s v="Not Due"/>
  </r>
  <r>
    <s v="AP10291"/>
    <x v="4"/>
    <x v="20"/>
    <x v="11"/>
    <d v="2023-07-28T00:00:00"/>
    <x v="4"/>
    <n v="1644.35"/>
    <x v="0"/>
    <n v="0"/>
    <x v="100"/>
    <x v="0"/>
    <s v=""/>
    <s v="Net 30"/>
    <d v="2025-07-30T00:00:00"/>
    <n v="733"/>
    <x v="0"/>
    <s v="Due"/>
  </r>
  <r>
    <s v="AP10292"/>
    <x v="1"/>
    <x v="259"/>
    <x v="25"/>
    <d v="2023-09-03T00:00:00"/>
    <x v="4"/>
    <n v="2124.3200000000002"/>
    <x v="2"/>
    <n v="2124.3200000000002"/>
    <x v="5"/>
    <x v="86"/>
    <s v="2023-Sep"/>
    <s v="Net 30"/>
    <d v="2025-07-30T00:00:00"/>
    <n v="0"/>
    <x v="1"/>
    <s v="Not Due"/>
  </r>
  <r>
    <s v="AP10293"/>
    <x v="2"/>
    <x v="260"/>
    <x v="6"/>
    <d v="2024-07-14T00:00:00"/>
    <x v="4"/>
    <n v="3042.83"/>
    <x v="1"/>
    <n v="0"/>
    <x v="1"/>
    <x v="0"/>
    <s v=""/>
    <s v="Net 30"/>
    <d v="2025-07-30T00:00:00"/>
    <n v="381"/>
    <x v="0"/>
    <s v="Due"/>
  </r>
  <r>
    <s v="AP10294"/>
    <x v="4"/>
    <x v="261"/>
    <x v="18"/>
    <d v="2024-12-21T00:00:00"/>
    <x v="4"/>
    <n v="763.44"/>
    <x v="2"/>
    <n v="763.44"/>
    <x v="5"/>
    <x v="87"/>
    <s v="2024-Dec"/>
    <s v="Net 30"/>
    <d v="2025-07-30T00:00:00"/>
    <n v="0"/>
    <x v="1"/>
    <s v="Not Due"/>
  </r>
  <r>
    <s v="AP10295"/>
    <x v="0"/>
    <x v="262"/>
    <x v="12"/>
    <d v="2024-01-24T00:00:00"/>
    <x v="4"/>
    <n v="2984.9"/>
    <x v="1"/>
    <n v="0"/>
    <x v="1"/>
    <x v="0"/>
    <s v=""/>
    <s v="Net 30"/>
    <d v="2025-07-30T00:00:00"/>
    <n v="553"/>
    <x v="0"/>
    <s v="Due"/>
  </r>
  <r>
    <s v="AP10296"/>
    <x v="2"/>
    <x v="263"/>
    <x v="17"/>
    <d v="2023-11-06T00:00:00"/>
    <x v="2"/>
    <n v="5987.66"/>
    <x v="2"/>
    <n v="5987.66"/>
    <x v="5"/>
    <x v="88"/>
    <s v="2023-Nov"/>
    <s v="Net 30"/>
    <d v="2025-07-30T00:00:00"/>
    <n v="0"/>
    <x v="1"/>
    <s v="Not Due"/>
  </r>
  <r>
    <s v="AP10297"/>
    <x v="3"/>
    <x v="264"/>
    <x v="9"/>
    <d v="2023-06-22T00:00:00"/>
    <x v="1"/>
    <n v="2783.63"/>
    <x v="0"/>
    <n v="0"/>
    <x v="101"/>
    <x v="0"/>
    <s v=""/>
    <s v="Net 30"/>
    <d v="2025-07-30T00:00:00"/>
    <n v="769"/>
    <x v="0"/>
    <s v="Due"/>
  </r>
  <r>
    <s v="AP10298"/>
    <x v="2"/>
    <x v="265"/>
    <x v="28"/>
    <d v="2025-05-26T00:00:00"/>
    <x v="1"/>
    <n v="894.91"/>
    <x v="0"/>
    <n v="0"/>
    <x v="102"/>
    <x v="0"/>
    <s v=""/>
    <s v="Net 30"/>
    <d v="2025-07-30T00:00:00"/>
    <n v="65"/>
    <x v="4"/>
    <s v="Due"/>
  </r>
  <r>
    <s v="AP10299"/>
    <x v="3"/>
    <x v="266"/>
    <x v="24"/>
    <d v="2025-07-11T00:00:00"/>
    <x v="4"/>
    <n v="3485.46"/>
    <x v="0"/>
    <n v="0"/>
    <x v="103"/>
    <x v="0"/>
    <s v=""/>
    <s v="Net 30"/>
    <d v="2025-07-30T00:00:00"/>
    <n v="19"/>
    <x v="3"/>
    <s v="Due"/>
  </r>
  <r>
    <s v="AP10300"/>
    <x v="0"/>
    <x v="267"/>
    <x v="24"/>
    <d v="2025-07-25T00:00:00"/>
    <x v="3"/>
    <n v="1477.77"/>
    <x v="0"/>
    <n v="0"/>
    <x v="104"/>
    <x v="0"/>
    <s v=""/>
    <s v="Net 30"/>
    <d v="2025-07-30T00:00:00"/>
    <n v="5"/>
    <x v="3"/>
    <s v="Due"/>
  </r>
  <r>
    <s v="AP10301"/>
    <x v="1"/>
    <x v="268"/>
    <x v="13"/>
    <d v="2025-03-31T00:00:00"/>
    <x v="3"/>
    <n v="4772.12"/>
    <x v="2"/>
    <n v="4772.12"/>
    <x v="5"/>
    <x v="89"/>
    <s v="2025-Mar"/>
    <s v="Net 30"/>
    <d v="2025-07-30T00:00:00"/>
    <n v="0"/>
    <x v="1"/>
    <s v="Not Due"/>
  </r>
  <r>
    <s v="AP10302"/>
    <x v="4"/>
    <x v="269"/>
    <x v="20"/>
    <d v="2023-05-19T00:00:00"/>
    <x v="4"/>
    <n v="2058.36"/>
    <x v="2"/>
    <n v="2058.36"/>
    <x v="5"/>
    <x v="90"/>
    <s v="2023-May"/>
    <s v="Net 30"/>
    <d v="2025-07-30T00:00:00"/>
    <n v="0"/>
    <x v="1"/>
    <s v="Not Due"/>
  </r>
  <r>
    <s v="AP10303"/>
    <x v="4"/>
    <x v="36"/>
    <x v="4"/>
    <d v="2024-08-30T00:00:00"/>
    <x v="4"/>
    <n v="1357.75"/>
    <x v="1"/>
    <n v="0"/>
    <x v="1"/>
    <x v="0"/>
    <s v=""/>
    <s v="Net 30"/>
    <d v="2025-07-30T00:00:00"/>
    <n v="334"/>
    <x v="0"/>
    <s v="Due"/>
  </r>
  <r>
    <s v="AP10304"/>
    <x v="0"/>
    <x v="196"/>
    <x v="6"/>
    <d v="2024-07-06T00:00:00"/>
    <x v="4"/>
    <n v="3120.97"/>
    <x v="0"/>
    <n v="0"/>
    <x v="105"/>
    <x v="0"/>
    <s v=""/>
    <s v="Net 30"/>
    <d v="2025-07-30T00:00:00"/>
    <n v="389"/>
    <x v="0"/>
    <s v="Due"/>
  </r>
  <r>
    <s v="AP10305"/>
    <x v="0"/>
    <x v="270"/>
    <x v="10"/>
    <d v="2023-12-26T00:00:00"/>
    <x v="3"/>
    <n v="4046.8"/>
    <x v="1"/>
    <n v="0"/>
    <x v="1"/>
    <x v="0"/>
    <s v=""/>
    <s v="Net 30"/>
    <d v="2025-07-30T00:00:00"/>
    <n v="582"/>
    <x v="0"/>
    <s v="Due"/>
  </r>
  <r>
    <s v="AP10306"/>
    <x v="0"/>
    <x v="104"/>
    <x v="22"/>
    <d v="2025-06-09T00:00:00"/>
    <x v="4"/>
    <n v="2438.06"/>
    <x v="2"/>
    <n v="2438.06"/>
    <x v="5"/>
    <x v="91"/>
    <s v="2025-Jun"/>
    <s v="Net 30"/>
    <d v="2025-07-30T00:00:00"/>
    <n v="0"/>
    <x v="1"/>
    <s v="Not Due"/>
  </r>
  <r>
    <s v="AP10307"/>
    <x v="3"/>
    <x v="271"/>
    <x v="19"/>
    <d v="2025-02-21T00:00:00"/>
    <x v="0"/>
    <n v="4899.63"/>
    <x v="0"/>
    <n v="0"/>
    <x v="106"/>
    <x v="0"/>
    <s v=""/>
    <s v="Net 30"/>
    <d v="2025-07-30T00:00:00"/>
    <n v="159"/>
    <x v="0"/>
    <s v="Due"/>
  </r>
  <r>
    <s v="AP10308"/>
    <x v="4"/>
    <x v="272"/>
    <x v="3"/>
    <d v="2024-02-28T00:00:00"/>
    <x v="1"/>
    <n v="2010.26"/>
    <x v="0"/>
    <n v="0"/>
    <x v="107"/>
    <x v="0"/>
    <s v=""/>
    <s v="Net 30"/>
    <d v="2025-07-30T00:00:00"/>
    <n v="518"/>
    <x v="0"/>
    <s v="Due"/>
  </r>
  <r>
    <s v="AP10309"/>
    <x v="4"/>
    <x v="273"/>
    <x v="8"/>
    <d v="2024-11-10T00:00:00"/>
    <x v="2"/>
    <n v="3697.59"/>
    <x v="1"/>
    <n v="0"/>
    <x v="1"/>
    <x v="0"/>
    <s v=""/>
    <s v="Net 30"/>
    <d v="2025-07-30T00:00:00"/>
    <n v="262"/>
    <x v="0"/>
    <s v="Due"/>
  </r>
  <r>
    <s v="AP10310"/>
    <x v="1"/>
    <x v="274"/>
    <x v="16"/>
    <d v="2023-04-07T00:00:00"/>
    <x v="1"/>
    <n v="1257.26"/>
    <x v="1"/>
    <n v="0"/>
    <x v="1"/>
    <x v="0"/>
    <s v=""/>
    <s v="Net 30"/>
    <d v="2025-07-30T00:00:00"/>
    <n v="845"/>
    <x v="0"/>
    <s v="Due"/>
  </r>
  <r>
    <s v="AP10311"/>
    <x v="4"/>
    <x v="275"/>
    <x v="6"/>
    <d v="2024-07-22T00:00:00"/>
    <x v="3"/>
    <n v="4981.4399999999996"/>
    <x v="2"/>
    <n v="4981.4399999999996"/>
    <x v="5"/>
    <x v="92"/>
    <s v="2024-Jul"/>
    <s v="Net 30"/>
    <d v="2025-07-30T00:00:00"/>
    <n v="0"/>
    <x v="1"/>
    <s v="Not Due"/>
  </r>
  <r>
    <s v="AP10312"/>
    <x v="2"/>
    <x v="22"/>
    <x v="9"/>
    <d v="2023-06-15T00:00:00"/>
    <x v="0"/>
    <n v="2613.71"/>
    <x v="0"/>
    <n v="0"/>
    <x v="108"/>
    <x v="0"/>
    <s v=""/>
    <s v="Net 30"/>
    <d v="2025-07-30T00:00:00"/>
    <n v="776"/>
    <x v="0"/>
    <s v="Due"/>
  </r>
  <r>
    <s v="AP10313"/>
    <x v="0"/>
    <x v="148"/>
    <x v="8"/>
    <d v="2024-11-01T00:00:00"/>
    <x v="4"/>
    <n v="475.05"/>
    <x v="2"/>
    <n v="475.05"/>
    <x v="5"/>
    <x v="93"/>
    <s v="2024-Nov"/>
    <s v="Net 30"/>
    <d v="2025-07-30T00:00:00"/>
    <n v="0"/>
    <x v="1"/>
    <s v="Not Due"/>
  </r>
  <r>
    <s v="AP10314"/>
    <x v="3"/>
    <x v="276"/>
    <x v="13"/>
    <d v="2025-04-05T00:00:00"/>
    <x v="4"/>
    <n v="2110.35"/>
    <x v="2"/>
    <n v="2110.35"/>
    <x v="5"/>
    <x v="94"/>
    <s v="2025-Apr"/>
    <s v="Net 30"/>
    <d v="2025-07-30T00:00:00"/>
    <n v="0"/>
    <x v="1"/>
    <s v="Not Due"/>
  </r>
  <r>
    <s v="AP10315"/>
    <x v="3"/>
    <x v="277"/>
    <x v="29"/>
    <d v="2024-09-06T00:00:00"/>
    <x v="2"/>
    <n v="613.16"/>
    <x v="0"/>
    <n v="0"/>
    <x v="109"/>
    <x v="0"/>
    <s v=""/>
    <s v="Net 30"/>
    <d v="2025-07-30T00:00:00"/>
    <n v="327"/>
    <x v="0"/>
    <s v="Due"/>
  </r>
  <r>
    <s v="AP10316"/>
    <x v="1"/>
    <x v="98"/>
    <x v="24"/>
    <d v="2025-07-30T00:00:00"/>
    <x v="1"/>
    <n v="1924.49"/>
    <x v="1"/>
    <n v="0"/>
    <x v="1"/>
    <x v="0"/>
    <s v=""/>
    <s v="Net 30"/>
    <d v="2025-07-30T00:00:00"/>
    <n v="0"/>
    <x v="5"/>
    <s v="Not Due"/>
  </r>
  <r>
    <s v="AP10317"/>
    <x v="0"/>
    <x v="278"/>
    <x v="27"/>
    <d v="2025-03-21T00:00:00"/>
    <x v="3"/>
    <n v="1471.82"/>
    <x v="0"/>
    <n v="0"/>
    <x v="110"/>
    <x v="0"/>
    <s v=""/>
    <s v="Net 30"/>
    <d v="2025-07-30T00:00:00"/>
    <n v="131"/>
    <x v="0"/>
    <s v="Due"/>
  </r>
  <r>
    <s v="AP10318"/>
    <x v="2"/>
    <x v="279"/>
    <x v="26"/>
    <d v="2024-05-09T00:00:00"/>
    <x v="2"/>
    <n v="2486.63"/>
    <x v="2"/>
    <n v="2486.63"/>
    <x v="5"/>
    <x v="95"/>
    <s v="2024-May"/>
    <s v="Net 30"/>
    <d v="2025-07-30T00:00:00"/>
    <n v="0"/>
    <x v="1"/>
    <s v="Not Due"/>
  </r>
  <r>
    <s v="AP10319"/>
    <x v="2"/>
    <x v="280"/>
    <x v="23"/>
    <d v="2023-03-24T00:00:00"/>
    <x v="1"/>
    <n v="3606.67"/>
    <x v="1"/>
    <n v="0"/>
    <x v="1"/>
    <x v="0"/>
    <s v=""/>
    <s v="Net 30"/>
    <d v="2025-07-30T00:00:00"/>
    <n v="859"/>
    <x v="0"/>
    <s v="Due"/>
  </r>
  <r>
    <s v="AP10320"/>
    <x v="2"/>
    <x v="73"/>
    <x v="9"/>
    <d v="2023-06-21T00:00:00"/>
    <x v="4"/>
    <n v="3471.06"/>
    <x v="1"/>
    <n v="0"/>
    <x v="1"/>
    <x v="0"/>
    <s v=""/>
    <s v="Net 30"/>
    <d v="2025-07-30T00:00:00"/>
    <n v="770"/>
    <x v="0"/>
    <s v="Due"/>
  </r>
  <r>
    <s v="AP10321"/>
    <x v="0"/>
    <x v="281"/>
    <x v="21"/>
    <d v="2023-02-01T00:00:00"/>
    <x v="3"/>
    <n v="1174.97"/>
    <x v="2"/>
    <n v="1174.97"/>
    <x v="5"/>
    <x v="96"/>
    <s v="2023-Feb"/>
    <s v="Net 30"/>
    <d v="2025-07-30T00:00:00"/>
    <n v="0"/>
    <x v="1"/>
    <s v="Not Due"/>
  </r>
  <r>
    <s v="AP10322"/>
    <x v="3"/>
    <x v="282"/>
    <x v="26"/>
    <d v="2024-05-05T00:00:00"/>
    <x v="0"/>
    <n v="1186.1400000000001"/>
    <x v="1"/>
    <n v="0"/>
    <x v="1"/>
    <x v="0"/>
    <s v=""/>
    <s v="Net 30"/>
    <d v="2025-07-30T00:00:00"/>
    <n v="451"/>
    <x v="0"/>
    <s v="Due"/>
  </r>
  <r>
    <s v="AP10323"/>
    <x v="4"/>
    <x v="283"/>
    <x v="29"/>
    <d v="2024-09-23T00:00:00"/>
    <x v="4"/>
    <n v="378.01"/>
    <x v="0"/>
    <n v="0"/>
    <x v="111"/>
    <x v="0"/>
    <s v=""/>
    <s v="Net 30"/>
    <d v="2025-07-30T00:00:00"/>
    <n v="310"/>
    <x v="0"/>
    <s v="Due"/>
  </r>
  <r>
    <s v="AP10324"/>
    <x v="4"/>
    <x v="284"/>
    <x v="16"/>
    <d v="2023-04-28T00:00:00"/>
    <x v="3"/>
    <n v="4607.07"/>
    <x v="0"/>
    <n v="0"/>
    <x v="112"/>
    <x v="0"/>
    <s v=""/>
    <s v="Net 30"/>
    <d v="2025-07-30T00:00:00"/>
    <n v="824"/>
    <x v="0"/>
    <s v="Due"/>
  </r>
  <r>
    <s v="AP10325"/>
    <x v="0"/>
    <x v="285"/>
    <x v="9"/>
    <d v="2023-06-07T00:00:00"/>
    <x v="1"/>
    <n v="2015.93"/>
    <x v="2"/>
    <n v="2015.93"/>
    <x v="5"/>
    <x v="97"/>
    <s v="2023-Jun"/>
    <s v="Net 30"/>
    <d v="2025-07-30T00:00:00"/>
    <n v="0"/>
    <x v="1"/>
    <s v="Not Due"/>
  </r>
  <r>
    <s v="AP10326"/>
    <x v="0"/>
    <x v="277"/>
    <x v="29"/>
    <d v="2024-09-06T00:00:00"/>
    <x v="2"/>
    <n v="5053.43"/>
    <x v="0"/>
    <n v="0"/>
    <x v="113"/>
    <x v="0"/>
    <s v=""/>
    <s v="Net 30"/>
    <d v="2025-07-30T00:00:00"/>
    <n v="327"/>
    <x v="0"/>
    <s v="Due"/>
  </r>
  <r>
    <s v="AP10327"/>
    <x v="1"/>
    <x v="273"/>
    <x v="8"/>
    <d v="2024-11-10T00:00:00"/>
    <x v="0"/>
    <n v="4854.4399999999996"/>
    <x v="2"/>
    <n v="4854.4399999999996"/>
    <x v="5"/>
    <x v="98"/>
    <s v="2024-Nov"/>
    <s v="Net 30"/>
    <d v="2025-07-30T00:00:00"/>
    <n v="0"/>
    <x v="1"/>
    <s v="Not Due"/>
  </r>
  <r>
    <s v="AP10328"/>
    <x v="3"/>
    <x v="286"/>
    <x v="0"/>
    <d v="2025-01-16T00:00:00"/>
    <x v="4"/>
    <n v="1011.43"/>
    <x v="0"/>
    <n v="0"/>
    <x v="114"/>
    <x v="0"/>
    <s v=""/>
    <s v="Net 30"/>
    <d v="2025-07-30T00:00:00"/>
    <n v="195"/>
    <x v="0"/>
    <s v="Due"/>
  </r>
  <r>
    <s v="AP10329"/>
    <x v="3"/>
    <x v="75"/>
    <x v="26"/>
    <d v="2024-05-19T00:00:00"/>
    <x v="4"/>
    <n v="3247.6"/>
    <x v="1"/>
    <n v="0"/>
    <x v="1"/>
    <x v="0"/>
    <s v=""/>
    <s v="Net 30"/>
    <d v="2025-07-30T00:00:00"/>
    <n v="437"/>
    <x v="0"/>
    <s v="Due"/>
  </r>
  <r>
    <s v="AP10330"/>
    <x v="2"/>
    <x v="287"/>
    <x v="26"/>
    <d v="2024-05-13T00:00:00"/>
    <x v="0"/>
    <n v="2160.5100000000002"/>
    <x v="0"/>
    <n v="0"/>
    <x v="115"/>
    <x v="0"/>
    <s v=""/>
    <s v="Net 30"/>
    <d v="2025-07-30T00:00:00"/>
    <n v="443"/>
    <x v="0"/>
    <s v="Due"/>
  </r>
  <r>
    <s v="AP10331"/>
    <x v="1"/>
    <x v="288"/>
    <x v="0"/>
    <d v="2025-01-06T00:00:00"/>
    <x v="1"/>
    <n v="1152.96"/>
    <x v="2"/>
    <n v="1152.96"/>
    <x v="5"/>
    <x v="99"/>
    <s v="2025-Jan"/>
    <s v="Net 30"/>
    <d v="2025-07-30T00:00:00"/>
    <n v="0"/>
    <x v="1"/>
    <s v="Not Due"/>
  </r>
  <r>
    <s v="AP10332"/>
    <x v="1"/>
    <x v="233"/>
    <x v="21"/>
    <d v="2023-02-22T00:00:00"/>
    <x v="1"/>
    <n v="127.46"/>
    <x v="2"/>
    <n v="127.46"/>
    <x v="5"/>
    <x v="100"/>
    <s v="2023-Feb"/>
    <s v="Net 30"/>
    <d v="2025-07-30T00:00:00"/>
    <n v="0"/>
    <x v="1"/>
    <s v="Not Due"/>
  </r>
  <r>
    <s v="AP10333"/>
    <x v="2"/>
    <x v="289"/>
    <x v="27"/>
    <d v="2025-03-19T00:00:00"/>
    <x v="1"/>
    <n v="885.04"/>
    <x v="0"/>
    <n v="0"/>
    <x v="116"/>
    <x v="0"/>
    <s v=""/>
    <s v="Net 30"/>
    <d v="2025-07-30T00:00:00"/>
    <n v="133"/>
    <x v="0"/>
    <s v="Due"/>
  </r>
  <r>
    <s v="AP10334"/>
    <x v="0"/>
    <x v="290"/>
    <x v="3"/>
    <d v="2024-02-29T00:00:00"/>
    <x v="1"/>
    <n v="256.45999999999998"/>
    <x v="0"/>
    <n v="0"/>
    <x v="117"/>
    <x v="0"/>
    <s v=""/>
    <s v="Net 30"/>
    <d v="2025-07-30T00:00:00"/>
    <n v="517"/>
    <x v="0"/>
    <s v="Due"/>
  </r>
  <r>
    <s v="AP10335"/>
    <x v="3"/>
    <x v="291"/>
    <x v="13"/>
    <d v="2025-04-19T00:00:00"/>
    <x v="0"/>
    <n v="5389.84"/>
    <x v="2"/>
    <n v="5389.84"/>
    <x v="5"/>
    <x v="101"/>
    <s v="2025-Apr"/>
    <s v="Net 30"/>
    <d v="2025-07-30T00:00:00"/>
    <n v="0"/>
    <x v="1"/>
    <s v="Not Due"/>
  </r>
  <r>
    <s v="AP10336"/>
    <x v="4"/>
    <x v="292"/>
    <x v="12"/>
    <d v="2024-01-07T00:00:00"/>
    <x v="0"/>
    <n v="3313.65"/>
    <x v="1"/>
    <n v="0"/>
    <x v="1"/>
    <x v="0"/>
    <s v=""/>
    <s v="Net 30"/>
    <d v="2025-07-30T00:00:00"/>
    <n v="570"/>
    <x v="0"/>
    <s v="Due"/>
  </r>
  <r>
    <s v="AP10337"/>
    <x v="2"/>
    <x v="293"/>
    <x v="24"/>
    <d v="2025-07-02T00:00:00"/>
    <x v="0"/>
    <n v="1823.79"/>
    <x v="0"/>
    <n v="0"/>
    <x v="118"/>
    <x v="0"/>
    <s v=""/>
    <s v="Net 30"/>
    <d v="2025-07-30T00:00:00"/>
    <n v="28"/>
    <x v="3"/>
    <s v="Due"/>
  </r>
  <r>
    <s v="AP10338"/>
    <x v="3"/>
    <x v="294"/>
    <x v="10"/>
    <d v="2023-12-05T00:00:00"/>
    <x v="0"/>
    <n v="5725.97"/>
    <x v="2"/>
    <n v="5725.97"/>
    <x v="5"/>
    <x v="102"/>
    <s v="2023-Dec"/>
    <s v="Net 30"/>
    <d v="2025-07-30T00:00:00"/>
    <n v="0"/>
    <x v="1"/>
    <s v="Not Due"/>
  </r>
  <r>
    <s v="AP10339"/>
    <x v="4"/>
    <x v="295"/>
    <x v="12"/>
    <d v="2024-01-21T00:00:00"/>
    <x v="2"/>
    <n v="3734.59"/>
    <x v="0"/>
    <n v="0"/>
    <x v="119"/>
    <x v="0"/>
    <s v=""/>
    <s v="Net 30"/>
    <d v="2025-07-30T00:00:00"/>
    <n v="556"/>
    <x v="0"/>
    <s v="Due"/>
  </r>
  <r>
    <s v="AP10340"/>
    <x v="3"/>
    <x v="296"/>
    <x v="19"/>
    <d v="2025-02-14T00:00:00"/>
    <x v="4"/>
    <n v="2094.73"/>
    <x v="2"/>
    <n v="2094.73"/>
    <x v="5"/>
    <x v="103"/>
    <s v="2025-Feb"/>
    <s v="Net 30"/>
    <d v="2025-07-30T00:00:00"/>
    <n v="0"/>
    <x v="1"/>
    <s v="Not Due"/>
  </r>
  <r>
    <s v="AP10341"/>
    <x v="2"/>
    <x v="297"/>
    <x v="24"/>
    <d v="2025-07-23T00:00:00"/>
    <x v="3"/>
    <n v="728.89"/>
    <x v="1"/>
    <n v="0"/>
    <x v="1"/>
    <x v="0"/>
    <s v=""/>
    <s v="Net 30"/>
    <d v="2025-07-30T00:00:00"/>
    <n v="7"/>
    <x v="3"/>
    <s v="Due"/>
  </r>
  <r>
    <s v="AP10342"/>
    <x v="0"/>
    <x v="59"/>
    <x v="23"/>
    <d v="2023-03-26T00:00:00"/>
    <x v="3"/>
    <n v="1790.61"/>
    <x v="1"/>
    <n v="0"/>
    <x v="1"/>
    <x v="0"/>
    <s v=""/>
    <s v="Net 30"/>
    <d v="2025-07-30T00:00:00"/>
    <n v="857"/>
    <x v="0"/>
    <s v="Due"/>
  </r>
  <r>
    <s v="AP10343"/>
    <x v="3"/>
    <x v="298"/>
    <x v="7"/>
    <d v="2024-04-06T00:00:00"/>
    <x v="2"/>
    <n v="4192.28"/>
    <x v="2"/>
    <n v="4192.28"/>
    <x v="5"/>
    <x v="104"/>
    <s v="2024-Apr"/>
    <s v="Net 30"/>
    <d v="2025-07-30T00:00:00"/>
    <n v="0"/>
    <x v="1"/>
    <s v="Not Due"/>
  </r>
  <r>
    <s v="AP10344"/>
    <x v="1"/>
    <x v="141"/>
    <x v="25"/>
    <d v="2023-09-15T00:00:00"/>
    <x v="2"/>
    <n v="1222.24"/>
    <x v="0"/>
    <n v="0"/>
    <x v="120"/>
    <x v="0"/>
    <s v=""/>
    <s v="Net 30"/>
    <d v="2025-07-30T00:00:00"/>
    <n v="684"/>
    <x v="0"/>
    <s v="Due"/>
  </r>
  <r>
    <s v="AP10345"/>
    <x v="3"/>
    <x v="299"/>
    <x v="21"/>
    <d v="2023-02-10T00:00:00"/>
    <x v="3"/>
    <n v="1797.02"/>
    <x v="0"/>
    <n v="0"/>
    <x v="121"/>
    <x v="0"/>
    <s v=""/>
    <s v="Net 30"/>
    <d v="2025-07-30T00:00:00"/>
    <n v="901"/>
    <x v="0"/>
    <s v="Due"/>
  </r>
  <r>
    <s v="AP10346"/>
    <x v="2"/>
    <x v="300"/>
    <x v="25"/>
    <d v="2023-09-30T00:00:00"/>
    <x v="1"/>
    <n v="3538.83"/>
    <x v="0"/>
    <n v="0"/>
    <x v="122"/>
    <x v="0"/>
    <s v=""/>
    <s v="Net 30"/>
    <d v="2025-07-30T00:00:00"/>
    <n v="669"/>
    <x v="0"/>
    <s v="Due"/>
  </r>
  <r>
    <s v="AP10347"/>
    <x v="3"/>
    <x v="301"/>
    <x v="23"/>
    <d v="2023-03-07T00:00:00"/>
    <x v="2"/>
    <n v="6266.98"/>
    <x v="2"/>
    <n v="6266.98"/>
    <x v="5"/>
    <x v="105"/>
    <s v="2023-Mar"/>
    <s v="Net 30"/>
    <d v="2025-07-30T00:00:00"/>
    <n v="0"/>
    <x v="1"/>
    <s v="Not Due"/>
  </r>
  <r>
    <s v="AP10348"/>
    <x v="0"/>
    <x v="302"/>
    <x v="6"/>
    <d v="2024-07-09T00:00:00"/>
    <x v="1"/>
    <n v="2275.17"/>
    <x v="1"/>
    <n v="0"/>
    <x v="1"/>
    <x v="0"/>
    <s v=""/>
    <s v="Net 30"/>
    <d v="2025-07-30T00:00:00"/>
    <n v="386"/>
    <x v="0"/>
    <s v="Due"/>
  </r>
  <r>
    <s v="AP10349"/>
    <x v="3"/>
    <x v="183"/>
    <x v="7"/>
    <d v="2024-04-20T00:00:00"/>
    <x v="4"/>
    <n v="3036.44"/>
    <x v="2"/>
    <n v="3036.44"/>
    <x v="5"/>
    <x v="58"/>
    <s v="2024-Apr"/>
    <s v="Net 30"/>
    <d v="2025-07-30T00:00:00"/>
    <n v="0"/>
    <x v="1"/>
    <s v="Not Due"/>
  </r>
  <r>
    <s v="AP10350"/>
    <x v="2"/>
    <x v="106"/>
    <x v="12"/>
    <d v="2024-01-12T00:00:00"/>
    <x v="0"/>
    <n v="5789.39"/>
    <x v="0"/>
    <n v="0"/>
    <x v="123"/>
    <x v="0"/>
    <s v=""/>
    <s v="Net 30"/>
    <d v="2025-07-30T00:00:00"/>
    <n v="565"/>
    <x v="0"/>
    <s v="Due"/>
  </r>
  <r>
    <s v="AP10351"/>
    <x v="1"/>
    <x v="303"/>
    <x v="12"/>
    <d v="2024-01-20T00:00:00"/>
    <x v="2"/>
    <n v="4574.5600000000004"/>
    <x v="2"/>
    <n v="4574.5600000000004"/>
    <x v="5"/>
    <x v="106"/>
    <s v="2024-Jan"/>
    <s v="Net 30"/>
    <d v="2025-07-30T00:00:00"/>
    <n v="0"/>
    <x v="1"/>
    <s v="Not Due"/>
  </r>
  <r>
    <s v="AP10352"/>
    <x v="4"/>
    <x v="304"/>
    <x v="13"/>
    <d v="2025-04-18T00:00:00"/>
    <x v="1"/>
    <n v="360.93"/>
    <x v="2"/>
    <n v="360.93"/>
    <x v="5"/>
    <x v="107"/>
    <s v="2025-Apr"/>
    <s v="Net 30"/>
    <d v="2025-07-30T00:00:00"/>
    <n v="0"/>
    <x v="1"/>
    <s v="Not Due"/>
  </r>
  <r>
    <s v="AP10353"/>
    <x v="1"/>
    <x v="47"/>
    <x v="15"/>
    <d v="2023-10-28T00:00:00"/>
    <x v="2"/>
    <n v="6568.45"/>
    <x v="2"/>
    <n v="6568.45"/>
    <x v="5"/>
    <x v="13"/>
    <s v="2023-Oct"/>
    <s v="Net 30"/>
    <d v="2025-07-30T00:00:00"/>
    <n v="0"/>
    <x v="1"/>
    <s v="Not Due"/>
  </r>
  <r>
    <s v="AP10354"/>
    <x v="4"/>
    <x v="305"/>
    <x v="20"/>
    <d v="2023-05-11T00:00:00"/>
    <x v="3"/>
    <n v="1132.31"/>
    <x v="1"/>
    <n v="0"/>
    <x v="1"/>
    <x v="0"/>
    <s v=""/>
    <s v="Net 30"/>
    <d v="2025-07-30T00:00:00"/>
    <n v="811"/>
    <x v="0"/>
    <s v="Due"/>
  </r>
  <r>
    <s v="AP10355"/>
    <x v="4"/>
    <x v="306"/>
    <x v="22"/>
    <d v="2025-06-19T00:00:00"/>
    <x v="0"/>
    <n v="278.54000000000002"/>
    <x v="1"/>
    <n v="0"/>
    <x v="1"/>
    <x v="0"/>
    <s v=""/>
    <s v="Net 30"/>
    <d v="2025-07-30T00:00:00"/>
    <n v="41"/>
    <x v="2"/>
    <s v="Due"/>
  </r>
  <r>
    <s v="AP10356"/>
    <x v="0"/>
    <x v="181"/>
    <x v="15"/>
    <d v="2023-10-21T00:00:00"/>
    <x v="0"/>
    <n v="2317.91"/>
    <x v="0"/>
    <n v="0"/>
    <x v="124"/>
    <x v="0"/>
    <s v=""/>
    <s v="Net 30"/>
    <d v="2025-07-30T00:00:00"/>
    <n v="648"/>
    <x v="0"/>
    <s v="Due"/>
  </r>
  <r>
    <s v="AP10357"/>
    <x v="0"/>
    <x v="307"/>
    <x v="25"/>
    <d v="2023-09-21T00:00:00"/>
    <x v="1"/>
    <n v="2909.41"/>
    <x v="2"/>
    <n v="2909.41"/>
    <x v="5"/>
    <x v="108"/>
    <s v="2023-Sep"/>
    <s v="Net 30"/>
    <d v="2025-07-30T00:00:00"/>
    <n v="0"/>
    <x v="1"/>
    <s v="Not Due"/>
  </r>
  <r>
    <s v="AP10358"/>
    <x v="1"/>
    <x v="241"/>
    <x v="5"/>
    <d v="2024-10-10T00:00:00"/>
    <x v="4"/>
    <n v="1200.21"/>
    <x v="0"/>
    <n v="0"/>
    <x v="125"/>
    <x v="0"/>
    <s v=""/>
    <s v="Net 30"/>
    <d v="2025-07-30T00:00:00"/>
    <n v="293"/>
    <x v="0"/>
    <s v="Due"/>
  </r>
  <r>
    <s v="AP10359"/>
    <x v="1"/>
    <x v="152"/>
    <x v="2"/>
    <d v="2024-03-04T00:00:00"/>
    <x v="4"/>
    <n v="494.94"/>
    <x v="0"/>
    <n v="0"/>
    <x v="126"/>
    <x v="0"/>
    <s v=""/>
    <s v="Net 30"/>
    <d v="2025-07-30T00:00:00"/>
    <n v="513"/>
    <x v="0"/>
    <s v="Due"/>
  </r>
  <r>
    <s v="AP10360"/>
    <x v="3"/>
    <x v="133"/>
    <x v="15"/>
    <d v="2023-10-05T00:00:00"/>
    <x v="3"/>
    <n v="1555.59"/>
    <x v="2"/>
    <n v="1555.59"/>
    <x v="5"/>
    <x v="42"/>
    <s v="2023-Oct"/>
    <s v="Net 30"/>
    <d v="2025-07-30T00:00:00"/>
    <n v="0"/>
    <x v="1"/>
    <s v="Not Due"/>
  </r>
  <r>
    <s v="AP10361"/>
    <x v="0"/>
    <x v="308"/>
    <x v="3"/>
    <d v="2024-02-06T00:00:00"/>
    <x v="4"/>
    <n v="674.86"/>
    <x v="2"/>
    <n v="674.86"/>
    <x v="5"/>
    <x v="109"/>
    <s v="2024-Feb"/>
    <s v="Net 30"/>
    <d v="2025-07-30T00:00:00"/>
    <n v="0"/>
    <x v="1"/>
    <s v="Not Due"/>
  </r>
  <r>
    <s v="AP10362"/>
    <x v="2"/>
    <x v="309"/>
    <x v="3"/>
    <d v="2024-02-15T00:00:00"/>
    <x v="3"/>
    <n v="2005.72"/>
    <x v="2"/>
    <n v="2005.72"/>
    <x v="5"/>
    <x v="110"/>
    <s v="2024-Feb"/>
    <s v="Net 30"/>
    <d v="2025-07-30T00:00:00"/>
    <n v="0"/>
    <x v="1"/>
    <s v="Not Due"/>
  </r>
  <r>
    <s v="AP10363"/>
    <x v="0"/>
    <x v="310"/>
    <x v="3"/>
    <d v="2024-02-14T00:00:00"/>
    <x v="1"/>
    <n v="3143.05"/>
    <x v="2"/>
    <n v="3143.05"/>
    <x v="5"/>
    <x v="111"/>
    <s v="2024-Feb"/>
    <s v="Net 30"/>
    <d v="2025-07-30T00:00:00"/>
    <n v="0"/>
    <x v="1"/>
    <s v="Not Due"/>
  </r>
  <r>
    <s v="AP10364"/>
    <x v="0"/>
    <x v="21"/>
    <x v="0"/>
    <d v="2025-01-26T00:00:00"/>
    <x v="4"/>
    <n v="1527.37"/>
    <x v="0"/>
    <n v="0"/>
    <x v="127"/>
    <x v="0"/>
    <s v=""/>
    <s v="Net 30"/>
    <d v="2025-07-30T00:00:00"/>
    <n v="185"/>
    <x v="0"/>
    <s v="Due"/>
  </r>
  <r>
    <s v="AP10365"/>
    <x v="4"/>
    <x v="311"/>
    <x v="28"/>
    <d v="2025-05-09T00:00:00"/>
    <x v="1"/>
    <n v="2857.58"/>
    <x v="1"/>
    <n v="0"/>
    <x v="1"/>
    <x v="0"/>
    <s v=""/>
    <s v="Net 30"/>
    <d v="2025-07-30T00:00:00"/>
    <n v="82"/>
    <x v="4"/>
    <s v="Due"/>
  </r>
  <r>
    <s v="AP10366"/>
    <x v="0"/>
    <x v="312"/>
    <x v="4"/>
    <d v="2024-08-21T00:00:00"/>
    <x v="4"/>
    <n v="2351.0700000000002"/>
    <x v="1"/>
    <n v="0"/>
    <x v="1"/>
    <x v="0"/>
    <s v=""/>
    <s v="Net 30"/>
    <d v="2025-07-30T00:00:00"/>
    <n v="343"/>
    <x v="0"/>
    <s v="Due"/>
  </r>
  <r>
    <s v="AP10367"/>
    <x v="4"/>
    <x v="313"/>
    <x v="26"/>
    <d v="2024-05-29T00:00:00"/>
    <x v="4"/>
    <n v="3403.67"/>
    <x v="1"/>
    <n v="0"/>
    <x v="1"/>
    <x v="0"/>
    <s v=""/>
    <s v="Net 30"/>
    <d v="2025-07-30T00:00:00"/>
    <n v="427"/>
    <x v="0"/>
    <s v="Due"/>
  </r>
  <r>
    <s v="AP10368"/>
    <x v="2"/>
    <x v="314"/>
    <x v="13"/>
    <d v="2025-04-14T00:00:00"/>
    <x v="4"/>
    <n v="1011.13"/>
    <x v="1"/>
    <n v="0"/>
    <x v="1"/>
    <x v="0"/>
    <s v=""/>
    <s v="Net 30"/>
    <d v="2025-07-30T00:00:00"/>
    <n v="107"/>
    <x v="0"/>
    <s v="Due"/>
  </r>
  <r>
    <s v="AP10369"/>
    <x v="4"/>
    <x v="129"/>
    <x v="0"/>
    <d v="2025-01-04T00:00:00"/>
    <x v="1"/>
    <n v="1731"/>
    <x v="1"/>
    <n v="0"/>
    <x v="1"/>
    <x v="0"/>
    <s v=""/>
    <s v="Net 30"/>
    <d v="2025-07-30T00:00:00"/>
    <n v="207"/>
    <x v="0"/>
    <s v="Due"/>
  </r>
  <r>
    <s v="AP10370"/>
    <x v="4"/>
    <x v="315"/>
    <x v="16"/>
    <d v="2023-04-19T00:00:00"/>
    <x v="4"/>
    <n v="2392.38"/>
    <x v="2"/>
    <n v="2392.38"/>
    <x v="5"/>
    <x v="112"/>
    <s v="2023-Apr"/>
    <s v="Net 30"/>
    <d v="2025-07-30T00:00:00"/>
    <n v="0"/>
    <x v="1"/>
    <s v="Not Due"/>
  </r>
  <r>
    <s v="AP10371"/>
    <x v="3"/>
    <x v="316"/>
    <x v="12"/>
    <d v="2024-01-29T00:00:00"/>
    <x v="2"/>
    <n v="5435.31"/>
    <x v="0"/>
    <n v="0"/>
    <x v="128"/>
    <x v="0"/>
    <s v=""/>
    <s v="Net 30"/>
    <d v="2025-07-30T00:00:00"/>
    <n v="548"/>
    <x v="0"/>
    <s v="Due"/>
  </r>
  <r>
    <s v="AP10372"/>
    <x v="3"/>
    <x v="317"/>
    <x v="22"/>
    <d v="2025-06-10T00:00:00"/>
    <x v="0"/>
    <n v="806.67"/>
    <x v="2"/>
    <n v="806.67"/>
    <x v="5"/>
    <x v="113"/>
    <s v="2025-Jun"/>
    <s v="Net 30"/>
    <d v="2025-07-30T00:00:00"/>
    <n v="0"/>
    <x v="1"/>
    <s v="Not Due"/>
  </r>
  <r>
    <s v="AP10373"/>
    <x v="2"/>
    <x v="318"/>
    <x v="9"/>
    <d v="2023-06-19T00:00:00"/>
    <x v="0"/>
    <n v="565.54"/>
    <x v="1"/>
    <n v="0"/>
    <x v="1"/>
    <x v="0"/>
    <s v=""/>
    <s v="Net 30"/>
    <d v="2025-07-30T00:00:00"/>
    <n v="772"/>
    <x v="0"/>
    <s v="Due"/>
  </r>
  <r>
    <s v="AP10374"/>
    <x v="4"/>
    <x v="319"/>
    <x v="25"/>
    <d v="2023-09-29T00:00:00"/>
    <x v="0"/>
    <n v="3442.96"/>
    <x v="2"/>
    <n v="3442.96"/>
    <x v="5"/>
    <x v="114"/>
    <s v="2023-Sep"/>
    <s v="Net 30"/>
    <d v="2025-07-30T00:00:00"/>
    <n v="0"/>
    <x v="1"/>
    <s v="Not Due"/>
  </r>
  <r>
    <s v="AP10375"/>
    <x v="1"/>
    <x v="320"/>
    <x v="10"/>
    <d v="2023-12-03T00:00:00"/>
    <x v="1"/>
    <n v="1772.7"/>
    <x v="1"/>
    <n v="0"/>
    <x v="1"/>
    <x v="0"/>
    <s v=""/>
    <s v="Net 30"/>
    <d v="2025-07-30T00:00:00"/>
    <n v="605"/>
    <x v="0"/>
    <s v="Due"/>
  </r>
  <r>
    <s v="AP10376"/>
    <x v="2"/>
    <x v="66"/>
    <x v="23"/>
    <d v="2023-03-03T00:00:00"/>
    <x v="1"/>
    <n v="615.4"/>
    <x v="2"/>
    <n v="615.4"/>
    <x v="5"/>
    <x v="33"/>
    <s v="2023-Mar"/>
    <s v="Net 30"/>
    <d v="2025-07-30T00:00:00"/>
    <n v="0"/>
    <x v="1"/>
    <s v="Not Due"/>
  </r>
  <r>
    <s v="AP10377"/>
    <x v="4"/>
    <x v="321"/>
    <x v="14"/>
    <d v="2023-08-21T00:00:00"/>
    <x v="0"/>
    <n v="5688.64"/>
    <x v="1"/>
    <n v="0"/>
    <x v="1"/>
    <x v="0"/>
    <s v=""/>
    <s v="Net 30"/>
    <d v="2025-07-30T00:00:00"/>
    <n v="709"/>
    <x v="0"/>
    <s v="Due"/>
  </r>
  <r>
    <s v="AP10378"/>
    <x v="4"/>
    <x v="322"/>
    <x v="29"/>
    <d v="2024-09-16T00:00:00"/>
    <x v="3"/>
    <n v="3332.33"/>
    <x v="0"/>
    <n v="0"/>
    <x v="129"/>
    <x v="0"/>
    <s v=""/>
    <s v="Net 30"/>
    <d v="2025-07-30T00:00:00"/>
    <n v="317"/>
    <x v="0"/>
    <s v="Due"/>
  </r>
  <r>
    <s v="AP10379"/>
    <x v="4"/>
    <x v="323"/>
    <x v="15"/>
    <d v="2023-10-01T00:00:00"/>
    <x v="3"/>
    <n v="431.39"/>
    <x v="2"/>
    <n v="431.39"/>
    <x v="5"/>
    <x v="115"/>
    <s v="2023-Oct"/>
    <s v="Net 30"/>
    <d v="2025-07-30T00:00:00"/>
    <n v="0"/>
    <x v="1"/>
    <s v="Not Due"/>
  </r>
  <r>
    <s v="AP10380"/>
    <x v="0"/>
    <x v="324"/>
    <x v="7"/>
    <d v="2024-04-11T00:00:00"/>
    <x v="2"/>
    <n v="2990.94"/>
    <x v="0"/>
    <n v="0"/>
    <x v="130"/>
    <x v="0"/>
    <s v=""/>
    <s v="Net 30"/>
    <d v="2025-07-30T00:00:00"/>
    <n v="475"/>
    <x v="0"/>
    <s v="Due"/>
  </r>
  <r>
    <s v="AP10381"/>
    <x v="3"/>
    <x v="101"/>
    <x v="5"/>
    <d v="2024-10-17T00:00:00"/>
    <x v="2"/>
    <n v="986.92"/>
    <x v="2"/>
    <n v="986.92"/>
    <x v="5"/>
    <x v="116"/>
    <s v="2024-Oct"/>
    <s v="Net 30"/>
    <d v="2025-07-30T00:00:00"/>
    <n v="0"/>
    <x v="1"/>
    <s v="Not Due"/>
  </r>
  <r>
    <s v="AP10382"/>
    <x v="4"/>
    <x v="325"/>
    <x v="2"/>
    <d v="2024-03-08T00:00:00"/>
    <x v="4"/>
    <n v="3268.23"/>
    <x v="1"/>
    <n v="0"/>
    <x v="1"/>
    <x v="0"/>
    <s v=""/>
    <s v="Net 30"/>
    <d v="2025-07-30T00:00:00"/>
    <n v="509"/>
    <x v="0"/>
    <s v="Due"/>
  </r>
  <r>
    <s v="AP10383"/>
    <x v="1"/>
    <x v="306"/>
    <x v="22"/>
    <d v="2025-06-19T00:00:00"/>
    <x v="1"/>
    <n v="180.12"/>
    <x v="2"/>
    <n v="180.12"/>
    <x v="5"/>
    <x v="117"/>
    <s v="2025-Jun"/>
    <s v="Net 30"/>
    <d v="2025-07-30T00:00:00"/>
    <n v="0"/>
    <x v="1"/>
    <s v="Not Due"/>
  </r>
  <r>
    <s v="AP10384"/>
    <x v="0"/>
    <x v="326"/>
    <x v="12"/>
    <d v="2024-01-23T00:00:00"/>
    <x v="0"/>
    <n v="3499.6"/>
    <x v="0"/>
    <n v="0"/>
    <x v="131"/>
    <x v="0"/>
    <s v=""/>
    <s v="Net 30"/>
    <d v="2025-07-30T00:00:00"/>
    <n v="554"/>
    <x v="0"/>
    <s v="Due"/>
  </r>
  <r>
    <s v="AP10385"/>
    <x v="4"/>
    <x v="327"/>
    <x v="21"/>
    <d v="2023-02-03T00:00:00"/>
    <x v="0"/>
    <n v="2163.41"/>
    <x v="2"/>
    <n v="2163.41"/>
    <x v="5"/>
    <x v="118"/>
    <s v="2023-Feb"/>
    <s v="Net 30"/>
    <d v="2025-07-30T00:00:00"/>
    <n v="0"/>
    <x v="1"/>
    <s v="Not Due"/>
  </r>
  <r>
    <s v="AP10386"/>
    <x v="4"/>
    <x v="328"/>
    <x v="18"/>
    <d v="2024-12-20T00:00:00"/>
    <x v="4"/>
    <n v="658.54"/>
    <x v="0"/>
    <n v="0"/>
    <x v="132"/>
    <x v="0"/>
    <s v=""/>
    <s v="Net 30"/>
    <d v="2025-07-30T00:00:00"/>
    <n v="222"/>
    <x v="0"/>
    <s v="Due"/>
  </r>
  <r>
    <s v="AP10387"/>
    <x v="0"/>
    <x v="329"/>
    <x v="4"/>
    <d v="2024-08-06T00:00:00"/>
    <x v="2"/>
    <n v="5573.19"/>
    <x v="0"/>
    <n v="0"/>
    <x v="133"/>
    <x v="0"/>
    <s v=""/>
    <s v="Net 30"/>
    <d v="2025-07-30T00:00:00"/>
    <n v="358"/>
    <x v="0"/>
    <s v="Due"/>
  </r>
  <r>
    <s v="AP10388"/>
    <x v="3"/>
    <x v="330"/>
    <x v="12"/>
    <d v="2024-01-11T00:00:00"/>
    <x v="0"/>
    <n v="4872.6099999999997"/>
    <x v="1"/>
    <n v="0"/>
    <x v="1"/>
    <x v="0"/>
    <s v=""/>
    <s v="Net 30"/>
    <d v="2025-07-30T00:00:00"/>
    <n v="566"/>
    <x v="0"/>
    <s v="Due"/>
  </r>
  <r>
    <s v="AP10389"/>
    <x v="2"/>
    <x v="58"/>
    <x v="26"/>
    <d v="2024-05-26T00:00:00"/>
    <x v="1"/>
    <n v="3443.89"/>
    <x v="0"/>
    <n v="0"/>
    <x v="134"/>
    <x v="0"/>
    <s v=""/>
    <s v="Net 30"/>
    <d v="2025-07-30T00:00:00"/>
    <n v="430"/>
    <x v="0"/>
    <s v="Due"/>
  </r>
  <r>
    <s v="AP10390"/>
    <x v="3"/>
    <x v="282"/>
    <x v="26"/>
    <d v="2024-05-05T00:00:00"/>
    <x v="4"/>
    <n v="2218.5100000000002"/>
    <x v="1"/>
    <n v="0"/>
    <x v="1"/>
    <x v="0"/>
    <s v=""/>
    <s v="Net 30"/>
    <d v="2025-07-30T00:00:00"/>
    <n v="451"/>
    <x v="0"/>
    <s v="Due"/>
  </r>
  <r>
    <s v="AP10391"/>
    <x v="1"/>
    <x v="234"/>
    <x v="10"/>
    <d v="2023-12-07T00:00:00"/>
    <x v="3"/>
    <n v="4720.7700000000004"/>
    <x v="2"/>
    <n v="4720.7700000000004"/>
    <x v="5"/>
    <x v="119"/>
    <s v="2023-Dec"/>
    <s v="Net 30"/>
    <d v="2025-07-30T00:00:00"/>
    <n v="0"/>
    <x v="1"/>
    <s v="Not Due"/>
  </r>
  <r>
    <s v="AP10392"/>
    <x v="1"/>
    <x v="331"/>
    <x v="1"/>
    <d v="2024-06-23T00:00:00"/>
    <x v="4"/>
    <n v="3343.06"/>
    <x v="0"/>
    <n v="0"/>
    <x v="135"/>
    <x v="0"/>
    <s v=""/>
    <s v="Net 30"/>
    <d v="2025-07-30T00:00:00"/>
    <n v="402"/>
    <x v="0"/>
    <s v="Due"/>
  </r>
  <r>
    <s v="AP10393"/>
    <x v="1"/>
    <x v="332"/>
    <x v="6"/>
    <d v="2024-07-21T00:00:00"/>
    <x v="3"/>
    <n v="2488.5"/>
    <x v="0"/>
    <n v="0"/>
    <x v="136"/>
    <x v="0"/>
    <s v=""/>
    <s v="Net 30"/>
    <d v="2025-07-30T00:00:00"/>
    <n v="374"/>
    <x v="0"/>
    <s v="Due"/>
  </r>
  <r>
    <s v="AP10394"/>
    <x v="3"/>
    <x v="333"/>
    <x v="3"/>
    <d v="2024-02-16T00:00:00"/>
    <x v="1"/>
    <n v="3384.12"/>
    <x v="1"/>
    <n v="0"/>
    <x v="1"/>
    <x v="0"/>
    <s v=""/>
    <s v="Net 30"/>
    <d v="2025-07-30T00:00:00"/>
    <n v="530"/>
    <x v="0"/>
    <s v="Due"/>
  </r>
  <r>
    <s v="AP10395"/>
    <x v="3"/>
    <x v="90"/>
    <x v="17"/>
    <d v="2023-11-27T00:00:00"/>
    <x v="3"/>
    <n v="3299.79"/>
    <x v="0"/>
    <n v="0"/>
    <x v="137"/>
    <x v="0"/>
    <s v=""/>
    <s v="Net 30"/>
    <d v="2025-07-30T00:00:00"/>
    <n v="611"/>
    <x v="0"/>
    <s v="Due"/>
  </r>
  <r>
    <s v="AP10396"/>
    <x v="1"/>
    <x v="334"/>
    <x v="5"/>
    <d v="2024-10-06T00:00:00"/>
    <x v="2"/>
    <n v="1562.77"/>
    <x v="2"/>
    <n v="1562.77"/>
    <x v="5"/>
    <x v="120"/>
    <s v="2024-Oct"/>
    <s v="Net 30"/>
    <d v="2025-07-30T00:00:00"/>
    <n v="0"/>
    <x v="1"/>
    <s v="Not Due"/>
  </r>
  <r>
    <s v="AP10397"/>
    <x v="3"/>
    <x v="325"/>
    <x v="2"/>
    <d v="2024-03-08T00:00:00"/>
    <x v="1"/>
    <n v="1040.3900000000001"/>
    <x v="0"/>
    <n v="0"/>
    <x v="138"/>
    <x v="0"/>
    <s v=""/>
    <s v="Net 30"/>
    <d v="2025-07-30T00:00:00"/>
    <n v="509"/>
    <x v="0"/>
    <s v="Due"/>
  </r>
  <r>
    <s v="AP10398"/>
    <x v="2"/>
    <x v="335"/>
    <x v="16"/>
    <d v="2023-04-26T00:00:00"/>
    <x v="4"/>
    <n v="3386.3"/>
    <x v="2"/>
    <n v="3386.3"/>
    <x v="5"/>
    <x v="121"/>
    <s v="2023-Apr"/>
    <s v="Net 30"/>
    <d v="2025-07-30T00:00:00"/>
    <n v="0"/>
    <x v="1"/>
    <s v="Not Due"/>
  </r>
  <r>
    <s v="AP10399"/>
    <x v="4"/>
    <x v="230"/>
    <x v="11"/>
    <d v="2023-07-09T00:00:00"/>
    <x v="4"/>
    <n v="3042.09"/>
    <x v="2"/>
    <n v="3042.09"/>
    <x v="5"/>
    <x v="122"/>
    <s v="2023-Jul"/>
    <s v="Net 30"/>
    <d v="2025-07-30T00:00:00"/>
    <n v="0"/>
    <x v="1"/>
    <s v="Not Due"/>
  </r>
  <r>
    <s v="AP10400"/>
    <x v="3"/>
    <x v="336"/>
    <x v="28"/>
    <d v="2025-05-29T00:00:00"/>
    <x v="2"/>
    <n v="6394.73"/>
    <x v="2"/>
    <n v="6394.73"/>
    <x v="5"/>
    <x v="123"/>
    <s v="2025-May"/>
    <s v="Net 30"/>
    <d v="2025-07-30T00:00:00"/>
    <n v="0"/>
    <x v="1"/>
    <s v="Not Due"/>
  </r>
  <r>
    <s v="AP10401"/>
    <x v="3"/>
    <x v="337"/>
    <x v="25"/>
    <d v="2023-09-06T00:00:00"/>
    <x v="3"/>
    <n v="4149.5200000000004"/>
    <x v="2"/>
    <n v="4149.5200000000004"/>
    <x v="5"/>
    <x v="124"/>
    <s v="2023-Sep"/>
    <s v="Net 30"/>
    <d v="2025-07-30T00:00:00"/>
    <n v="0"/>
    <x v="1"/>
    <s v="Not Due"/>
  </r>
  <r>
    <s v="AP10402"/>
    <x v="1"/>
    <x v="124"/>
    <x v="12"/>
    <d v="2024-01-25T00:00:00"/>
    <x v="0"/>
    <n v="1847.77"/>
    <x v="1"/>
    <n v="0"/>
    <x v="1"/>
    <x v="0"/>
    <s v=""/>
    <s v="Net 30"/>
    <d v="2025-07-30T00:00:00"/>
    <n v="552"/>
    <x v="0"/>
    <s v="Due"/>
  </r>
  <r>
    <s v="AP10403"/>
    <x v="0"/>
    <x v="338"/>
    <x v="28"/>
    <d v="2025-05-10T00:00:00"/>
    <x v="3"/>
    <n v="2473.2600000000002"/>
    <x v="0"/>
    <n v="0"/>
    <x v="139"/>
    <x v="0"/>
    <s v=""/>
    <s v="Net 30"/>
    <d v="2025-07-30T00:00:00"/>
    <n v="81"/>
    <x v="4"/>
    <s v="Due"/>
  </r>
  <r>
    <s v="AP10404"/>
    <x v="0"/>
    <x v="339"/>
    <x v="8"/>
    <d v="2024-11-11T00:00:00"/>
    <x v="2"/>
    <n v="4233.1499999999996"/>
    <x v="0"/>
    <n v="0"/>
    <x v="140"/>
    <x v="0"/>
    <s v=""/>
    <s v="Net 30"/>
    <d v="2025-07-30T00:00:00"/>
    <n v="261"/>
    <x v="0"/>
    <s v="Due"/>
  </r>
  <r>
    <s v="AP10405"/>
    <x v="3"/>
    <x v="340"/>
    <x v="28"/>
    <d v="2025-05-28T00:00:00"/>
    <x v="4"/>
    <n v="1614.87"/>
    <x v="2"/>
    <n v="1614.87"/>
    <x v="5"/>
    <x v="125"/>
    <s v="2025-May"/>
    <s v="Net 30"/>
    <d v="2025-07-30T00:00:00"/>
    <n v="0"/>
    <x v="1"/>
    <s v="Not Due"/>
  </r>
  <r>
    <s v="AP10406"/>
    <x v="1"/>
    <x v="117"/>
    <x v="13"/>
    <d v="2025-04-12T00:00:00"/>
    <x v="2"/>
    <n v="3756.04"/>
    <x v="1"/>
    <n v="0"/>
    <x v="1"/>
    <x v="0"/>
    <s v=""/>
    <s v="Net 30"/>
    <d v="2025-07-30T00:00:00"/>
    <n v="109"/>
    <x v="0"/>
    <s v="Due"/>
  </r>
  <r>
    <s v="AP10407"/>
    <x v="4"/>
    <x v="124"/>
    <x v="12"/>
    <d v="2024-01-25T00:00:00"/>
    <x v="3"/>
    <n v="4219.16"/>
    <x v="1"/>
    <n v="0"/>
    <x v="1"/>
    <x v="0"/>
    <s v=""/>
    <s v="Net 30"/>
    <d v="2025-07-30T00:00:00"/>
    <n v="552"/>
    <x v="0"/>
    <s v="Due"/>
  </r>
  <r>
    <s v="AP10408"/>
    <x v="3"/>
    <x v="1"/>
    <x v="1"/>
    <d v="2024-06-17T00:00:00"/>
    <x v="1"/>
    <n v="1963.44"/>
    <x v="0"/>
    <n v="0"/>
    <x v="141"/>
    <x v="0"/>
    <s v=""/>
    <s v="Net 30"/>
    <d v="2025-07-30T00:00:00"/>
    <n v="408"/>
    <x v="0"/>
    <s v="Due"/>
  </r>
  <r>
    <s v="AP10409"/>
    <x v="4"/>
    <x v="261"/>
    <x v="18"/>
    <d v="2024-12-21T00:00:00"/>
    <x v="1"/>
    <n v="2636.59"/>
    <x v="1"/>
    <n v="0"/>
    <x v="1"/>
    <x v="0"/>
    <s v=""/>
    <s v="Net 30"/>
    <d v="2025-07-30T00:00:00"/>
    <n v="221"/>
    <x v="0"/>
    <s v="Due"/>
  </r>
  <r>
    <s v="AP10410"/>
    <x v="3"/>
    <x v="298"/>
    <x v="7"/>
    <d v="2024-04-06T00:00:00"/>
    <x v="4"/>
    <n v="897.68"/>
    <x v="2"/>
    <n v="897.68"/>
    <x v="5"/>
    <x v="104"/>
    <s v="2024-Apr"/>
    <s v="Net 30"/>
    <d v="2025-07-30T00:00:00"/>
    <n v="0"/>
    <x v="1"/>
    <s v="Not Due"/>
  </r>
  <r>
    <s v="AP10411"/>
    <x v="4"/>
    <x v="153"/>
    <x v="8"/>
    <d v="2024-11-20T00:00:00"/>
    <x v="4"/>
    <n v="1198.44"/>
    <x v="0"/>
    <n v="0"/>
    <x v="142"/>
    <x v="0"/>
    <s v=""/>
    <s v="Net 30"/>
    <d v="2025-07-30T00:00:00"/>
    <n v="252"/>
    <x v="0"/>
    <s v="Due"/>
  </r>
  <r>
    <s v="AP10412"/>
    <x v="0"/>
    <x v="341"/>
    <x v="28"/>
    <d v="2025-05-22T00:00:00"/>
    <x v="2"/>
    <n v="5648.67"/>
    <x v="1"/>
    <n v="0"/>
    <x v="1"/>
    <x v="0"/>
    <s v=""/>
    <s v="Net 30"/>
    <d v="2025-07-30T00:00:00"/>
    <n v="69"/>
    <x v="4"/>
    <s v="Due"/>
  </r>
  <r>
    <s v="AP10413"/>
    <x v="3"/>
    <x v="342"/>
    <x v="11"/>
    <d v="2023-07-01T00:00:00"/>
    <x v="1"/>
    <n v="3109"/>
    <x v="1"/>
    <n v="0"/>
    <x v="1"/>
    <x v="0"/>
    <s v=""/>
    <s v="Net 30"/>
    <d v="2025-07-30T00:00:00"/>
    <n v="760"/>
    <x v="0"/>
    <s v="Due"/>
  </r>
  <r>
    <s v="AP10414"/>
    <x v="2"/>
    <x v="155"/>
    <x v="5"/>
    <d v="2024-10-14T00:00:00"/>
    <x v="4"/>
    <n v="311.10000000000002"/>
    <x v="2"/>
    <n v="311.10000000000002"/>
    <x v="5"/>
    <x v="47"/>
    <s v="2024-Oct"/>
    <s v="Net 30"/>
    <d v="2025-07-30T00:00:00"/>
    <n v="0"/>
    <x v="1"/>
    <s v="Not Due"/>
  </r>
  <r>
    <s v="AP10415"/>
    <x v="0"/>
    <x v="343"/>
    <x v="10"/>
    <d v="2023-12-30T00:00:00"/>
    <x v="4"/>
    <n v="1493.54"/>
    <x v="1"/>
    <n v="0"/>
    <x v="1"/>
    <x v="0"/>
    <s v=""/>
    <s v="Net 30"/>
    <d v="2025-07-30T00:00:00"/>
    <n v="578"/>
    <x v="0"/>
    <s v="Due"/>
  </r>
  <r>
    <s v="AP10416"/>
    <x v="3"/>
    <x v="344"/>
    <x v="23"/>
    <d v="2023-03-14T00:00:00"/>
    <x v="2"/>
    <n v="3418.16"/>
    <x v="0"/>
    <n v="0"/>
    <x v="143"/>
    <x v="0"/>
    <s v=""/>
    <s v="Net 30"/>
    <d v="2025-07-30T00:00:00"/>
    <n v="869"/>
    <x v="0"/>
    <s v="Due"/>
  </r>
  <r>
    <s v="AP10417"/>
    <x v="3"/>
    <x v="131"/>
    <x v="12"/>
    <d v="2024-01-04T00:00:00"/>
    <x v="3"/>
    <n v="1960.15"/>
    <x v="1"/>
    <n v="0"/>
    <x v="1"/>
    <x v="0"/>
    <s v=""/>
    <s v="Net 30"/>
    <d v="2025-07-30T00:00:00"/>
    <n v="573"/>
    <x v="0"/>
    <s v="Due"/>
  </r>
  <r>
    <s v="AP10418"/>
    <x v="2"/>
    <x v="345"/>
    <x v="14"/>
    <d v="2023-08-23T00:00:00"/>
    <x v="4"/>
    <n v="2280.02"/>
    <x v="1"/>
    <n v="0"/>
    <x v="1"/>
    <x v="0"/>
    <s v=""/>
    <s v="Net 30"/>
    <d v="2025-07-30T00:00:00"/>
    <n v="707"/>
    <x v="0"/>
    <s v="Due"/>
  </r>
  <r>
    <s v="AP10419"/>
    <x v="4"/>
    <x v="346"/>
    <x v="9"/>
    <d v="2023-06-30T00:00:00"/>
    <x v="3"/>
    <n v="576.42999999999995"/>
    <x v="2"/>
    <n v="576.42999999999995"/>
    <x v="5"/>
    <x v="126"/>
    <s v="2023-Jun"/>
    <s v="Net 30"/>
    <d v="2025-07-30T00:00:00"/>
    <n v="0"/>
    <x v="1"/>
    <s v="Not Due"/>
  </r>
  <r>
    <s v="AP10420"/>
    <x v="3"/>
    <x v="347"/>
    <x v="19"/>
    <d v="2025-02-12T00:00:00"/>
    <x v="3"/>
    <n v="460.35"/>
    <x v="0"/>
    <n v="0"/>
    <x v="144"/>
    <x v="0"/>
    <s v=""/>
    <s v="Net 30"/>
    <d v="2025-07-30T00:00:00"/>
    <n v="168"/>
    <x v="0"/>
    <s v="Due"/>
  </r>
  <r>
    <s v="AP10421"/>
    <x v="3"/>
    <x v="195"/>
    <x v="27"/>
    <d v="2025-03-18T00:00:00"/>
    <x v="3"/>
    <n v="2305.42"/>
    <x v="0"/>
    <n v="0"/>
    <x v="145"/>
    <x v="0"/>
    <s v=""/>
    <s v="Net 30"/>
    <d v="2025-07-30T00:00:00"/>
    <n v="134"/>
    <x v="0"/>
    <s v="Due"/>
  </r>
  <r>
    <s v="AP10422"/>
    <x v="2"/>
    <x v="348"/>
    <x v="12"/>
    <d v="2024-01-15T00:00:00"/>
    <x v="2"/>
    <n v="3564.97"/>
    <x v="1"/>
    <n v="0"/>
    <x v="1"/>
    <x v="0"/>
    <s v=""/>
    <s v="Net 30"/>
    <d v="2025-07-30T00:00:00"/>
    <n v="562"/>
    <x v="0"/>
    <s v="Due"/>
  </r>
  <r>
    <s v="AP10423"/>
    <x v="1"/>
    <x v="349"/>
    <x v="2"/>
    <d v="2024-03-21T00:00:00"/>
    <x v="0"/>
    <n v="1830.17"/>
    <x v="0"/>
    <n v="0"/>
    <x v="146"/>
    <x v="0"/>
    <s v=""/>
    <s v="Net 30"/>
    <d v="2025-07-30T00:00:00"/>
    <n v="496"/>
    <x v="0"/>
    <s v="Due"/>
  </r>
  <r>
    <s v="AP10424"/>
    <x v="1"/>
    <x v="350"/>
    <x v="9"/>
    <d v="2023-06-14T00:00:00"/>
    <x v="1"/>
    <n v="3062.41"/>
    <x v="0"/>
    <n v="0"/>
    <x v="147"/>
    <x v="0"/>
    <s v=""/>
    <s v="Net 30"/>
    <d v="2025-07-30T00:00:00"/>
    <n v="777"/>
    <x v="0"/>
    <s v="Due"/>
  </r>
  <r>
    <s v="AP10425"/>
    <x v="0"/>
    <x v="230"/>
    <x v="11"/>
    <d v="2023-07-09T00:00:00"/>
    <x v="1"/>
    <n v="2213.91"/>
    <x v="2"/>
    <n v="2213.91"/>
    <x v="5"/>
    <x v="122"/>
    <s v="2023-Jul"/>
    <s v="Net 30"/>
    <d v="2025-07-30T00:00:00"/>
    <n v="0"/>
    <x v="1"/>
    <s v="Not Due"/>
  </r>
  <r>
    <s v="AP10426"/>
    <x v="2"/>
    <x v="21"/>
    <x v="0"/>
    <d v="2025-01-26T00:00:00"/>
    <x v="4"/>
    <n v="1168.28"/>
    <x v="1"/>
    <n v="0"/>
    <x v="1"/>
    <x v="0"/>
    <s v=""/>
    <s v="Net 30"/>
    <d v="2025-07-30T00:00:00"/>
    <n v="185"/>
    <x v="0"/>
    <s v="Due"/>
  </r>
  <r>
    <s v="AP10427"/>
    <x v="0"/>
    <x v="351"/>
    <x v="14"/>
    <d v="2023-08-07T00:00:00"/>
    <x v="3"/>
    <n v="4738.84"/>
    <x v="1"/>
    <n v="0"/>
    <x v="1"/>
    <x v="0"/>
    <s v=""/>
    <s v="Net 30"/>
    <d v="2025-07-30T00:00:00"/>
    <n v="723"/>
    <x v="0"/>
    <s v="Due"/>
  </r>
  <r>
    <s v="AP10428"/>
    <x v="0"/>
    <x v="352"/>
    <x v="15"/>
    <d v="2023-10-10T00:00:00"/>
    <x v="1"/>
    <n v="1999.88"/>
    <x v="1"/>
    <n v="0"/>
    <x v="1"/>
    <x v="0"/>
    <s v=""/>
    <s v="Net 30"/>
    <d v="2025-07-30T00:00:00"/>
    <n v="659"/>
    <x v="0"/>
    <s v="Due"/>
  </r>
  <r>
    <s v="AP10429"/>
    <x v="0"/>
    <x v="353"/>
    <x v="0"/>
    <d v="2025-01-14T00:00:00"/>
    <x v="2"/>
    <n v="3917.88"/>
    <x v="0"/>
    <n v="0"/>
    <x v="148"/>
    <x v="0"/>
    <s v=""/>
    <s v="Net 30"/>
    <d v="2025-07-30T00:00:00"/>
    <n v="197"/>
    <x v="0"/>
    <s v="Due"/>
  </r>
  <r>
    <s v="AP10430"/>
    <x v="2"/>
    <x v="354"/>
    <x v="6"/>
    <d v="2024-07-04T00:00:00"/>
    <x v="4"/>
    <n v="1679.91"/>
    <x v="0"/>
    <n v="0"/>
    <x v="149"/>
    <x v="0"/>
    <s v=""/>
    <s v="Net 30"/>
    <d v="2025-07-30T00:00:00"/>
    <n v="391"/>
    <x v="0"/>
    <s v="Due"/>
  </r>
  <r>
    <s v="AP10431"/>
    <x v="4"/>
    <x v="355"/>
    <x v="17"/>
    <d v="2023-11-19T00:00:00"/>
    <x v="3"/>
    <n v="3148.17"/>
    <x v="0"/>
    <n v="0"/>
    <x v="150"/>
    <x v="0"/>
    <s v=""/>
    <s v="Net 30"/>
    <d v="2025-07-30T00:00:00"/>
    <n v="619"/>
    <x v="0"/>
    <s v="Due"/>
  </r>
  <r>
    <s v="AP10432"/>
    <x v="4"/>
    <x v="356"/>
    <x v="8"/>
    <d v="2024-11-07T00:00:00"/>
    <x v="2"/>
    <n v="1872.62"/>
    <x v="2"/>
    <n v="1872.62"/>
    <x v="5"/>
    <x v="127"/>
    <s v="2024-Nov"/>
    <s v="Net 30"/>
    <d v="2025-07-30T00:00:00"/>
    <n v="0"/>
    <x v="1"/>
    <s v="Not Due"/>
  </r>
  <r>
    <s v="AP10433"/>
    <x v="3"/>
    <x v="357"/>
    <x v="27"/>
    <d v="2025-03-13T00:00:00"/>
    <x v="2"/>
    <n v="374.13"/>
    <x v="0"/>
    <n v="0"/>
    <x v="151"/>
    <x v="0"/>
    <s v=""/>
    <s v="Net 30"/>
    <d v="2025-07-30T00:00:00"/>
    <n v="139"/>
    <x v="0"/>
    <s v="Due"/>
  </r>
  <r>
    <s v="AP10434"/>
    <x v="0"/>
    <x v="358"/>
    <x v="16"/>
    <d v="2023-04-30T00:00:00"/>
    <x v="0"/>
    <n v="2648.01"/>
    <x v="1"/>
    <n v="0"/>
    <x v="1"/>
    <x v="0"/>
    <s v=""/>
    <s v="Net 30"/>
    <d v="2025-07-30T00:00:00"/>
    <n v="822"/>
    <x v="0"/>
    <s v="Due"/>
  </r>
  <r>
    <s v="AP10435"/>
    <x v="3"/>
    <x v="359"/>
    <x v="15"/>
    <d v="2023-10-12T00:00:00"/>
    <x v="1"/>
    <n v="578.29999999999995"/>
    <x v="2"/>
    <n v="578.29999999999995"/>
    <x v="5"/>
    <x v="128"/>
    <s v="2023-Oct"/>
    <s v="Net 30"/>
    <d v="2025-07-30T00:00:00"/>
    <n v="0"/>
    <x v="1"/>
    <s v="Not Due"/>
  </r>
  <r>
    <s v="AP10436"/>
    <x v="2"/>
    <x v="360"/>
    <x v="23"/>
    <d v="2023-03-09T00:00:00"/>
    <x v="4"/>
    <n v="1867.7"/>
    <x v="0"/>
    <n v="0"/>
    <x v="152"/>
    <x v="0"/>
    <s v=""/>
    <s v="Net 30"/>
    <d v="2025-07-30T00:00:00"/>
    <n v="874"/>
    <x v="0"/>
    <s v="Due"/>
  </r>
  <r>
    <s v="AP10437"/>
    <x v="3"/>
    <x v="31"/>
    <x v="17"/>
    <d v="2023-11-10T00:00:00"/>
    <x v="3"/>
    <n v="4967.66"/>
    <x v="2"/>
    <n v="4967.66"/>
    <x v="5"/>
    <x v="9"/>
    <s v="2023-Nov"/>
    <s v="Net 30"/>
    <d v="2025-07-30T00:00:00"/>
    <n v="0"/>
    <x v="1"/>
    <s v="Not Due"/>
  </r>
  <r>
    <s v="AP10438"/>
    <x v="0"/>
    <x v="361"/>
    <x v="7"/>
    <d v="2024-04-09T00:00:00"/>
    <x v="0"/>
    <n v="609.04"/>
    <x v="0"/>
    <n v="0"/>
    <x v="153"/>
    <x v="0"/>
    <s v=""/>
    <s v="Net 30"/>
    <d v="2025-07-30T00:00:00"/>
    <n v="477"/>
    <x v="0"/>
    <s v="Due"/>
  </r>
  <r>
    <s v="AP10439"/>
    <x v="2"/>
    <x v="226"/>
    <x v="9"/>
    <d v="2023-06-28T00:00:00"/>
    <x v="0"/>
    <n v="4057.95"/>
    <x v="2"/>
    <n v="4057.95"/>
    <x v="5"/>
    <x v="74"/>
    <s v="2023-Jun"/>
    <s v="Net 30"/>
    <d v="2025-07-30T00:00:00"/>
    <n v="0"/>
    <x v="1"/>
    <s v="Not Due"/>
  </r>
  <r>
    <s v="AP10440"/>
    <x v="1"/>
    <x v="170"/>
    <x v="23"/>
    <d v="2023-03-06T00:00:00"/>
    <x v="0"/>
    <n v="2621.11"/>
    <x v="2"/>
    <n v="2621.11"/>
    <x v="5"/>
    <x v="129"/>
    <s v="2023-Mar"/>
    <s v="Net 30"/>
    <d v="2025-07-30T00:00:00"/>
    <n v="0"/>
    <x v="1"/>
    <s v="Not Due"/>
  </r>
  <r>
    <s v="AP10441"/>
    <x v="4"/>
    <x v="31"/>
    <x v="17"/>
    <d v="2023-11-10T00:00:00"/>
    <x v="2"/>
    <n v="4785.03"/>
    <x v="2"/>
    <n v="4785.03"/>
    <x v="5"/>
    <x v="9"/>
    <s v="2023-Nov"/>
    <s v="Net 30"/>
    <d v="2025-07-30T00:00:00"/>
    <n v="0"/>
    <x v="1"/>
    <s v="Not Due"/>
  </r>
  <r>
    <s v="AP10442"/>
    <x v="1"/>
    <x v="311"/>
    <x v="28"/>
    <d v="2025-05-09T00:00:00"/>
    <x v="1"/>
    <n v="2749.87"/>
    <x v="0"/>
    <n v="0"/>
    <x v="154"/>
    <x v="0"/>
    <s v=""/>
    <s v="Net 30"/>
    <d v="2025-07-30T00:00:00"/>
    <n v="82"/>
    <x v="4"/>
    <s v="Due"/>
  </r>
  <r>
    <s v="AP10443"/>
    <x v="2"/>
    <x v="362"/>
    <x v="9"/>
    <d v="2023-06-16T00:00:00"/>
    <x v="4"/>
    <n v="2821.27"/>
    <x v="2"/>
    <n v="2821.27"/>
    <x v="5"/>
    <x v="130"/>
    <s v="2023-Jun"/>
    <s v="Net 30"/>
    <d v="2025-07-30T00:00:00"/>
    <n v="0"/>
    <x v="1"/>
    <s v="Not Due"/>
  </r>
  <r>
    <s v="AP10444"/>
    <x v="2"/>
    <x v="363"/>
    <x v="16"/>
    <d v="2023-04-21T00:00:00"/>
    <x v="2"/>
    <n v="6714.86"/>
    <x v="1"/>
    <n v="0"/>
    <x v="1"/>
    <x v="0"/>
    <s v=""/>
    <s v="Net 30"/>
    <d v="2025-07-30T00:00:00"/>
    <n v="831"/>
    <x v="0"/>
    <s v="Due"/>
  </r>
  <r>
    <s v="AP10445"/>
    <x v="2"/>
    <x v="364"/>
    <x v="10"/>
    <d v="2023-12-04T00:00:00"/>
    <x v="3"/>
    <n v="1079.6099999999999"/>
    <x v="0"/>
    <n v="0"/>
    <x v="155"/>
    <x v="0"/>
    <s v=""/>
    <s v="Net 30"/>
    <d v="2025-07-30T00:00:00"/>
    <n v="604"/>
    <x v="0"/>
    <s v="Due"/>
  </r>
  <r>
    <s v="AP10446"/>
    <x v="2"/>
    <x v="365"/>
    <x v="9"/>
    <d v="2023-06-25T00:00:00"/>
    <x v="4"/>
    <n v="3374.19"/>
    <x v="2"/>
    <n v="3374.19"/>
    <x v="5"/>
    <x v="131"/>
    <s v="2023-Jun"/>
    <s v="Net 30"/>
    <d v="2025-07-30T00:00:00"/>
    <n v="0"/>
    <x v="1"/>
    <s v="Not Due"/>
  </r>
  <r>
    <s v="AP10447"/>
    <x v="2"/>
    <x v="366"/>
    <x v="12"/>
    <d v="2024-01-03T00:00:00"/>
    <x v="3"/>
    <n v="705.05"/>
    <x v="1"/>
    <n v="0"/>
    <x v="1"/>
    <x v="0"/>
    <s v=""/>
    <s v="Net 30"/>
    <d v="2025-07-30T00:00:00"/>
    <n v="574"/>
    <x v="0"/>
    <s v="Due"/>
  </r>
  <r>
    <s v="AP10448"/>
    <x v="3"/>
    <x v="73"/>
    <x v="9"/>
    <d v="2023-06-21T00:00:00"/>
    <x v="1"/>
    <n v="862.02"/>
    <x v="0"/>
    <n v="0"/>
    <x v="156"/>
    <x v="0"/>
    <s v=""/>
    <s v="Net 30"/>
    <d v="2025-07-30T00:00:00"/>
    <n v="770"/>
    <x v="0"/>
    <s v="Due"/>
  </r>
  <r>
    <s v="AP10449"/>
    <x v="3"/>
    <x v="367"/>
    <x v="8"/>
    <d v="2024-11-05T00:00:00"/>
    <x v="3"/>
    <n v="232.29"/>
    <x v="2"/>
    <n v="232.29"/>
    <x v="5"/>
    <x v="132"/>
    <s v="2024-Nov"/>
    <s v="Net 30"/>
    <d v="2025-07-30T00:00:00"/>
    <n v="0"/>
    <x v="1"/>
    <s v="Not Due"/>
  </r>
  <r>
    <s v="AP10450"/>
    <x v="1"/>
    <x v="368"/>
    <x v="3"/>
    <d v="2024-02-25T00:00:00"/>
    <x v="0"/>
    <n v="4893.1099999999997"/>
    <x v="1"/>
    <n v="0"/>
    <x v="1"/>
    <x v="0"/>
    <s v=""/>
    <s v="Net 30"/>
    <d v="2025-07-30T00:00:00"/>
    <n v="521"/>
    <x v="0"/>
    <s v="Due"/>
  </r>
  <r>
    <s v="AP10451"/>
    <x v="4"/>
    <x v="213"/>
    <x v="3"/>
    <d v="2024-02-23T00:00:00"/>
    <x v="4"/>
    <n v="2660.25"/>
    <x v="2"/>
    <n v="2660.25"/>
    <x v="5"/>
    <x v="133"/>
    <s v="2024-Feb"/>
    <s v="Net 30"/>
    <d v="2025-07-30T00:00:00"/>
    <n v="0"/>
    <x v="1"/>
    <s v="Not Due"/>
  </r>
  <r>
    <s v="AP10452"/>
    <x v="3"/>
    <x v="207"/>
    <x v="3"/>
    <d v="2024-02-27T00:00:00"/>
    <x v="3"/>
    <n v="3133.53"/>
    <x v="2"/>
    <n v="3133.53"/>
    <x v="5"/>
    <x v="134"/>
    <s v="2024-Feb"/>
    <s v="Net 30"/>
    <d v="2025-07-30T00:00:00"/>
    <n v="0"/>
    <x v="1"/>
    <s v="Not Due"/>
  </r>
  <r>
    <s v="AP10453"/>
    <x v="0"/>
    <x v="193"/>
    <x v="6"/>
    <d v="2024-07-17T00:00:00"/>
    <x v="3"/>
    <n v="2405.39"/>
    <x v="2"/>
    <n v="2405.39"/>
    <x v="5"/>
    <x v="135"/>
    <s v="2024-Jul"/>
    <s v="Net 30"/>
    <d v="2025-07-30T00:00:00"/>
    <n v="0"/>
    <x v="1"/>
    <s v="Not Due"/>
  </r>
  <r>
    <s v="AP10454"/>
    <x v="3"/>
    <x v="254"/>
    <x v="3"/>
    <d v="2024-02-10T00:00:00"/>
    <x v="3"/>
    <n v="1074.8499999999999"/>
    <x v="1"/>
    <n v="0"/>
    <x v="1"/>
    <x v="0"/>
    <s v=""/>
    <s v="Net 30"/>
    <d v="2025-07-30T00:00:00"/>
    <n v="536"/>
    <x v="0"/>
    <s v="Due"/>
  </r>
  <r>
    <s v="AP10455"/>
    <x v="2"/>
    <x v="369"/>
    <x v="0"/>
    <d v="2025-01-21T00:00:00"/>
    <x v="2"/>
    <n v="4564.21"/>
    <x v="0"/>
    <n v="0"/>
    <x v="157"/>
    <x v="0"/>
    <s v=""/>
    <s v="Net 30"/>
    <d v="2025-07-30T00:00:00"/>
    <n v="190"/>
    <x v="0"/>
    <s v="Due"/>
  </r>
  <r>
    <s v="AP10456"/>
    <x v="4"/>
    <x v="370"/>
    <x v="27"/>
    <d v="2025-03-14T00:00:00"/>
    <x v="4"/>
    <n v="301.97000000000003"/>
    <x v="2"/>
    <n v="301.97000000000003"/>
    <x v="5"/>
    <x v="136"/>
    <s v="2025-Mar"/>
    <s v="Net 30"/>
    <d v="2025-07-30T00:00:00"/>
    <n v="0"/>
    <x v="1"/>
    <s v="Not Due"/>
  </r>
  <r>
    <s v="AP10457"/>
    <x v="1"/>
    <x v="26"/>
    <x v="7"/>
    <d v="2024-04-24T00:00:00"/>
    <x v="1"/>
    <n v="1230.48"/>
    <x v="0"/>
    <n v="0"/>
    <x v="158"/>
    <x v="0"/>
    <s v=""/>
    <s v="Net 30"/>
    <d v="2025-07-30T00:00:00"/>
    <n v="462"/>
    <x v="0"/>
    <s v="Due"/>
  </r>
  <r>
    <s v="AP10458"/>
    <x v="2"/>
    <x v="371"/>
    <x v="26"/>
    <d v="2024-05-15T00:00:00"/>
    <x v="2"/>
    <n v="2099.6"/>
    <x v="2"/>
    <n v="2099.6"/>
    <x v="5"/>
    <x v="137"/>
    <s v="2024-May"/>
    <s v="Net 30"/>
    <d v="2025-07-30T00:00:00"/>
    <n v="0"/>
    <x v="1"/>
    <s v="Not Due"/>
  </r>
  <r>
    <s v="AP10459"/>
    <x v="2"/>
    <x v="372"/>
    <x v="15"/>
    <d v="2023-10-29T00:00:00"/>
    <x v="4"/>
    <n v="2457.35"/>
    <x v="1"/>
    <n v="0"/>
    <x v="1"/>
    <x v="0"/>
    <s v=""/>
    <s v="Net 30"/>
    <d v="2025-07-30T00:00:00"/>
    <n v="640"/>
    <x v="0"/>
    <s v="Due"/>
  </r>
  <r>
    <s v="AP10460"/>
    <x v="0"/>
    <x v="373"/>
    <x v="22"/>
    <d v="2025-06-01T00:00:00"/>
    <x v="3"/>
    <n v="3597.78"/>
    <x v="1"/>
    <n v="0"/>
    <x v="1"/>
    <x v="0"/>
    <s v=""/>
    <s v="Net 30"/>
    <d v="2025-07-30T00:00:00"/>
    <n v="59"/>
    <x v="2"/>
    <s v="Due"/>
  </r>
  <r>
    <s v="AP10461"/>
    <x v="1"/>
    <x v="374"/>
    <x v="18"/>
    <d v="2024-12-03T00:00:00"/>
    <x v="0"/>
    <n v="3076.69"/>
    <x v="0"/>
    <n v="0"/>
    <x v="159"/>
    <x v="0"/>
    <s v=""/>
    <s v="Net 30"/>
    <d v="2025-07-30T00:00:00"/>
    <n v="239"/>
    <x v="0"/>
    <s v="Due"/>
  </r>
  <r>
    <s v="AP10462"/>
    <x v="1"/>
    <x v="375"/>
    <x v="23"/>
    <d v="2023-03-28T00:00:00"/>
    <x v="4"/>
    <n v="3402.79"/>
    <x v="1"/>
    <n v="0"/>
    <x v="1"/>
    <x v="0"/>
    <s v=""/>
    <s v="Net 30"/>
    <d v="2025-07-30T00:00:00"/>
    <n v="855"/>
    <x v="0"/>
    <s v="Due"/>
  </r>
  <r>
    <s v="AP10463"/>
    <x v="4"/>
    <x v="376"/>
    <x v="18"/>
    <d v="2024-12-28T00:00:00"/>
    <x v="1"/>
    <n v="1126.6099999999999"/>
    <x v="1"/>
    <n v="0"/>
    <x v="1"/>
    <x v="0"/>
    <s v=""/>
    <s v="Net 30"/>
    <d v="2025-07-30T00:00:00"/>
    <n v="214"/>
    <x v="0"/>
    <s v="Due"/>
  </r>
  <r>
    <s v="AP10464"/>
    <x v="3"/>
    <x v="377"/>
    <x v="7"/>
    <d v="2024-04-22T00:00:00"/>
    <x v="2"/>
    <n v="2754.27"/>
    <x v="0"/>
    <n v="0"/>
    <x v="160"/>
    <x v="0"/>
    <s v=""/>
    <s v="Net 30"/>
    <d v="2025-07-30T00:00:00"/>
    <n v="464"/>
    <x v="0"/>
    <s v="Due"/>
  </r>
  <r>
    <s v="AP10465"/>
    <x v="0"/>
    <x v="378"/>
    <x v="8"/>
    <d v="2024-11-08T00:00:00"/>
    <x v="3"/>
    <n v="1142.8399999999999"/>
    <x v="2"/>
    <n v="1142.8399999999999"/>
    <x v="5"/>
    <x v="138"/>
    <s v="2024-Nov"/>
    <s v="Net 30"/>
    <d v="2025-07-30T00:00:00"/>
    <n v="0"/>
    <x v="1"/>
    <s v="Not Due"/>
  </r>
  <r>
    <s v="AP10466"/>
    <x v="3"/>
    <x v="172"/>
    <x v="1"/>
    <d v="2024-06-01T00:00:00"/>
    <x v="2"/>
    <n v="4622.26"/>
    <x v="0"/>
    <n v="0"/>
    <x v="161"/>
    <x v="0"/>
    <s v=""/>
    <s v="Net 30"/>
    <d v="2025-07-30T00:00:00"/>
    <n v="424"/>
    <x v="0"/>
    <s v="Due"/>
  </r>
  <r>
    <s v="AP10467"/>
    <x v="0"/>
    <x v="177"/>
    <x v="9"/>
    <d v="2023-06-29T00:00:00"/>
    <x v="2"/>
    <n v="6458.68"/>
    <x v="1"/>
    <n v="0"/>
    <x v="1"/>
    <x v="0"/>
    <s v=""/>
    <s v="Net 30"/>
    <d v="2025-07-30T00:00:00"/>
    <n v="762"/>
    <x v="0"/>
    <s v="Due"/>
  </r>
  <r>
    <s v="AP10468"/>
    <x v="0"/>
    <x v="379"/>
    <x v="22"/>
    <d v="2025-06-11T00:00:00"/>
    <x v="2"/>
    <n v="4947.16"/>
    <x v="1"/>
    <n v="0"/>
    <x v="1"/>
    <x v="0"/>
    <s v=""/>
    <s v="Net 30"/>
    <d v="2025-07-30T00:00:00"/>
    <n v="49"/>
    <x v="2"/>
    <s v="Due"/>
  </r>
  <r>
    <s v="AP10469"/>
    <x v="1"/>
    <x v="298"/>
    <x v="7"/>
    <d v="2024-04-06T00:00:00"/>
    <x v="1"/>
    <n v="1922.38"/>
    <x v="1"/>
    <n v="0"/>
    <x v="1"/>
    <x v="0"/>
    <s v=""/>
    <s v="Net 30"/>
    <d v="2025-07-30T00:00:00"/>
    <n v="480"/>
    <x v="0"/>
    <s v="Due"/>
  </r>
  <r>
    <s v="AP10470"/>
    <x v="0"/>
    <x v="380"/>
    <x v="18"/>
    <d v="2024-12-23T00:00:00"/>
    <x v="0"/>
    <n v="247.92"/>
    <x v="0"/>
    <n v="0"/>
    <x v="162"/>
    <x v="0"/>
    <s v=""/>
    <s v="Net 30"/>
    <d v="2025-07-30T00:00:00"/>
    <n v="219"/>
    <x v="0"/>
    <s v="Due"/>
  </r>
  <r>
    <s v="AP10471"/>
    <x v="0"/>
    <x v="381"/>
    <x v="10"/>
    <d v="2023-12-24T00:00:00"/>
    <x v="2"/>
    <n v="1331.75"/>
    <x v="2"/>
    <n v="1331.75"/>
    <x v="5"/>
    <x v="139"/>
    <s v="2023-Dec"/>
    <s v="Net 30"/>
    <d v="2025-07-30T00:00:00"/>
    <n v="0"/>
    <x v="1"/>
    <s v="Not Due"/>
  </r>
  <r>
    <s v="AP10472"/>
    <x v="2"/>
    <x v="382"/>
    <x v="12"/>
    <d v="2024-01-01T00:00:00"/>
    <x v="2"/>
    <n v="1603.22"/>
    <x v="0"/>
    <n v="0"/>
    <x v="163"/>
    <x v="0"/>
    <s v=""/>
    <s v="Net 30"/>
    <d v="2025-07-30T00:00:00"/>
    <n v="576"/>
    <x v="0"/>
    <s v="Due"/>
  </r>
  <r>
    <s v="AP10473"/>
    <x v="1"/>
    <x v="383"/>
    <x v="2"/>
    <d v="2024-03-03T00:00:00"/>
    <x v="4"/>
    <n v="1259.93"/>
    <x v="0"/>
    <n v="0"/>
    <x v="164"/>
    <x v="0"/>
    <s v=""/>
    <s v="Net 30"/>
    <d v="2025-07-30T00:00:00"/>
    <n v="514"/>
    <x v="0"/>
    <s v="Due"/>
  </r>
  <r>
    <s v="AP10474"/>
    <x v="1"/>
    <x v="376"/>
    <x v="18"/>
    <d v="2024-12-28T00:00:00"/>
    <x v="4"/>
    <n v="2308.37"/>
    <x v="2"/>
    <n v="2308.37"/>
    <x v="5"/>
    <x v="140"/>
    <s v="2024-Dec"/>
    <s v="Net 30"/>
    <d v="2025-07-30T00:00:00"/>
    <n v="0"/>
    <x v="1"/>
    <s v="Not Due"/>
  </r>
  <r>
    <s v="AP10475"/>
    <x v="1"/>
    <x v="384"/>
    <x v="17"/>
    <d v="2023-11-29T00:00:00"/>
    <x v="0"/>
    <n v="2809.36"/>
    <x v="2"/>
    <n v="2809.36"/>
    <x v="5"/>
    <x v="141"/>
    <s v="2023-Nov"/>
    <s v="Net 30"/>
    <d v="2025-07-30T00:00:00"/>
    <n v="0"/>
    <x v="1"/>
    <s v="Not Due"/>
  </r>
  <r>
    <s v="AP10476"/>
    <x v="4"/>
    <x v="294"/>
    <x v="10"/>
    <d v="2023-12-05T00:00:00"/>
    <x v="3"/>
    <n v="382.4"/>
    <x v="1"/>
    <n v="0"/>
    <x v="1"/>
    <x v="0"/>
    <s v=""/>
    <s v="Net 30"/>
    <d v="2025-07-30T00:00:00"/>
    <n v="603"/>
    <x v="0"/>
    <s v="Due"/>
  </r>
  <r>
    <s v="AP10477"/>
    <x v="2"/>
    <x v="385"/>
    <x v="11"/>
    <d v="2023-07-29T00:00:00"/>
    <x v="1"/>
    <n v="2891.36"/>
    <x v="2"/>
    <n v="2891.36"/>
    <x v="5"/>
    <x v="142"/>
    <s v="2023-Jul"/>
    <s v="Net 30"/>
    <d v="2025-07-30T00:00:00"/>
    <n v="0"/>
    <x v="1"/>
    <s v="Not Due"/>
  </r>
  <r>
    <s v="AP10478"/>
    <x v="3"/>
    <x v="349"/>
    <x v="2"/>
    <d v="2024-03-21T00:00:00"/>
    <x v="4"/>
    <n v="3438.42"/>
    <x v="0"/>
    <n v="0"/>
    <x v="165"/>
    <x v="0"/>
    <s v=""/>
    <s v="Net 30"/>
    <d v="2025-07-30T00:00:00"/>
    <n v="496"/>
    <x v="0"/>
    <s v="Due"/>
  </r>
  <r>
    <s v="AP10479"/>
    <x v="1"/>
    <x v="386"/>
    <x v="15"/>
    <d v="2023-10-16T00:00:00"/>
    <x v="2"/>
    <n v="2173.67"/>
    <x v="1"/>
    <n v="0"/>
    <x v="1"/>
    <x v="0"/>
    <s v=""/>
    <s v="Net 30"/>
    <d v="2025-07-30T00:00:00"/>
    <n v="653"/>
    <x v="0"/>
    <s v="Due"/>
  </r>
  <r>
    <s v="AP10480"/>
    <x v="1"/>
    <x v="278"/>
    <x v="27"/>
    <d v="2025-03-21T00:00:00"/>
    <x v="3"/>
    <n v="4973.3"/>
    <x v="0"/>
    <n v="0"/>
    <x v="166"/>
    <x v="0"/>
    <s v=""/>
    <s v="Net 30"/>
    <d v="2025-07-30T00:00:00"/>
    <n v="131"/>
    <x v="0"/>
    <s v="Due"/>
  </r>
  <r>
    <s v="AP10481"/>
    <x v="2"/>
    <x v="387"/>
    <x v="11"/>
    <d v="2023-07-22T00:00:00"/>
    <x v="0"/>
    <n v="835.93"/>
    <x v="0"/>
    <n v="0"/>
    <x v="167"/>
    <x v="0"/>
    <s v=""/>
    <s v="Net 30"/>
    <d v="2025-07-30T00:00:00"/>
    <n v="739"/>
    <x v="0"/>
    <s v="Due"/>
  </r>
  <r>
    <s v="AP10482"/>
    <x v="3"/>
    <x v="388"/>
    <x v="19"/>
    <d v="2025-02-26T00:00:00"/>
    <x v="2"/>
    <n v="1887.09"/>
    <x v="2"/>
    <n v="1887.09"/>
    <x v="5"/>
    <x v="143"/>
    <s v="2025-Feb"/>
    <s v="Net 30"/>
    <d v="2025-07-30T00:00:00"/>
    <n v="0"/>
    <x v="1"/>
    <s v="Not Due"/>
  </r>
  <r>
    <s v="AP10483"/>
    <x v="0"/>
    <x v="389"/>
    <x v="24"/>
    <d v="2025-07-15T00:00:00"/>
    <x v="2"/>
    <n v="909.12"/>
    <x v="2"/>
    <n v="909.12"/>
    <x v="5"/>
    <x v="144"/>
    <s v="2025-Jul"/>
    <s v="Net 30"/>
    <d v="2025-07-30T00:00:00"/>
    <n v="0"/>
    <x v="1"/>
    <s v="Not Due"/>
  </r>
  <r>
    <s v="AP10484"/>
    <x v="2"/>
    <x v="390"/>
    <x v="15"/>
    <d v="2023-10-23T00:00:00"/>
    <x v="4"/>
    <n v="114.23"/>
    <x v="2"/>
    <n v="114.23"/>
    <x v="5"/>
    <x v="145"/>
    <s v="2023-Oct"/>
    <s v="Net 30"/>
    <d v="2025-07-30T00:00:00"/>
    <n v="0"/>
    <x v="1"/>
    <s v="Not Due"/>
  </r>
  <r>
    <s v="AP10485"/>
    <x v="4"/>
    <x v="391"/>
    <x v="2"/>
    <d v="2024-03-25T00:00:00"/>
    <x v="3"/>
    <n v="502.65"/>
    <x v="1"/>
    <n v="0"/>
    <x v="1"/>
    <x v="0"/>
    <s v=""/>
    <s v="Net 30"/>
    <d v="2025-07-30T00:00:00"/>
    <n v="492"/>
    <x v="0"/>
    <s v="Due"/>
  </r>
  <r>
    <s v="AP10486"/>
    <x v="3"/>
    <x v="392"/>
    <x v="23"/>
    <d v="2023-03-16T00:00:00"/>
    <x v="0"/>
    <n v="2486.0100000000002"/>
    <x v="0"/>
    <n v="0"/>
    <x v="168"/>
    <x v="0"/>
    <s v=""/>
    <s v="Net 30"/>
    <d v="2025-07-30T00:00:00"/>
    <n v="867"/>
    <x v="0"/>
    <s v="Due"/>
  </r>
  <r>
    <s v="AP10487"/>
    <x v="4"/>
    <x v="299"/>
    <x v="21"/>
    <d v="2023-02-10T00:00:00"/>
    <x v="3"/>
    <n v="386.6"/>
    <x v="1"/>
    <n v="0"/>
    <x v="1"/>
    <x v="0"/>
    <s v=""/>
    <s v="Net 30"/>
    <d v="2025-07-30T00:00:00"/>
    <n v="901"/>
    <x v="0"/>
    <s v="Due"/>
  </r>
  <r>
    <s v="AP10488"/>
    <x v="3"/>
    <x v="345"/>
    <x v="14"/>
    <d v="2023-08-23T00:00:00"/>
    <x v="3"/>
    <n v="3185.2"/>
    <x v="0"/>
    <n v="0"/>
    <x v="169"/>
    <x v="0"/>
    <s v=""/>
    <s v="Net 30"/>
    <d v="2025-07-30T00:00:00"/>
    <n v="707"/>
    <x v="0"/>
    <s v="Due"/>
  </r>
  <r>
    <s v="AP10489"/>
    <x v="3"/>
    <x v="282"/>
    <x v="26"/>
    <d v="2024-05-05T00:00:00"/>
    <x v="1"/>
    <n v="2033.93"/>
    <x v="1"/>
    <n v="0"/>
    <x v="1"/>
    <x v="0"/>
    <s v=""/>
    <s v="Net 30"/>
    <d v="2025-07-30T00:00:00"/>
    <n v="451"/>
    <x v="0"/>
    <s v="Due"/>
  </r>
  <r>
    <s v="AP10490"/>
    <x v="4"/>
    <x v="28"/>
    <x v="16"/>
    <d v="2023-04-05T00:00:00"/>
    <x v="4"/>
    <n v="2805.38"/>
    <x v="2"/>
    <n v="2805.38"/>
    <x v="5"/>
    <x v="146"/>
    <s v="2023-Apr"/>
    <s v="Net 30"/>
    <d v="2025-07-30T00:00:00"/>
    <n v="0"/>
    <x v="1"/>
    <s v="Not Due"/>
  </r>
  <r>
    <s v="AP10491"/>
    <x v="3"/>
    <x v="129"/>
    <x v="0"/>
    <d v="2025-01-04T00:00:00"/>
    <x v="3"/>
    <n v="3623.95"/>
    <x v="1"/>
    <n v="0"/>
    <x v="1"/>
    <x v="0"/>
    <s v=""/>
    <s v="Net 30"/>
    <d v="2025-07-30T00:00:00"/>
    <n v="207"/>
    <x v="0"/>
    <s v="Due"/>
  </r>
  <r>
    <s v="AP10492"/>
    <x v="2"/>
    <x v="393"/>
    <x v="1"/>
    <d v="2024-06-20T00:00:00"/>
    <x v="3"/>
    <n v="1803.9"/>
    <x v="1"/>
    <n v="0"/>
    <x v="1"/>
    <x v="0"/>
    <s v=""/>
    <s v="Net 30"/>
    <d v="2025-07-30T00:00:00"/>
    <n v="405"/>
    <x v="0"/>
    <s v="Due"/>
  </r>
  <r>
    <s v="AP10493"/>
    <x v="0"/>
    <x v="385"/>
    <x v="11"/>
    <d v="2023-07-29T00:00:00"/>
    <x v="3"/>
    <n v="2543.84"/>
    <x v="1"/>
    <n v="0"/>
    <x v="1"/>
    <x v="0"/>
    <s v=""/>
    <s v="Net 30"/>
    <d v="2025-07-30T00:00:00"/>
    <n v="732"/>
    <x v="0"/>
    <s v="Due"/>
  </r>
  <r>
    <s v="AP10494"/>
    <x v="4"/>
    <x v="35"/>
    <x v="14"/>
    <d v="2023-08-20T00:00:00"/>
    <x v="1"/>
    <n v="211.24"/>
    <x v="0"/>
    <n v="0"/>
    <x v="170"/>
    <x v="0"/>
    <s v=""/>
    <s v="Net 30"/>
    <d v="2025-07-30T00:00:00"/>
    <n v="710"/>
    <x v="0"/>
    <s v="Due"/>
  </r>
  <r>
    <s v="AP10495"/>
    <x v="2"/>
    <x v="394"/>
    <x v="29"/>
    <d v="2024-09-17T00:00:00"/>
    <x v="3"/>
    <n v="688.61"/>
    <x v="2"/>
    <n v="688.61"/>
    <x v="5"/>
    <x v="147"/>
    <s v="2024-Sep"/>
    <s v="Net 30"/>
    <d v="2025-07-30T00:00:00"/>
    <n v="0"/>
    <x v="1"/>
    <s v="Not Due"/>
  </r>
  <r>
    <s v="AP10496"/>
    <x v="3"/>
    <x v="395"/>
    <x v="12"/>
    <d v="2024-01-27T00:00:00"/>
    <x v="3"/>
    <n v="1121.18"/>
    <x v="1"/>
    <n v="0"/>
    <x v="1"/>
    <x v="0"/>
    <s v=""/>
    <s v="Net 30"/>
    <d v="2025-07-30T00:00:00"/>
    <n v="550"/>
    <x v="0"/>
    <s v="Due"/>
  </r>
  <r>
    <s v="AP10497"/>
    <x v="1"/>
    <x v="287"/>
    <x v="26"/>
    <d v="2024-05-13T00:00:00"/>
    <x v="0"/>
    <n v="4604.01"/>
    <x v="1"/>
    <n v="0"/>
    <x v="1"/>
    <x v="0"/>
    <s v=""/>
    <s v="Net 30"/>
    <d v="2025-07-30T00:00:00"/>
    <n v="443"/>
    <x v="0"/>
    <s v="Due"/>
  </r>
  <r>
    <s v="AP10498"/>
    <x v="2"/>
    <x v="396"/>
    <x v="2"/>
    <d v="2024-03-06T00:00:00"/>
    <x v="3"/>
    <n v="597.75"/>
    <x v="0"/>
    <n v="0"/>
    <x v="171"/>
    <x v="0"/>
    <s v=""/>
    <s v="Net 30"/>
    <d v="2025-07-30T00:00:00"/>
    <n v="511"/>
    <x v="0"/>
    <s v="Due"/>
  </r>
  <r>
    <s v="AP10499"/>
    <x v="0"/>
    <x v="397"/>
    <x v="19"/>
    <d v="2025-02-22T00:00:00"/>
    <x v="3"/>
    <n v="1752.55"/>
    <x v="0"/>
    <n v="0"/>
    <x v="172"/>
    <x v="0"/>
    <s v=""/>
    <s v="Net 30"/>
    <d v="2025-07-30T00:00:00"/>
    <n v="158"/>
    <x v="0"/>
    <s v="Due"/>
  </r>
  <r>
    <s v="AP10500"/>
    <x v="2"/>
    <x v="166"/>
    <x v="16"/>
    <d v="2023-04-12T00:00:00"/>
    <x v="0"/>
    <n v="4064.61"/>
    <x v="0"/>
    <n v="0"/>
    <x v="173"/>
    <x v="0"/>
    <s v=""/>
    <s v="Net 30"/>
    <d v="2025-07-30T00:00:00"/>
    <n v="840"/>
    <x v="0"/>
    <s v="Due"/>
  </r>
  <r>
    <s v="AP10501"/>
    <x v="0"/>
    <x v="398"/>
    <x v="8"/>
    <d v="2024-11-18T00:00:00"/>
    <x v="4"/>
    <n v="823.12"/>
    <x v="1"/>
    <n v="0"/>
    <x v="1"/>
    <x v="0"/>
    <s v=""/>
    <s v="Net 30"/>
    <d v="2025-07-30T00:00:00"/>
    <n v="254"/>
    <x v="0"/>
    <s v="Due"/>
  </r>
  <r>
    <s v="AP10502"/>
    <x v="4"/>
    <x v="399"/>
    <x v="5"/>
    <d v="2024-10-20T00:00:00"/>
    <x v="0"/>
    <n v="741.26"/>
    <x v="2"/>
    <n v="741.26"/>
    <x v="5"/>
    <x v="148"/>
    <s v="2024-Oct"/>
    <s v="Net 30"/>
    <d v="2025-07-30T00:00:00"/>
    <n v="0"/>
    <x v="1"/>
    <s v="Not Due"/>
  </r>
  <r>
    <s v="AP10503"/>
    <x v="1"/>
    <x v="400"/>
    <x v="28"/>
    <d v="2025-05-14T00:00:00"/>
    <x v="0"/>
    <n v="3888.56"/>
    <x v="0"/>
    <n v="0"/>
    <x v="174"/>
    <x v="0"/>
    <s v=""/>
    <s v="Net 30"/>
    <d v="2025-07-30T00:00:00"/>
    <n v="77"/>
    <x v="4"/>
    <s v="Due"/>
  </r>
  <r>
    <s v="AP10504"/>
    <x v="0"/>
    <x v="353"/>
    <x v="0"/>
    <d v="2025-01-14T00:00:00"/>
    <x v="0"/>
    <n v="4140.28"/>
    <x v="1"/>
    <n v="0"/>
    <x v="1"/>
    <x v="0"/>
    <s v=""/>
    <s v="Net 30"/>
    <d v="2025-07-30T00:00:00"/>
    <n v="197"/>
    <x v="0"/>
    <s v="Due"/>
  </r>
  <r>
    <s v="AP10505"/>
    <x v="2"/>
    <x v="401"/>
    <x v="28"/>
    <d v="2025-05-30T00:00:00"/>
    <x v="3"/>
    <n v="2971.5"/>
    <x v="0"/>
    <n v="0"/>
    <x v="175"/>
    <x v="0"/>
    <s v=""/>
    <s v="Net 30"/>
    <d v="2025-07-30T00:00:00"/>
    <n v="61"/>
    <x v="4"/>
    <s v="Due"/>
  </r>
  <r>
    <s v="AP10506"/>
    <x v="0"/>
    <x v="402"/>
    <x v="22"/>
    <d v="2025-06-08T00:00:00"/>
    <x v="4"/>
    <n v="2119.8000000000002"/>
    <x v="2"/>
    <n v="2119.8000000000002"/>
    <x v="5"/>
    <x v="149"/>
    <s v="2025-Jun"/>
    <s v="Net 30"/>
    <d v="2025-07-30T00:00:00"/>
    <n v="0"/>
    <x v="1"/>
    <s v="Not Due"/>
  </r>
  <r>
    <s v="AP10507"/>
    <x v="2"/>
    <x v="403"/>
    <x v="6"/>
    <d v="2024-07-29T00:00:00"/>
    <x v="2"/>
    <n v="6201.29"/>
    <x v="2"/>
    <n v="6201.29"/>
    <x v="5"/>
    <x v="150"/>
    <s v="2024-Jul"/>
    <s v="Net 30"/>
    <d v="2025-07-30T00:00:00"/>
    <n v="0"/>
    <x v="1"/>
    <s v="Not Due"/>
  </r>
  <r>
    <s v="AP10508"/>
    <x v="2"/>
    <x v="404"/>
    <x v="16"/>
    <d v="2023-04-16T00:00:00"/>
    <x v="4"/>
    <n v="2584.08"/>
    <x v="0"/>
    <n v="0"/>
    <x v="176"/>
    <x v="0"/>
    <s v=""/>
    <s v="Net 30"/>
    <d v="2025-07-30T00:00:00"/>
    <n v="836"/>
    <x v="0"/>
    <s v="Due"/>
  </r>
  <r>
    <s v="AP10509"/>
    <x v="2"/>
    <x v="192"/>
    <x v="21"/>
    <d v="2023-02-21T00:00:00"/>
    <x v="0"/>
    <n v="2316.25"/>
    <x v="1"/>
    <n v="0"/>
    <x v="1"/>
    <x v="0"/>
    <s v=""/>
    <s v="Net 30"/>
    <d v="2025-07-30T00:00:00"/>
    <n v="890"/>
    <x v="0"/>
    <s v="Due"/>
  </r>
  <r>
    <s v="AP10510"/>
    <x v="0"/>
    <x v="327"/>
    <x v="21"/>
    <d v="2023-02-03T00:00:00"/>
    <x v="1"/>
    <n v="3357.86"/>
    <x v="0"/>
    <n v="0"/>
    <x v="177"/>
    <x v="0"/>
    <s v=""/>
    <s v="Net 30"/>
    <d v="2025-07-30T00:00:00"/>
    <n v="908"/>
    <x v="0"/>
    <s v="Due"/>
  </r>
  <r>
    <s v="AP10511"/>
    <x v="4"/>
    <x v="405"/>
    <x v="14"/>
    <d v="2023-08-10T00:00:00"/>
    <x v="1"/>
    <n v="2217.63"/>
    <x v="1"/>
    <n v="0"/>
    <x v="1"/>
    <x v="0"/>
    <s v=""/>
    <s v="Net 30"/>
    <d v="2025-07-30T00:00:00"/>
    <n v="720"/>
    <x v="0"/>
    <s v="Due"/>
  </r>
  <r>
    <s v="AP10512"/>
    <x v="2"/>
    <x v="406"/>
    <x v="15"/>
    <d v="2023-10-27T00:00:00"/>
    <x v="2"/>
    <n v="6734.36"/>
    <x v="0"/>
    <n v="0"/>
    <x v="178"/>
    <x v="0"/>
    <s v=""/>
    <s v="Net 30"/>
    <d v="2025-07-30T00:00:00"/>
    <n v="642"/>
    <x v="0"/>
    <s v="Due"/>
  </r>
  <r>
    <s v="AP10513"/>
    <x v="0"/>
    <x v="407"/>
    <x v="6"/>
    <d v="2024-07-03T00:00:00"/>
    <x v="4"/>
    <n v="1843.4"/>
    <x v="0"/>
    <n v="0"/>
    <x v="179"/>
    <x v="0"/>
    <s v=""/>
    <s v="Net 30"/>
    <d v="2025-07-30T00:00:00"/>
    <n v="392"/>
    <x v="0"/>
    <s v="Due"/>
  </r>
  <r>
    <s v="AP10514"/>
    <x v="2"/>
    <x v="157"/>
    <x v="0"/>
    <d v="2025-01-10T00:00:00"/>
    <x v="2"/>
    <n v="5180.91"/>
    <x v="0"/>
    <n v="0"/>
    <x v="180"/>
    <x v="0"/>
    <s v=""/>
    <s v="Net 30"/>
    <d v="2025-07-30T00:00:00"/>
    <n v="201"/>
    <x v="0"/>
    <s v="Due"/>
  </r>
  <r>
    <s v="AP10515"/>
    <x v="1"/>
    <x v="408"/>
    <x v="12"/>
    <d v="2024-01-30T00:00:00"/>
    <x v="1"/>
    <n v="3464.37"/>
    <x v="0"/>
    <n v="0"/>
    <x v="181"/>
    <x v="0"/>
    <s v=""/>
    <s v="Net 30"/>
    <d v="2025-07-30T00:00:00"/>
    <n v="547"/>
    <x v="0"/>
    <s v="Due"/>
  </r>
  <r>
    <s v="AP10516"/>
    <x v="1"/>
    <x v="409"/>
    <x v="5"/>
    <d v="2024-10-03T00:00:00"/>
    <x v="1"/>
    <n v="1896.16"/>
    <x v="0"/>
    <n v="0"/>
    <x v="182"/>
    <x v="0"/>
    <s v=""/>
    <s v="Net 30"/>
    <d v="2025-07-30T00:00:00"/>
    <n v="300"/>
    <x v="0"/>
    <s v="Due"/>
  </r>
  <r>
    <s v="AP10517"/>
    <x v="4"/>
    <x v="410"/>
    <x v="15"/>
    <d v="2023-10-04T00:00:00"/>
    <x v="1"/>
    <n v="1204.23"/>
    <x v="0"/>
    <n v="0"/>
    <x v="183"/>
    <x v="0"/>
    <s v=""/>
    <s v="Net 30"/>
    <d v="2025-07-30T00:00:00"/>
    <n v="665"/>
    <x v="0"/>
    <s v="Due"/>
  </r>
  <r>
    <s v="AP10518"/>
    <x v="0"/>
    <x v="411"/>
    <x v="24"/>
    <d v="2025-07-17T00:00:00"/>
    <x v="3"/>
    <n v="556.64"/>
    <x v="1"/>
    <n v="0"/>
    <x v="1"/>
    <x v="0"/>
    <s v=""/>
    <s v="Net 30"/>
    <d v="2025-07-30T00:00:00"/>
    <n v="13"/>
    <x v="3"/>
    <s v="Due"/>
  </r>
  <r>
    <s v="AP10519"/>
    <x v="3"/>
    <x v="412"/>
    <x v="19"/>
    <d v="2025-02-13T00:00:00"/>
    <x v="0"/>
    <n v="2426.63"/>
    <x v="1"/>
    <n v="0"/>
    <x v="1"/>
    <x v="0"/>
    <s v=""/>
    <s v="Net 30"/>
    <d v="2025-07-30T00:00:00"/>
    <n v="167"/>
    <x v="0"/>
    <s v="Due"/>
  </r>
  <r>
    <s v="AP10520"/>
    <x v="4"/>
    <x v="413"/>
    <x v="2"/>
    <d v="2024-03-27T00:00:00"/>
    <x v="2"/>
    <n v="1664.6"/>
    <x v="1"/>
    <n v="0"/>
    <x v="1"/>
    <x v="0"/>
    <s v=""/>
    <s v="Net 30"/>
    <d v="2025-07-30T00:00:00"/>
    <n v="490"/>
    <x v="0"/>
    <s v="Due"/>
  </r>
  <r>
    <s v="AP10521"/>
    <x v="1"/>
    <x v="299"/>
    <x v="21"/>
    <d v="2023-02-10T00:00:00"/>
    <x v="4"/>
    <n v="1157.03"/>
    <x v="1"/>
    <n v="0"/>
    <x v="1"/>
    <x v="0"/>
    <s v=""/>
    <s v="Net 30"/>
    <d v="2025-07-30T00:00:00"/>
    <n v="901"/>
    <x v="0"/>
    <s v="Due"/>
  </r>
  <r>
    <s v="AP10522"/>
    <x v="0"/>
    <x v="302"/>
    <x v="6"/>
    <d v="2024-07-09T00:00:00"/>
    <x v="2"/>
    <n v="3767.91"/>
    <x v="2"/>
    <n v="3767.91"/>
    <x v="5"/>
    <x v="151"/>
    <s v="2024-Jul"/>
    <s v="Net 30"/>
    <d v="2025-07-30T00:00:00"/>
    <n v="0"/>
    <x v="1"/>
    <s v="Not Due"/>
  </r>
  <r>
    <s v="AP10523"/>
    <x v="3"/>
    <x v="414"/>
    <x v="8"/>
    <d v="2024-11-30T00:00:00"/>
    <x v="4"/>
    <n v="1181.3"/>
    <x v="1"/>
    <n v="0"/>
    <x v="1"/>
    <x v="0"/>
    <s v=""/>
    <s v="Net 30"/>
    <d v="2025-07-30T00:00:00"/>
    <n v="242"/>
    <x v="0"/>
    <s v="Due"/>
  </r>
  <r>
    <s v="AP10524"/>
    <x v="2"/>
    <x v="415"/>
    <x v="5"/>
    <d v="2024-10-04T00:00:00"/>
    <x v="4"/>
    <n v="395.22"/>
    <x v="2"/>
    <n v="395.22"/>
    <x v="5"/>
    <x v="152"/>
    <s v="2024-Oct"/>
    <s v="Net 30"/>
    <d v="2025-07-30T00:00:00"/>
    <n v="0"/>
    <x v="1"/>
    <s v="Not Due"/>
  </r>
  <r>
    <s v="AP10525"/>
    <x v="4"/>
    <x v="416"/>
    <x v="5"/>
    <d v="2024-10-23T00:00:00"/>
    <x v="2"/>
    <n v="5028.55"/>
    <x v="0"/>
    <n v="0"/>
    <x v="184"/>
    <x v="0"/>
    <s v=""/>
    <s v="Net 30"/>
    <d v="2025-07-30T00:00:00"/>
    <n v="280"/>
    <x v="0"/>
    <s v="Due"/>
  </r>
  <r>
    <s v="AP10526"/>
    <x v="4"/>
    <x v="213"/>
    <x v="3"/>
    <d v="2024-02-23T00:00:00"/>
    <x v="1"/>
    <n v="1166.9000000000001"/>
    <x v="1"/>
    <n v="0"/>
    <x v="1"/>
    <x v="0"/>
    <s v=""/>
    <s v="Net 30"/>
    <d v="2025-07-30T00:00:00"/>
    <n v="523"/>
    <x v="0"/>
    <s v="Due"/>
  </r>
  <r>
    <s v="AP10527"/>
    <x v="0"/>
    <x v="417"/>
    <x v="13"/>
    <d v="2025-04-01T00:00:00"/>
    <x v="0"/>
    <n v="272.18"/>
    <x v="1"/>
    <n v="0"/>
    <x v="1"/>
    <x v="0"/>
    <s v=""/>
    <s v="Net 30"/>
    <d v="2025-07-30T00:00:00"/>
    <n v="120"/>
    <x v="0"/>
    <s v="Due"/>
  </r>
  <r>
    <s v="AP10528"/>
    <x v="0"/>
    <x v="252"/>
    <x v="8"/>
    <d v="2024-11-15T00:00:00"/>
    <x v="4"/>
    <n v="862.75"/>
    <x v="1"/>
    <n v="0"/>
    <x v="1"/>
    <x v="0"/>
    <s v=""/>
    <s v="Net 30"/>
    <d v="2025-07-30T00:00:00"/>
    <n v="257"/>
    <x v="0"/>
    <s v="Due"/>
  </r>
  <r>
    <s v="AP10529"/>
    <x v="4"/>
    <x v="418"/>
    <x v="24"/>
    <d v="2025-07-18T00:00:00"/>
    <x v="2"/>
    <n v="2472.46"/>
    <x v="1"/>
    <n v="0"/>
    <x v="1"/>
    <x v="0"/>
    <s v=""/>
    <s v="Net 30"/>
    <d v="2025-07-30T00:00:00"/>
    <n v="12"/>
    <x v="3"/>
    <s v="Due"/>
  </r>
  <r>
    <s v="AP10530"/>
    <x v="4"/>
    <x v="419"/>
    <x v="27"/>
    <d v="2025-03-04T00:00:00"/>
    <x v="1"/>
    <n v="2705.55"/>
    <x v="2"/>
    <n v="2705.55"/>
    <x v="5"/>
    <x v="153"/>
    <s v="2025-Mar"/>
    <s v="Net 30"/>
    <d v="2025-07-30T00:00:00"/>
    <n v="0"/>
    <x v="1"/>
    <s v="Not Due"/>
  </r>
  <r>
    <s v="AP10531"/>
    <x v="1"/>
    <x v="141"/>
    <x v="25"/>
    <d v="2023-09-15T00:00:00"/>
    <x v="0"/>
    <n v="5480.61"/>
    <x v="2"/>
    <n v="5480.61"/>
    <x v="5"/>
    <x v="154"/>
    <s v="2023-Sep"/>
    <s v="Net 30"/>
    <d v="2025-07-30T00:00:00"/>
    <n v="0"/>
    <x v="1"/>
    <s v="Not Due"/>
  </r>
  <r>
    <s v="AP10532"/>
    <x v="3"/>
    <x v="125"/>
    <x v="22"/>
    <d v="2025-06-04T00:00:00"/>
    <x v="1"/>
    <n v="1681.85"/>
    <x v="1"/>
    <n v="0"/>
    <x v="1"/>
    <x v="0"/>
    <s v=""/>
    <s v="Net 30"/>
    <d v="2025-07-30T00:00:00"/>
    <n v="56"/>
    <x v="2"/>
    <s v="Due"/>
  </r>
  <r>
    <s v="AP10533"/>
    <x v="2"/>
    <x v="420"/>
    <x v="29"/>
    <d v="2024-09-11T00:00:00"/>
    <x v="2"/>
    <n v="4754.63"/>
    <x v="1"/>
    <n v="0"/>
    <x v="1"/>
    <x v="0"/>
    <s v=""/>
    <s v="Net 30"/>
    <d v="2025-07-30T00:00:00"/>
    <n v="322"/>
    <x v="0"/>
    <s v="Due"/>
  </r>
  <r>
    <s v="AP10534"/>
    <x v="3"/>
    <x v="421"/>
    <x v="25"/>
    <d v="2023-09-07T00:00:00"/>
    <x v="2"/>
    <n v="5071.95"/>
    <x v="2"/>
    <n v="5071.95"/>
    <x v="5"/>
    <x v="155"/>
    <s v="2023-Sep"/>
    <s v="Net 30"/>
    <d v="2025-07-30T00:00:00"/>
    <n v="0"/>
    <x v="1"/>
    <s v="Not Due"/>
  </r>
  <r>
    <s v="AP10535"/>
    <x v="3"/>
    <x v="422"/>
    <x v="5"/>
    <d v="2024-10-07T00:00:00"/>
    <x v="1"/>
    <n v="263.95999999999998"/>
    <x v="0"/>
    <n v="0"/>
    <x v="185"/>
    <x v="0"/>
    <s v=""/>
    <s v="Net 30"/>
    <d v="2025-07-30T00:00:00"/>
    <n v="296"/>
    <x v="0"/>
    <s v="Due"/>
  </r>
  <r>
    <s v="AP10536"/>
    <x v="4"/>
    <x v="423"/>
    <x v="26"/>
    <d v="2024-05-01T00:00:00"/>
    <x v="0"/>
    <n v="4399.88"/>
    <x v="0"/>
    <n v="0"/>
    <x v="186"/>
    <x v="0"/>
    <s v=""/>
    <s v="Net 30"/>
    <d v="2025-07-30T00:00:00"/>
    <n v="455"/>
    <x v="0"/>
    <s v="Due"/>
  </r>
  <r>
    <s v="AP10537"/>
    <x v="2"/>
    <x v="371"/>
    <x v="26"/>
    <d v="2024-05-15T00:00:00"/>
    <x v="0"/>
    <n v="5035.6099999999997"/>
    <x v="1"/>
    <n v="0"/>
    <x v="1"/>
    <x v="0"/>
    <s v=""/>
    <s v="Net 30"/>
    <d v="2025-07-30T00:00:00"/>
    <n v="441"/>
    <x v="0"/>
    <s v="Due"/>
  </r>
  <r>
    <s v="AP10538"/>
    <x v="4"/>
    <x v="424"/>
    <x v="4"/>
    <d v="2024-08-26T00:00:00"/>
    <x v="1"/>
    <n v="2633.97"/>
    <x v="2"/>
    <n v="2633.97"/>
    <x v="5"/>
    <x v="156"/>
    <s v="2024-Aug"/>
    <s v="Net 30"/>
    <d v="2025-07-30T00:00:00"/>
    <n v="0"/>
    <x v="1"/>
    <s v="Not Due"/>
  </r>
  <r>
    <s v="AP10539"/>
    <x v="1"/>
    <x v="187"/>
    <x v="13"/>
    <d v="2025-04-10T00:00:00"/>
    <x v="4"/>
    <n v="76.83"/>
    <x v="2"/>
    <n v="76.83"/>
    <x v="5"/>
    <x v="157"/>
    <s v="2025-Apr"/>
    <s v="Net 30"/>
    <d v="2025-07-30T00:00:00"/>
    <n v="0"/>
    <x v="1"/>
    <s v="Not Due"/>
  </r>
  <r>
    <s v="AP10540"/>
    <x v="1"/>
    <x v="425"/>
    <x v="21"/>
    <d v="2023-02-20T00:00:00"/>
    <x v="1"/>
    <n v="1631.01"/>
    <x v="1"/>
    <n v="0"/>
    <x v="1"/>
    <x v="0"/>
    <s v=""/>
    <s v="Net 30"/>
    <d v="2025-07-30T00:00:00"/>
    <n v="891"/>
    <x v="0"/>
    <s v="Due"/>
  </r>
  <r>
    <s v="AP10541"/>
    <x v="3"/>
    <x v="426"/>
    <x v="21"/>
    <d v="2023-02-14T00:00:00"/>
    <x v="1"/>
    <n v="1477.7"/>
    <x v="0"/>
    <n v="0"/>
    <x v="187"/>
    <x v="0"/>
    <s v=""/>
    <s v="Net 30"/>
    <d v="2025-07-30T00:00:00"/>
    <n v="897"/>
    <x v="0"/>
    <s v="Due"/>
  </r>
  <r>
    <s v="AP10542"/>
    <x v="3"/>
    <x v="125"/>
    <x v="22"/>
    <d v="2025-06-04T00:00:00"/>
    <x v="2"/>
    <n v="5131.32"/>
    <x v="2"/>
    <n v="5131.32"/>
    <x v="5"/>
    <x v="158"/>
    <s v="2025-Jun"/>
    <s v="Net 30"/>
    <d v="2025-07-30T00:00:00"/>
    <n v="0"/>
    <x v="1"/>
    <s v="Not Due"/>
  </r>
  <r>
    <s v="AP10543"/>
    <x v="1"/>
    <x v="231"/>
    <x v="24"/>
    <d v="2025-07-07T00:00:00"/>
    <x v="0"/>
    <n v="3306.84"/>
    <x v="2"/>
    <n v="3306.84"/>
    <x v="5"/>
    <x v="77"/>
    <s v="2025-Jul"/>
    <s v="Net 30"/>
    <d v="2025-07-30T00:00:00"/>
    <n v="0"/>
    <x v="1"/>
    <s v="Not Due"/>
  </r>
  <r>
    <s v="AP10544"/>
    <x v="1"/>
    <x v="427"/>
    <x v="14"/>
    <d v="2023-08-14T00:00:00"/>
    <x v="2"/>
    <n v="3073.54"/>
    <x v="0"/>
    <n v="0"/>
    <x v="188"/>
    <x v="0"/>
    <s v=""/>
    <s v="Net 30"/>
    <d v="2025-07-30T00:00:00"/>
    <n v="716"/>
    <x v="0"/>
    <s v="Due"/>
  </r>
  <r>
    <s v="AP10545"/>
    <x v="1"/>
    <x v="238"/>
    <x v="19"/>
    <d v="2025-02-28T00:00:00"/>
    <x v="0"/>
    <n v="121.12"/>
    <x v="1"/>
    <n v="0"/>
    <x v="1"/>
    <x v="0"/>
    <s v=""/>
    <s v="Net 30"/>
    <d v="2025-07-30T00:00:00"/>
    <n v="152"/>
    <x v="0"/>
    <s v="Due"/>
  </r>
  <r>
    <s v="AP10546"/>
    <x v="4"/>
    <x v="428"/>
    <x v="24"/>
    <d v="2025-07-10T00:00:00"/>
    <x v="2"/>
    <n v="5299.22"/>
    <x v="1"/>
    <n v="0"/>
    <x v="1"/>
    <x v="0"/>
    <s v=""/>
    <s v="Net 30"/>
    <d v="2025-07-30T00:00:00"/>
    <n v="20"/>
    <x v="3"/>
    <s v="Due"/>
  </r>
  <r>
    <s v="AP10547"/>
    <x v="3"/>
    <x v="429"/>
    <x v="4"/>
    <d v="2024-08-02T00:00:00"/>
    <x v="0"/>
    <n v="322.19"/>
    <x v="0"/>
    <n v="0"/>
    <x v="189"/>
    <x v="0"/>
    <s v=""/>
    <s v="Net 30"/>
    <d v="2025-07-30T00:00:00"/>
    <n v="362"/>
    <x v="0"/>
    <s v="Due"/>
  </r>
  <r>
    <s v="AP10548"/>
    <x v="0"/>
    <x v="430"/>
    <x v="11"/>
    <d v="2023-07-19T00:00:00"/>
    <x v="3"/>
    <n v="4610.3100000000004"/>
    <x v="1"/>
    <n v="0"/>
    <x v="1"/>
    <x v="0"/>
    <s v=""/>
    <s v="Net 30"/>
    <d v="2025-07-30T00:00:00"/>
    <n v="742"/>
    <x v="0"/>
    <s v="Due"/>
  </r>
  <r>
    <s v="AP10549"/>
    <x v="2"/>
    <x v="431"/>
    <x v="24"/>
    <d v="2025-07-04T00:00:00"/>
    <x v="2"/>
    <n v="1746.23"/>
    <x v="2"/>
    <n v="1746.23"/>
    <x v="5"/>
    <x v="159"/>
    <s v="2025-Jul"/>
    <s v="Net 30"/>
    <d v="2025-07-30T00:00:00"/>
    <n v="0"/>
    <x v="1"/>
    <s v="Not Due"/>
  </r>
  <r>
    <s v="AP10550"/>
    <x v="4"/>
    <x v="264"/>
    <x v="9"/>
    <d v="2023-06-22T00:00:00"/>
    <x v="2"/>
    <n v="5098.6000000000004"/>
    <x v="1"/>
    <n v="0"/>
    <x v="1"/>
    <x v="0"/>
    <s v=""/>
    <s v="Net 30"/>
    <d v="2025-07-30T00:00:00"/>
    <n v="769"/>
    <x v="0"/>
    <s v="Due"/>
  </r>
  <r>
    <s v="AP10551"/>
    <x v="1"/>
    <x v="364"/>
    <x v="10"/>
    <d v="2023-12-04T00:00:00"/>
    <x v="2"/>
    <n v="5090.28"/>
    <x v="0"/>
    <n v="0"/>
    <x v="190"/>
    <x v="0"/>
    <s v=""/>
    <s v="Net 30"/>
    <d v="2025-07-30T00:00:00"/>
    <n v="604"/>
    <x v="0"/>
    <s v="Due"/>
  </r>
  <r>
    <s v="AP10552"/>
    <x v="0"/>
    <x v="432"/>
    <x v="0"/>
    <d v="2025-01-17T00:00:00"/>
    <x v="3"/>
    <n v="4464.8999999999996"/>
    <x v="2"/>
    <n v="4464.8999999999996"/>
    <x v="5"/>
    <x v="160"/>
    <s v="2025-Jan"/>
    <s v="Net 30"/>
    <d v="2025-07-30T00:00:00"/>
    <n v="0"/>
    <x v="1"/>
    <s v="Not Due"/>
  </r>
  <r>
    <s v="AP10553"/>
    <x v="4"/>
    <x v="126"/>
    <x v="6"/>
    <d v="2024-07-28T00:00:00"/>
    <x v="3"/>
    <n v="4957.1499999999996"/>
    <x v="0"/>
    <n v="0"/>
    <x v="191"/>
    <x v="0"/>
    <s v=""/>
    <s v="Net 30"/>
    <d v="2025-07-30T00:00:00"/>
    <n v="367"/>
    <x v="0"/>
    <s v="Due"/>
  </r>
  <r>
    <s v="AP10554"/>
    <x v="3"/>
    <x v="224"/>
    <x v="4"/>
    <d v="2024-08-29T00:00:00"/>
    <x v="2"/>
    <n v="176.52"/>
    <x v="0"/>
    <n v="0"/>
    <x v="192"/>
    <x v="0"/>
    <s v=""/>
    <s v="Net 30"/>
    <d v="2025-07-30T00:00:00"/>
    <n v="335"/>
    <x v="0"/>
    <s v="Due"/>
  </r>
  <r>
    <s v="AP10555"/>
    <x v="1"/>
    <x v="433"/>
    <x v="11"/>
    <d v="2023-07-03T00:00:00"/>
    <x v="4"/>
    <n v="2987.81"/>
    <x v="2"/>
    <n v="2987.81"/>
    <x v="5"/>
    <x v="161"/>
    <s v="2023-Jul"/>
    <s v="Net 30"/>
    <d v="2025-07-30T00:00:00"/>
    <n v="0"/>
    <x v="1"/>
    <s v="Not Due"/>
  </r>
  <r>
    <s v="AP10556"/>
    <x v="4"/>
    <x v="147"/>
    <x v="2"/>
    <d v="2024-03-24T00:00:00"/>
    <x v="4"/>
    <n v="3156.6"/>
    <x v="0"/>
    <n v="0"/>
    <x v="193"/>
    <x v="0"/>
    <s v=""/>
    <s v="Net 30"/>
    <d v="2025-07-30T00:00:00"/>
    <n v="493"/>
    <x v="0"/>
    <s v="Due"/>
  </r>
  <r>
    <s v="AP10557"/>
    <x v="3"/>
    <x v="302"/>
    <x v="6"/>
    <d v="2024-07-09T00:00:00"/>
    <x v="4"/>
    <n v="2009.61"/>
    <x v="2"/>
    <n v="2009.61"/>
    <x v="5"/>
    <x v="151"/>
    <s v="2024-Jul"/>
    <s v="Net 30"/>
    <d v="2025-07-30T00:00:00"/>
    <n v="0"/>
    <x v="1"/>
    <s v="Not Due"/>
  </r>
  <r>
    <s v="AP10558"/>
    <x v="4"/>
    <x v="434"/>
    <x v="13"/>
    <d v="2025-04-21T00:00:00"/>
    <x v="2"/>
    <n v="3135.97"/>
    <x v="0"/>
    <n v="0"/>
    <x v="194"/>
    <x v="0"/>
    <s v=""/>
    <s v="Net 30"/>
    <d v="2025-07-30T00:00:00"/>
    <n v="100"/>
    <x v="0"/>
    <s v="Due"/>
  </r>
  <r>
    <s v="AP10559"/>
    <x v="0"/>
    <x v="435"/>
    <x v="5"/>
    <d v="2024-10-02T00:00:00"/>
    <x v="4"/>
    <n v="1030.6600000000001"/>
    <x v="2"/>
    <n v="1030.6600000000001"/>
    <x v="5"/>
    <x v="162"/>
    <s v="2024-Oct"/>
    <s v="Net 30"/>
    <d v="2025-07-30T00:00:00"/>
    <n v="0"/>
    <x v="1"/>
    <s v="Not Due"/>
  </r>
  <r>
    <s v="AP10560"/>
    <x v="3"/>
    <x v="403"/>
    <x v="6"/>
    <d v="2024-07-29T00:00:00"/>
    <x v="3"/>
    <n v="2127.41"/>
    <x v="0"/>
    <n v="0"/>
    <x v="195"/>
    <x v="0"/>
    <s v=""/>
    <s v="Net 30"/>
    <d v="2025-07-30T00:00:00"/>
    <n v="366"/>
    <x v="0"/>
    <s v="Due"/>
  </r>
  <r>
    <s v="AP10561"/>
    <x v="2"/>
    <x v="436"/>
    <x v="18"/>
    <d v="2024-12-27T00:00:00"/>
    <x v="2"/>
    <n v="346.44"/>
    <x v="2"/>
    <n v="346.44"/>
    <x v="5"/>
    <x v="163"/>
    <s v="2024-Dec"/>
    <s v="Net 30"/>
    <d v="2025-07-30T00:00:00"/>
    <n v="0"/>
    <x v="1"/>
    <s v="Not Due"/>
  </r>
  <r>
    <s v="AP10562"/>
    <x v="3"/>
    <x v="307"/>
    <x v="25"/>
    <d v="2023-09-21T00:00:00"/>
    <x v="4"/>
    <n v="1946.72"/>
    <x v="0"/>
    <n v="0"/>
    <x v="196"/>
    <x v="0"/>
    <s v=""/>
    <s v="Net 30"/>
    <d v="2025-07-30T00:00:00"/>
    <n v="678"/>
    <x v="0"/>
    <s v="Due"/>
  </r>
  <r>
    <s v="AP10563"/>
    <x v="2"/>
    <x v="437"/>
    <x v="1"/>
    <d v="2024-06-25T00:00:00"/>
    <x v="1"/>
    <n v="882.74"/>
    <x v="2"/>
    <n v="882.74"/>
    <x v="5"/>
    <x v="164"/>
    <s v="2024-Jun"/>
    <s v="Net 30"/>
    <d v="2025-07-30T00:00:00"/>
    <n v="0"/>
    <x v="1"/>
    <s v="Not Due"/>
  </r>
  <r>
    <s v="AP10564"/>
    <x v="1"/>
    <x v="438"/>
    <x v="21"/>
    <d v="2023-02-24T00:00:00"/>
    <x v="3"/>
    <n v="2660.77"/>
    <x v="1"/>
    <n v="0"/>
    <x v="1"/>
    <x v="0"/>
    <s v=""/>
    <s v="Net 30"/>
    <d v="2025-07-30T00:00:00"/>
    <n v="887"/>
    <x v="0"/>
    <s v="Due"/>
  </r>
  <r>
    <s v="AP10565"/>
    <x v="3"/>
    <x v="439"/>
    <x v="14"/>
    <d v="2023-08-12T00:00:00"/>
    <x v="0"/>
    <n v="1582.42"/>
    <x v="0"/>
    <n v="0"/>
    <x v="197"/>
    <x v="0"/>
    <s v=""/>
    <s v="Net 30"/>
    <d v="2025-07-30T00:00:00"/>
    <n v="718"/>
    <x v="0"/>
    <s v="Due"/>
  </r>
  <r>
    <s v="AP10566"/>
    <x v="3"/>
    <x v="440"/>
    <x v="15"/>
    <d v="2023-10-13T00:00:00"/>
    <x v="0"/>
    <n v="1860.23"/>
    <x v="2"/>
    <n v="1860.23"/>
    <x v="5"/>
    <x v="165"/>
    <s v="2023-Oct"/>
    <s v="Net 30"/>
    <d v="2025-07-30T00:00:00"/>
    <n v="0"/>
    <x v="1"/>
    <s v="Not Due"/>
  </r>
  <r>
    <s v="AP10567"/>
    <x v="0"/>
    <x v="208"/>
    <x v="16"/>
    <d v="2023-04-11T00:00:00"/>
    <x v="1"/>
    <n v="3217.38"/>
    <x v="1"/>
    <n v="0"/>
    <x v="1"/>
    <x v="0"/>
    <s v=""/>
    <s v="Net 30"/>
    <d v="2025-07-30T00:00:00"/>
    <n v="841"/>
    <x v="0"/>
    <s v="Due"/>
  </r>
  <r>
    <s v="AP10568"/>
    <x v="4"/>
    <x v="441"/>
    <x v="8"/>
    <d v="2024-11-21T00:00:00"/>
    <x v="2"/>
    <n v="793.01"/>
    <x v="1"/>
    <n v="0"/>
    <x v="1"/>
    <x v="0"/>
    <s v=""/>
    <s v="Net 30"/>
    <d v="2025-07-30T00:00:00"/>
    <n v="251"/>
    <x v="0"/>
    <s v="Due"/>
  </r>
  <r>
    <s v="AP10569"/>
    <x v="4"/>
    <x v="277"/>
    <x v="29"/>
    <d v="2024-09-06T00:00:00"/>
    <x v="3"/>
    <n v="3912.65"/>
    <x v="1"/>
    <n v="0"/>
    <x v="1"/>
    <x v="0"/>
    <s v=""/>
    <s v="Net 30"/>
    <d v="2025-07-30T00:00:00"/>
    <n v="327"/>
    <x v="0"/>
    <s v="Due"/>
  </r>
  <r>
    <s v="AP10570"/>
    <x v="3"/>
    <x v="442"/>
    <x v="9"/>
    <d v="2023-06-23T00:00:00"/>
    <x v="3"/>
    <n v="2835.21"/>
    <x v="2"/>
    <n v="2835.21"/>
    <x v="5"/>
    <x v="166"/>
    <s v="2023-Jun"/>
    <s v="Net 30"/>
    <d v="2025-07-30T00:00:00"/>
    <n v="0"/>
    <x v="1"/>
    <s v="Not Due"/>
  </r>
  <r>
    <s v="AP10571"/>
    <x v="3"/>
    <x v="443"/>
    <x v="6"/>
    <d v="2024-07-18T00:00:00"/>
    <x v="0"/>
    <n v="1007.83"/>
    <x v="1"/>
    <n v="0"/>
    <x v="1"/>
    <x v="0"/>
    <s v=""/>
    <s v="Net 30"/>
    <d v="2025-07-30T00:00:00"/>
    <n v="377"/>
    <x v="0"/>
    <s v="Due"/>
  </r>
  <r>
    <s v="AP10572"/>
    <x v="3"/>
    <x v="444"/>
    <x v="6"/>
    <d v="2024-07-12T00:00:00"/>
    <x v="2"/>
    <n v="4988.3599999999997"/>
    <x v="1"/>
    <n v="0"/>
    <x v="1"/>
    <x v="0"/>
    <s v=""/>
    <s v="Net 30"/>
    <d v="2025-07-30T00:00:00"/>
    <n v="383"/>
    <x v="0"/>
    <s v="Due"/>
  </r>
  <r>
    <s v="AP10573"/>
    <x v="2"/>
    <x v="340"/>
    <x v="28"/>
    <d v="2025-05-28T00:00:00"/>
    <x v="3"/>
    <n v="2131.81"/>
    <x v="2"/>
    <n v="2131.81"/>
    <x v="5"/>
    <x v="125"/>
    <s v="2025-May"/>
    <s v="Net 30"/>
    <d v="2025-07-30T00:00:00"/>
    <n v="0"/>
    <x v="1"/>
    <s v="Not Due"/>
  </r>
  <r>
    <s v="AP10574"/>
    <x v="1"/>
    <x v="328"/>
    <x v="18"/>
    <d v="2024-12-20T00:00:00"/>
    <x v="4"/>
    <n v="3247.68"/>
    <x v="1"/>
    <n v="0"/>
    <x v="1"/>
    <x v="0"/>
    <s v=""/>
    <s v="Net 30"/>
    <d v="2025-07-30T00:00:00"/>
    <n v="222"/>
    <x v="0"/>
    <s v="Due"/>
  </r>
  <r>
    <s v="AP10575"/>
    <x v="0"/>
    <x v="197"/>
    <x v="4"/>
    <d v="2024-08-17T00:00:00"/>
    <x v="3"/>
    <n v="4516.3100000000004"/>
    <x v="0"/>
    <n v="0"/>
    <x v="198"/>
    <x v="0"/>
    <s v=""/>
    <s v="Net 30"/>
    <d v="2025-07-30T00:00:00"/>
    <n v="347"/>
    <x v="0"/>
    <s v="Due"/>
  </r>
  <r>
    <s v="AP10576"/>
    <x v="1"/>
    <x v="97"/>
    <x v="5"/>
    <d v="2024-10-19T00:00:00"/>
    <x v="3"/>
    <n v="1978.27"/>
    <x v="2"/>
    <n v="1978.27"/>
    <x v="5"/>
    <x v="167"/>
    <s v="2024-Oct"/>
    <s v="Net 30"/>
    <d v="2025-07-30T00:00:00"/>
    <n v="0"/>
    <x v="1"/>
    <s v="Not Due"/>
  </r>
  <r>
    <s v="AP10577"/>
    <x v="2"/>
    <x v="14"/>
    <x v="1"/>
    <d v="2024-06-04T00:00:00"/>
    <x v="2"/>
    <n v="2314.2399999999998"/>
    <x v="2"/>
    <n v="2314.2399999999998"/>
    <x v="5"/>
    <x v="168"/>
    <s v="2024-Jun"/>
    <s v="Net 30"/>
    <d v="2025-07-30T00:00:00"/>
    <n v="0"/>
    <x v="1"/>
    <s v="Not Due"/>
  </r>
  <r>
    <s v="AP10578"/>
    <x v="0"/>
    <x v="445"/>
    <x v="12"/>
    <d v="2024-01-26T00:00:00"/>
    <x v="3"/>
    <n v="765.18"/>
    <x v="0"/>
    <n v="0"/>
    <x v="199"/>
    <x v="0"/>
    <s v=""/>
    <s v="Net 30"/>
    <d v="2025-07-30T00:00:00"/>
    <n v="551"/>
    <x v="0"/>
    <s v="Due"/>
  </r>
  <r>
    <s v="AP10579"/>
    <x v="1"/>
    <x v="446"/>
    <x v="16"/>
    <d v="2023-04-06T00:00:00"/>
    <x v="4"/>
    <n v="3471.55"/>
    <x v="0"/>
    <n v="0"/>
    <x v="200"/>
    <x v="0"/>
    <s v=""/>
    <s v="Net 30"/>
    <d v="2025-07-30T00:00:00"/>
    <n v="846"/>
    <x v="0"/>
    <s v="Due"/>
  </r>
  <r>
    <s v="AP10580"/>
    <x v="4"/>
    <x v="156"/>
    <x v="24"/>
    <d v="2025-07-05T00:00:00"/>
    <x v="3"/>
    <n v="929.8"/>
    <x v="2"/>
    <n v="929.8"/>
    <x v="5"/>
    <x v="169"/>
    <s v="2025-Jul"/>
    <s v="Net 30"/>
    <d v="2025-07-30T00:00:00"/>
    <n v="0"/>
    <x v="1"/>
    <s v="Not Due"/>
  </r>
  <r>
    <s v="AP10581"/>
    <x v="3"/>
    <x v="447"/>
    <x v="2"/>
    <d v="2024-03-28T00:00:00"/>
    <x v="3"/>
    <n v="4543.1099999999997"/>
    <x v="2"/>
    <n v="4543.1099999999997"/>
    <x v="5"/>
    <x v="170"/>
    <s v="2024-Mar"/>
    <s v="Net 30"/>
    <d v="2025-07-30T00:00:00"/>
    <n v="0"/>
    <x v="1"/>
    <s v="Not Due"/>
  </r>
  <r>
    <s v="AP10582"/>
    <x v="0"/>
    <x v="448"/>
    <x v="7"/>
    <d v="2024-04-02T00:00:00"/>
    <x v="4"/>
    <n v="2278.5100000000002"/>
    <x v="1"/>
    <n v="0"/>
    <x v="1"/>
    <x v="0"/>
    <s v=""/>
    <s v="Net 30"/>
    <d v="2025-07-30T00:00:00"/>
    <n v="484"/>
    <x v="0"/>
    <s v="Due"/>
  </r>
  <r>
    <s v="AP10583"/>
    <x v="4"/>
    <x v="449"/>
    <x v="28"/>
    <d v="2025-05-02T00:00:00"/>
    <x v="3"/>
    <n v="674.53"/>
    <x v="1"/>
    <n v="0"/>
    <x v="1"/>
    <x v="0"/>
    <s v=""/>
    <s v="Net 30"/>
    <d v="2025-07-30T00:00:00"/>
    <n v="89"/>
    <x v="4"/>
    <s v="Due"/>
  </r>
  <r>
    <s v="AP10584"/>
    <x v="0"/>
    <x v="349"/>
    <x v="2"/>
    <d v="2024-03-21T00:00:00"/>
    <x v="0"/>
    <n v="1001.81"/>
    <x v="2"/>
    <n v="1001.81"/>
    <x v="5"/>
    <x v="171"/>
    <s v="2024-Mar"/>
    <s v="Net 30"/>
    <d v="2025-07-30T00:00:00"/>
    <n v="0"/>
    <x v="1"/>
    <s v="Not Due"/>
  </r>
  <r>
    <s v="AP10585"/>
    <x v="0"/>
    <x v="450"/>
    <x v="21"/>
    <d v="2023-02-26T00:00:00"/>
    <x v="0"/>
    <n v="1753.68"/>
    <x v="1"/>
    <n v="0"/>
    <x v="1"/>
    <x v="0"/>
    <s v=""/>
    <s v="Net 30"/>
    <d v="2025-07-30T00:00:00"/>
    <n v="885"/>
    <x v="0"/>
    <s v="Due"/>
  </r>
  <r>
    <s v="AP10586"/>
    <x v="3"/>
    <x v="451"/>
    <x v="25"/>
    <d v="2023-09-24T00:00:00"/>
    <x v="4"/>
    <n v="1017.46"/>
    <x v="0"/>
    <n v="0"/>
    <x v="201"/>
    <x v="0"/>
    <s v=""/>
    <s v="Net 30"/>
    <d v="2025-07-30T00:00:00"/>
    <n v="675"/>
    <x v="0"/>
    <s v="Due"/>
  </r>
  <r>
    <s v="AP10587"/>
    <x v="2"/>
    <x v="452"/>
    <x v="17"/>
    <d v="2023-11-30T00:00:00"/>
    <x v="0"/>
    <n v="3943.03"/>
    <x v="2"/>
    <n v="3943.03"/>
    <x v="5"/>
    <x v="172"/>
    <s v="2023-Nov"/>
    <s v="Net 30"/>
    <d v="2025-07-30T00:00:00"/>
    <n v="0"/>
    <x v="1"/>
    <s v="Not Due"/>
  </r>
  <r>
    <s v="AP10588"/>
    <x v="0"/>
    <x v="288"/>
    <x v="0"/>
    <d v="2025-01-06T00:00:00"/>
    <x v="3"/>
    <n v="3632.78"/>
    <x v="2"/>
    <n v="3632.78"/>
    <x v="5"/>
    <x v="99"/>
    <s v="2025-Jan"/>
    <s v="Net 30"/>
    <d v="2025-07-30T00:00:00"/>
    <n v="0"/>
    <x v="1"/>
    <s v="Not Due"/>
  </r>
  <r>
    <s v="AP10589"/>
    <x v="4"/>
    <x v="219"/>
    <x v="4"/>
    <d v="2024-07-31T00:00:00"/>
    <x v="1"/>
    <n v="718.37"/>
    <x v="2"/>
    <n v="718.37"/>
    <x v="5"/>
    <x v="173"/>
    <s v="2024-Jul"/>
    <s v="Net 30"/>
    <d v="2025-07-30T00:00:00"/>
    <n v="0"/>
    <x v="1"/>
    <s v="Not Due"/>
  </r>
  <r>
    <s v="AP10590"/>
    <x v="4"/>
    <x v="295"/>
    <x v="12"/>
    <d v="2024-01-21T00:00:00"/>
    <x v="4"/>
    <n v="1558.14"/>
    <x v="2"/>
    <n v="1558.14"/>
    <x v="5"/>
    <x v="174"/>
    <s v="2024-Jan"/>
    <s v="Net 30"/>
    <d v="2025-07-30T00:00:00"/>
    <n v="0"/>
    <x v="1"/>
    <s v="Not Due"/>
  </r>
  <r>
    <s v="AP10591"/>
    <x v="3"/>
    <x v="453"/>
    <x v="29"/>
    <d v="2024-09-05T00:00:00"/>
    <x v="4"/>
    <n v="2189.9699999999998"/>
    <x v="2"/>
    <n v="2189.9699999999998"/>
    <x v="5"/>
    <x v="175"/>
    <s v="2024-Sep"/>
    <s v="Net 30"/>
    <d v="2025-07-30T00:00:00"/>
    <n v="0"/>
    <x v="1"/>
    <s v="Not Due"/>
  </r>
  <r>
    <s v="AP10592"/>
    <x v="0"/>
    <x v="454"/>
    <x v="10"/>
    <d v="2023-12-15T00:00:00"/>
    <x v="4"/>
    <n v="2952.06"/>
    <x v="2"/>
    <n v="2952.06"/>
    <x v="5"/>
    <x v="176"/>
    <s v="2023-Dec"/>
    <s v="Net 30"/>
    <d v="2025-07-30T00:00:00"/>
    <n v="0"/>
    <x v="1"/>
    <s v="Not Due"/>
  </r>
  <r>
    <s v="AP10593"/>
    <x v="4"/>
    <x v="181"/>
    <x v="15"/>
    <d v="2023-10-21T00:00:00"/>
    <x v="2"/>
    <n v="4764.7299999999996"/>
    <x v="2"/>
    <n v="4764.7299999999996"/>
    <x v="5"/>
    <x v="57"/>
    <s v="2023-Oct"/>
    <s v="Net 30"/>
    <d v="2025-07-30T00:00:00"/>
    <n v="0"/>
    <x v="1"/>
    <s v="Not Due"/>
  </r>
  <r>
    <s v="AP10594"/>
    <x v="4"/>
    <x v="306"/>
    <x v="22"/>
    <d v="2025-06-19T00:00:00"/>
    <x v="0"/>
    <n v="3903.36"/>
    <x v="1"/>
    <n v="0"/>
    <x v="1"/>
    <x v="0"/>
    <s v=""/>
    <s v="Net 30"/>
    <d v="2025-07-30T00:00:00"/>
    <n v="41"/>
    <x v="2"/>
    <s v="Due"/>
  </r>
  <r>
    <s v="AP10595"/>
    <x v="4"/>
    <x v="455"/>
    <x v="17"/>
    <d v="2023-11-20T00:00:00"/>
    <x v="3"/>
    <n v="940.15"/>
    <x v="0"/>
    <n v="0"/>
    <x v="202"/>
    <x v="0"/>
    <s v=""/>
    <s v="Net 30"/>
    <d v="2025-07-30T00:00:00"/>
    <n v="618"/>
    <x v="0"/>
    <s v="Due"/>
  </r>
  <r>
    <s v="AP10596"/>
    <x v="0"/>
    <x v="50"/>
    <x v="25"/>
    <d v="2023-09-23T00:00:00"/>
    <x v="3"/>
    <n v="3505.16"/>
    <x v="0"/>
    <n v="0"/>
    <x v="203"/>
    <x v="0"/>
    <s v=""/>
    <s v="Net 30"/>
    <d v="2025-07-30T00:00:00"/>
    <n v="676"/>
    <x v="0"/>
    <s v="Due"/>
  </r>
  <r>
    <s v="AP10597"/>
    <x v="3"/>
    <x v="456"/>
    <x v="1"/>
    <d v="2024-06-07T00:00:00"/>
    <x v="0"/>
    <n v="372.08"/>
    <x v="1"/>
    <n v="0"/>
    <x v="1"/>
    <x v="0"/>
    <s v=""/>
    <s v="Net 30"/>
    <d v="2025-07-30T00:00:00"/>
    <n v="418"/>
    <x v="0"/>
    <s v="Due"/>
  </r>
  <r>
    <s v="AP10598"/>
    <x v="2"/>
    <x v="457"/>
    <x v="17"/>
    <d v="2023-11-23T00:00:00"/>
    <x v="1"/>
    <n v="982.33"/>
    <x v="2"/>
    <n v="982.33"/>
    <x v="5"/>
    <x v="177"/>
    <s v="2023-Nov"/>
    <s v="Net 30"/>
    <d v="2025-07-30T00:00:00"/>
    <n v="0"/>
    <x v="1"/>
    <s v="Not Due"/>
  </r>
  <r>
    <s v="AP10599"/>
    <x v="2"/>
    <x v="458"/>
    <x v="12"/>
    <d v="2024-01-16T00:00:00"/>
    <x v="3"/>
    <n v="2177.67"/>
    <x v="2"/>
    <n v="2177.67"/>
    <x v="5"/>
    <x v="178"/>
    <s v="2024-Jan"/>
    <s v="Net 30"/>
    <d v="2025-07-30T00:00:00"/>
    <n v="0"/>
    <x v="1"/>
    <s v="Not Due"/>
  </r>
  <r>
    <s v="AP10600"/>
    <x v="3"/>
    <x v="459"/>
    <x v="16"/>
    <d v="2023-04-18T00:00:00"/>
    <x v="1"/>
    <n v="147.22"/>
    <x v="0"/>
    <n v="0"/>
    <x v="204"/>
    <x v="0"/>
    <s v=""/>
    <s v="Net 30"/>
    <d v="2025-07-30T00:00:00"/>
    <n v="834"/>
    <x v="0"/>
    <s v="Due"/>
  </r>
  <r>
    <s v="AP10601"/>
    <x v="0"/>
    <x v="90"/>
    <x v="17"/>
    <d v="2023-11-27T00:00:00"/>
    <x v="4"/>
    <n v="625.22"/>
    <x v="2"/>
    <n v="625.22"/>
    <x v="5"/>
    <x v="179"/>
    <s v="2023-Nov"/>
    <s v="Net 30"/>
    <d v="2025-07-30T00:00:00"/>
    <n v="0"/>
    <x v="1"/>
    <s v="Not Due"/>
  </r>
  <r>
    <s v="AP10602"/>
    <x v="4"/>
    <x v="81"/>
    <x v="11"/>
    <d v="2023-07-05T00:00:00"/>
    <x v="4"/>
    <n v="204.04"/>
    <x v="0"/>
    <n v="0"/>
    <x v="205"/>
    <x v="0"/>
    <s v=""/>
    <s v="Net 30"/>
    <d v="2025-07-30T00:00:00"/>
    <n v="756"/>
    <x v="0"/>
    <s v="Due"/>
  </r>
  <r>
    <s v="AP10603"/>
    <x v="1"/>
    <x v="109"/>
    <x v="18"/>
    <d v="2024-12-29T00:00:00"/>
    <x v="3"/>
    <n v="1373.89"/>
    <x v="1"/>
    <n v="0"/>
    <x v="1"/>
    <x v="0"/>
    <s v=""/>
    <s v="Net 30"/>
    <d v="2025-07-30T00:00:00"/>
    <n v="213"/>
    <x v="0"/>
    <s v="Due"/>
  </r>
  <r>
    <s v="AP10604"/>
    <x v="0"/>
    <x v="460"/>
    <x v="22"/>
    <d v="2025-06-16T00:00:00"/>
    <x v="3"/>
    <n v="1032.8399999999999"/>
    <x v="1"/>
    <n v="0"/>
    <x v="1"/>
    <x v="0"/>
    <s v=""/>
    <s v="Net 30"/>
    <d v="2025-07-30T00:00:00"/>
    <n v="44"/>
    <x v="2"/>
    <s v="Due"/>
  </r>
  <r>
    <s v="AP10605"/>
    <x v="2"/>
    <x v="436"/>
    <x v="18"/>
    <d v="2024-12-27T00:00:00"/>
    <x v="2"/>
    <n v="529.48"/>
    <x v="1"/>
    <n v="0"/>
    <x v="1"/>
    <x v="0"/>
    <s v=""/>
    <s v="Net 30"/>
    <d v="2025-07-30T00:00:00"/>
    <n v="215"/>
    <x v="0"/>
    <s v="Due"/>
  </r>
  <r>
    <s v="AP10606"/>
    <x v="0"/>
    <x v="461"/>
    <x v="16"/>
    <d v="2023-04-02T00:00:00"/>
    <x v="0"/>
    <n v="4365.17"/>
    <x v="1"/>
    <n v="0"/>
    <x v="1"/>
    <x v="0"/>
    <s v=""/>
    <s v="Net 30"/>
    <d v="2025-07-30T00:00:00"/>
    <n v="850"/>
    <x v="0"/>
    <s v="Due"/>
  </r>
  <r>
    <s v="AP10607"/>
    <x v="4"/>
    <x v="160"/>
    <x v="0"/>
    <d v="2025-01-08T00:00:00"/>
    <x v="3"/>
    <n v="4546.88"/>
    <x v="0"/>
    <n v="0"/>
    <x v="206"/>
    <x v="0"/>
    <s v=""/>
    <s v="Net 30"/>
    <d v="2025-07-30T00:00:00"/>
    <n v="203"/>
    <x v="0"/>
    <s v="Due"/>
  </r>
  <r>
    <s v="AP10608"/>
    <x v="3"/>
    <x v="3"/>
    <x v="3"/>
    <d v="2024-02-07T00:00:00"/>
    <x v="4"/>
    <n v="2475.42"/>
    <x v="1"/>
    <n v="0"/>
    <x v="1"/>
    <x v="0"/>
    <s v=""/>
    <s v="Net 30"/>
    <d v="2025-07-30T00:00:00"/>
    <n v="539"/>
    <x v="0"/>
    <s v="Due"/>
  </r>
  <r>
    <s v="AP10609"/>
    <x v="4"/>
    <x v="462"/>
    <x v="23"/>
    <d v="2023-03-21T00:00:00"/>
    <x v="2"/>
    <n v="4510.63"/>
    <x v="0"/>
    <n v="0"/>
    <x v="207"/>
    <x v="0"/>
    <s v=""/>
    <s v="Net 30"/>
    <d v="2025-07-30T00:00:00"/>
    <n v="862"/>
    <x v="0"/>
    <s v="Due"/>
  </r>
  <r>
    <s v="AP10610"/>
    <x v="3"/>
    <x v="54"/>
    <x v="21"/>
    <d v="2023-02-02T00:00:00"/>
    <x v="1"/>
    <n v="2207.83"/>
    <x v="2"/>
    <n v="2207.83"/>
    <x v="5"/>
    <x v="180"/>
    <s v="2023-Feb"/>
    <s v="Net 30"/>
    <d v="2025-07-30T00:00:00"/>
    <n v="0"/>
    <x v="1"/>
    <s v="Not Due"/>
  </r>
  <r>
    <s v="AP10611"/>
    <x v="2"/>
    <x v="312"/>
    <x v="4"/>
    <d v="2024-08-21T00:00:00"/>
    <x v="4"/>
    <n v="750.68"/>
    <x v="1"/>
    <n v="0"/>
    <x v="1"/>
    <x v="0"/>
    <s v=""/>
    <s v="Net 30"/>
    <d v="2025-07-30T00:00:00"/>
    <n v="343"/>
    <x v="0"/>
    <s v="Due"/>
  </r>
  <r>
    <s v="AP10612"/>
    <x v="3"/>
    <x v="75"/>
    <x v="26"/>
    <d v="2024-05-19T00:00:00"/>
    <x v="2"/>
    <n v="1653.25"/>
    <x v="0"/>
    <n v="0"/>
    <x v="208"/>
    <x v="0"/>
    <s v=""/>
    <s v="Net 30"/>
    <d v="2025-07-30T00:00:00"/>
    <n v="437"/>
    <x v="0"/>
    <s v="Due"/>
  </r>
  <r>
    <s v="AP10613"/>
    <x v="4"/>
    <x v="463"/>
    <x v="11"/>
    <d v="2023-07-08T00:00:00"/>
    <x v="4"/>
    <n v="894.42"/>
    <x v="0"/>
    <n v="0"/>
    <x v="209"/>
    <x v="0"/>
    <s v=""/>
    <s v="Net 30"/>
    <d v="2025-07-30T00:00:00"/>
    <n v="753"/>
    <x v="0"/>
    <s v="Due"/>
  </r>
  <r>
    <s v="AP10614"/>
    <x v="3"/>
    <x v="464"/>
    <x v="21"/>
    <d v="2023-02-16T00:00:00"/>
    <x v="0"/>
    <n v="1459.2"/>
    <x v="0"/>
    <n v="0"/>
    <x v="210"/>
    <x v="0"/>
    <s v=""/>
    <s v="Net 30"/>
    <d v="2025-07-30T00:00:00"/>
    <n v="895"/>
    <x v="0"/>
    <s v="Due"/>
  </r>
  <r>
    <s v="AP10615"/>
    <x v="2"/>
    <x v="465"/>
    <x v="12"/>
    <d v="2024-01-17T00:00:00"/>
    <x v="2"/>
    <n v="1933.61"/>
    <x v="0"/>
    <n v="0"/>
    <x v="211"/>
    <x v="0"/>
    <s v=""/>
    <s v="Net 30"/>
    <d v="2025-07-30T00:00:00"/>
    <n v="560"/>
    <x v="0"/>
    <s v="Due"/>
  </r>
  <r>
    <s v="AP10616"/>
    <x v="3"/>
    <x v="121"/>
    <x v="21"/>
    <d v="2023-02-13T00:00:00"/>
    <x v="0"/>
    <n v="1057.71"/>
    <x v="2"/>
    <n v="1057.71"/>
    <x v="5"/>
    <x v="181"/>
    <s v="2023-Feb"/>
    <s v="Net 30"/>
    <d v="2025-07-30T00:00:00"/>
    <n v="0"/>
    <x v="1"/>
    <s v="Not Due"/>
  </r>
  <r>
    <s v="AP10617"/>
    <x v="0"/>
    <x v="466"/>
    <x v="18"/>
    <d v="2024-12-11T00:00:00"/>
    <x v="2"/>
    <n v="5575.48"/>
    <x v="0"/>
    <n v="0"/>
    <x v="212"/>
    <x v="0"/>
    <s v=""/>
    <s v="Net 30"/>
    <d v="2025-07-30T00:00:00"/>
    <n v="231"/>
    <x v="0"/>
    <s v="Due"/>
  </r>
  <r>
    <s v="AP10618"/>
    <x v="3"/>
    <x v="467"/>
    <x v="8"/>
    <d v="2024-11-25T00:00:00"/>
    <x v="2"/>
    <n v="3475.59"/>
    <x v="1"/>
    <n v="0"/>
    <x v="1"/>
    <x v="0"/>
    <s v=""/>
    <s v="Net 30"/>
    <d v="2025-07-30T00:00:00"/>
    <n v="247"/>
    <x v="0"/>
    <s v="Due"/>
  </r>
  <r>
    <s v="AP10619"/>
    <x v="1"/>
    <x v="468"/>
    <x v="21"/>
    <d v="2023-01-31T00:00:00"/>
    <x v="4"/>
    <n v="3017.55"/>
    <x v="1"/>
    <n v="0"/>
    <x v="1"/>
    <x v="0"/>
    <s v=""/>
    <s v="Net 30"/>
    <d v="2025-07-30T00:00:00"/>
    <n v="911"/>
    <x v="0"/>
    <s v="Due"/>
  </r>
  <r>
    <s v="AP10620"/>
    <x v="2"/>
    <x v="161"/>
    <x v="18"/>
    <d v="2024-12-09T00:00:00"/>
    <x v="4"/>
    <n v="1543.55"/>
    <x v="1"/>
    <n v="0"/>
    <x v="1"/>
    <x v="0"/>
    <s v=""/>
    <s v="Net 30"/>
    <d v="2025-07-30T00:00:00"/>
    <n v="233"/>
    <x v="0"/>
    <s v="Due"/>
  </r>
  <r>
    <s v="AP10621"/>
    <x v="2"/>
    <x v="469"/>
    <x v="18"/>
    <d v="2024-12-08T00:00:00"/>
    <x v="3"/>
    <n v="669.43"/>
    <x v="0"/>
    <n v="0"/>
    <x v="213"/>
    <x v="0"/>
    <s v=""/>
    <s v="Net 30"/>
    <d v="2025-07-30T00:00:00"/>
    <n v="234"/>
    <x v="0"/>
    <s v="Due"/>
  </r>
  <r>
    <s v="AP10622"/>
    <x v="0"/>
    <x v="268"/>
    <x v="13"/>
    <d v="2025-03-31T00:00:00"/>
    <x v="4"/>
    <n v="1859.61"/>
    <x v="2"/>
    <n v="1859.61"/>
    <x v="5"/>
    <x v="89"/>
    <s v="2025-Mar"/>
    <s v="Net 30"/>
    <d v="2025-07-30T00:00:00"/>
    <n v="0"/>
    <x v="1"/>
    <s v="Not Due"/>
  </r>
  <r>
    <s v="AP10623"/>
    <x v="1"/>
    <x v="470"/>
    <x v="19"/>
    <d v="2025-02-25T00:00:00"/>
    <x v="2"/>
    <n v="3899.93"/>
    <x v="0"/>
    <n v="0"/>
    <x v="214"/>
    <x v="0"/>
    <s v=""/>
    <s v="Net 30"/>
    <d v="2025-07-30T00:00:00"/>
    <n v="155"/>
    <x v="0"/>
    <s v="Due"/>
  </r>
  <r>
    <s v="AP10624"/>
    <x v="3"/>
    <x v="158"/>
    <x v="28"/>
    <d v="2025-05-01T00:00:00"/>
    <x v="1"/>
    <n v="222.84"/>
    <x v="0"/>
    <n v="0"/>
    <x v="215"/>
    <x v="0"/>
    <s v=""/>
    <s v="Net 30"/>
    <d v="2025-07-30T00:00:00"/>
    <n v="90"/>
    <x v="4"/>
    <s v="Due"/>
  </r>
  <r>
    <s v="AP10625"/>
    <x v="1"/>
    <x v="422"/>
    <x v="5"/>
    <d v="2024-10-07T00:00:00"/>
    <x v="3"/>
    <n v="754.61"/>
    <x v="2"/>
    <n v="754.61"/>
    <x v="5"/>
    <x v="182"/>
    <s v="2024-Oct"/>
    <s v="Net 30"/>
    <d v="2025-07-30T00:00:00"/>
    <n v="0"/>
    <x v="1"/>
    <s v="Not Due"/>
  </r>
  <r>
    <s v="AP10626"/>
    <x v="3"/>
    <x v="471"/>
    <x v="22"/>
    <d v="2025-06-21T00:00:00"/>
    <x v="0"/>
    <n v="1822.12"/>
    <x v="0"/>
    <n v="0"/>
    <x v="216"/>
    <x v="0"/>
    <s v=""/>
    <s v="Net 30"/>
    <d v="2025-07-30T00:00:00"/>
    <n v="39"/>
    <x v="2"/>
    <s v="Due"/>
  </r>
  <r>
    <s v="AP10627"/>
    <x v="1"/>
    <x v="426"/>
    <x v="21"/>
    <d v="2023-02-14T00:00:00"/>
    <x v="2"/>
    <n v="2996.3"/>
    <x v="1"/>
    <n v="0"/>
    <x v="1"/>
    <x v="0"/>
    <s v=""/>
    <s v="Net 30"/>
    <d v="2025-07-30T00:00:00"/>
    <n v="897"/>
    <x v="0"/>
    <s v="Due"/>
  </r>
  <r>
    <s v="AP10628"/>
    <x v="3"/>
    <x v="472"/>
    <x v="1"/>
    <d v="2024-06-08T00:00:00"/>
    <x v="2"/>
    <n v="764.73"/>
    <x v="1"/>
    <n v="0"/>
    <x v="1"/>
    <x v="0"/>
    <s v=""/>
    <s v="Net 30"/>
    <d v="2025-07-30T00:00:00"/>
    <n v="417"/>
    <x v="0"/>
    <s v="Due"/>
  </r>
  <r>
    <s v="AP10629"/>
    <x v="0"/>
    <x v="473"/>
    <x v="16"/>
    <d v="2023-04-01T00:00:00"/>
    <x v="3"/>
    <n v="3911.54"/>
    <x v="1"/>
    <n v="0"/>
    <x v="1"/>
    <x v="0"/>
    <s v=""/>
    <s v="Net 30"/>
    <d v="2025-07-30T00:00:00"/>
    <n v="851"/>
    <x v="0"/>
    <s v="Due"/>
  </r>
  <r>
    <s v="AP10630"/>
    <x v="4"/>
    <x v="474"/>
    <x v="24"/>
    <d v="2025-07-28T00:00:00"/>
    <x v="1"/>
    <n v="2809.74"/>
    <x v="1"/>
    <n v="0"/>
    <x v="1"/>
    <x v="0"/>
    <s v=""/>
    <s v="Net 30"/>
    <d v="2025-07-30T00:00:00"/>
    <n v="2"/>
    <x v="3"/>
    <s v="Due"/>
  </r>
  <r>
    <s v="AP10631"/>
    <x v="2"/>
    <x v="475"/>
    <x v="23"/>
    <d v="2023-03-17T00:00:00"/>
    <x v="2"/>
    <n v="3128.58"/>
    <x v="0"/>
    <n v="0"/>
    <x v="217"/>
    <x v="0"/>
    <s v=""/>
    <s v="Net 30"/>
    <d v="2025-07-30T00:00:00"/>
    <n v="866"/>
    <x v="0"/>
    <s v="Due"/>
  </r>
  <r>
    <s v="AP10632"/>
    <x v="3"/>
    <x v="182"/>
    <x v="26"/>
    <d v="2024-05-06T00:00:00"/>
    <x v="3"/>
    <n v="3723.61"/>
    <x v="0"/>
    <n v="0"/>
    <x v="218"/>
    <x v="0"/>
    <s v=""/>
    <s v="Net 30"/>
    <d v="2025-07-30T00:00:00"/>
    <n v="450"/>
    <x v="0"/>
    <s v="Due"/>
  </r>
  <r>
    <s v="AP10633"/>
    <x v="0"/>
    <x v="413"/>
    <x v="2"/>
    <d v="2024-03-27T00:00:00"/>
    <x v="0"/>
    <n v="3368.46"/>
    <x v="0"/>
    <n v="0"/>
    <x v="219"/>
    <x v="0"/>
    <s v=""/>
    <s v="Net 30"/>
    <d v="2025-07-30T00:00:00"/>
    <n v="490"/>
    <x v="0"/>
    <s v="Due"/>
  </r>
  <r>
    <s v="AP10634"/>
    <x v="2"/>
    <x v="476"/>
    <x v="0"/>
    <d v="2025-01-23T00:00:00"/>
    <x v="2"/>
    <n v="3073.25"/>
    <x v="0"/>
    <n v="0"/>
    <x v="220"/>
    <x v="0"/>
    <s v=""/>
    <s v="Net 30"/>
    <d v="2025-07-30T00:00:00"/>
    <n v="188"/>
    <x v="0"/>
    <s v="Due"/>
  </r>
  <r>
    <s v="AP10635"/>
    <x v="3"/>
    <x v="361"/>
    <x v="7"/>
    <d v="2024-04-09T00:00:00"/>
    <x v="4"/>
    <n v="2807.28"/>
    <x v="1"/>
    <n v="0"/>
    <x v="1"/>
    <x v="0"/>
    <s v=""/>
    <s v="Net 30"/>
    <d v="2025-07-30T00:00:00"/>
    <n v="477"/>
    <x v="0"/>
    <s v="Due"/>
  </r>
  <r>
    <s v="AP10636"/>
    <x v="3"/>
    <x v="477"/>
    <x v="1"/>
    <d v="2024-06-06T00:00:00"/>
    <x v="2"/>
    <n v="5947.74"/>
    <x v="0"/>
    <n v="0"/>
    <x v="221"/>
    <x v="0"/>
    <s v=""/>
    <s v="Net 30"/>
    <d v="2025-07-30T00:00:00"/>
    <n v="419"/>
    <x v="0"/>
    <s v="Due"/>
  </r>
  <r>
    <s v="AP10637"/>
    <x v="4"/>
    <x v="347"/>
    <x v="19"/>
    <d v="2025-02-12T00:00:00"/>
    <x v="4"/>
    <n v="3351.29"/>
    <x v="2"/>
    <n v="3351.29"/>
    <x v="5"/>
    <x v="183"/>
    <s v="2025-Feb"/>
    <s v="Net 30"/>
    <d v="2025-07-30T00:00:00"/>
    <n v="0"/>
    <x v="1"/>
    <s v="Not Due"/>
  </r>
  <r>
    <s v="AP10638"/>
    <x v="2"/>
    <x v="195"/>
    <x v="27"/>
    <d v="2025-03-18T00:00:00"/>
    <x v="3"/>
    <n v="4576.1099999999997"/>
    <x v="0"/>
    <n v="0"/>
    <x v="222"/>
    <x v="0"/>
    <s v=""/>
    <s v="Net 30"/>
    <d v="2025-07-30T00:00:00"/>
    <n v="134"/>
    <x v="0"/>
    <s v="Due"/>
  </r>
  <r>
    <s v="AP10639"/>
    <x v="3"/>
    <x v="478"/>
    <x v="22"/>
    <d v="2025-06-03T00:00:00"/>
    <x v="0"/>
    <n v="1210.42"/>
    <x v="1"/>
    <n v="0"/>
    <x v="1"/>
    <x v="0"/>
    <s v=""/>
    <s v="Net 30"/>
    <d v="2025-07-30T00:00:00"/>
    <n v="57"/>
    <x v="2"/>
    <s v="Due"/>
  </r>
  <r>
    <s v="AP10640"/>
    <x v="4"/>
    <x v="479"/>
    <x v="15"/>
    <d v="2023-10-02T00:00:00"/>
    <x v="2"/>
    <n v="243.47"/>
    <x v="2"/>
    <n v="243.47"/>
    <x v="5"/>
    <x v="184"/>
    <s v="2023-Oct"/>
    <s v="Net 30"/>
    <d v="2025-07-30T00:00:00"/>
    <n v="0"/>
    <x v="1"/>
    <s v="Not Due"/>
  </r>
  <r>
    <s v="AP10641"/>
    <x v="2"/>
    <x v="294"/>
    <x v="10"/>
    <d v="2023-12-05T00:00:00"/>
    <x v="4"/>
    <n v="1581.91"/>
    <x v="2"/>
    <n v="1581.91"/>
    <x v="5"/>
    <x v="102"/>
    <s v="2023-Dec"/>
    <s v="Net 30"/>
    <d v="2025-07-30T00:00:00"/>
    <n v="0"/>
    <x v="1"/>
    <s v="Not Due"/>
  </r>
  <r>
    <s v="AP10642"/>
    <x v="1"/>
    <x v="217"/>
    <x v="7"/>
    <d v="2024-04-10T00:00:00"/>
    <x v="4"/>
    <n v="2267.2199999999998"/>
    <x v="1"/>
    <n v="0"/>
    <x v="1"/>
    <x v="0"/>
    <s v=""/>
    <s v="Net 30"/>
    <d v="2025-07-30T00:00:00"/>
    <n v="476"/>
    <x v="0"/>
    <s v="Due"/>
  </r>
  <r>
    <s v="AP10643"/>
    <x v="1"/>
    <x v="480"/>
    <x v="10"/>
    <d v="2023-12-06T00:00:00"/>
    <x v="4"/>
    <n v="3579.33"/>
    <x v="1"/>
    <n v="0"/>
    <x v="1"/>
    <x v="0"/>
    <s v=""/>
    <s v="Net 30"/>
    <d v="2025-07-30T00:00:00"/>
    <n v="602"/>
    <x v="0"/>
    <s v="Due"/>
  </r>
  <r>
    <s v="AP10644"/>
    <x v="2"/>
    <x v="338"/>
    <x v="28"/>
    <d v="2025-05-10T00:00:00"/>
    <x v="1"/>
    <n v="3254.34"/>
    <x v="2"/>
    <n v="3254.34"/>
    <x v="5"/>
    <x v="185"/>
    <s v="2025-May"/>
    <s v="Net 30"/>
    <d v="2025-07-30T00:00:00"/>
    <n v="0"/>
    <x v="1"/>
    <s v="Not Due"/>
  </r>
  <r>
    <s v="AP10645"/>
    <x v="0"/>
    <x v="481"/>
    <x v="14"/>
    <d v="2023-08-17T00:00:00"/>
    <x v="2"/>
    <n v="3305.1"/>
    <x v="1"/>
    <n v="0"/>
    <x v="1"/>
    <x v="0"/>
    <s v=""/>
    <s v="Net 30"/>
    <d v="2025-07-30T00:00:00"/>
    <n v="713"/>
    <x v="0"/>
    <s v="Due"/>
  </r>
  <r>
    <s v="AP10646"/>
    <x v="3"/>
    <x v="479"/>
    <x v="15"/>
    <d v="2023-10-02T00:00:00"/>
    <x v="4"/>
    <n v="2462.11"/>
    <x v="0"/>
    <n v="0"/>
    <x v="223"/>
    <x v="0"/>
    <s v=""/>
    <s v="Net 30"/>
    <d v="2025-07-30T00:00:00"/>
    <n v="667"/>
    <x v="0"/>
    <s v="Due"/>
  </r>
  <r>
    <s v="AP10647"/>
    <x v="3"/>
    <x v="421"/>
    <x v="25"/>
    <d v="2023-09-07T00:00:00"/>
    <x v="2"/>
    <n v="303.08"/>
    <x v="2"/>
    <n v="303.08"/>
    <x v="5"/>
    <x v="155"/>
    <s v="2023-Sep"/>
    <s v="Net 30"/>
    <d v="2025-07-30T00:00:00"/>
    <n v="0"/>
    <x v="1"/>
    <s v="Not Due"/>
  </r>
  <r>
    <s v="AP10648"/>
    <x v="0"/>
    <x v="444"/>
    <x v="6"/>
    <d v="2024-07-12T00:00:00"/>
    <x v="3"/>
    <n v="599.71"/>
    <x v="0"/>
    <n v="0"/>
    <x v="224"/>
    <x v="0"/>
    <s v=""/>
    <s v="Net 30"/>
    <d v="2025-07-30T00:00:00"/>
    <n v="383"/>
    <x v="0"/>
    <s v="Due"/>
  </r>
  <r>
    <s v="AP10649"/>
    <x v="0"/>
    <x v="482"/>
    <x v="20"/>
    <d v="2023-05-13T00:00:00"/>
    <x v="0"/>
    <n v="5518.18"/>
    <x v="1"/>
    <n v="0"/>
    <x v="1"/>
    <x v="0"/>
    <s v=""/>
    <s v="Net 30"/>
    <d v="2025-07-30T00:00:00"/>
    <n v="809"/>
    <x v="0"/>
    <s v="Due"/>
  </r>
  <r>
    <s v="AP10650"/>
    <x v="2"/>
    <x v="483"/>
    <x v="18"/>
    <d v="2024-12-13T00:00:00"/>
    <x v="4"/>
    <n v="239.19"/>
    <x v="1"/>
    <n v="0"/>
    <x v="1"/>
    <x v="0"/>
    <s v=""/>
    <s v="Net 30"/>
    <d v="2025-07-30T00:00:00"/>
    <n v="229"/>
    <x v="0"/>
    <s v="Due"/>
  </r>
  <r>
    <s v="AP10651"/>
    <x v="0"/>
    <x v="146"/>
    <x v="4"/>
    <d v="2024-08-01T00:00:00"/>
    <x v="3"/>
    <n v="4746.3999999999996"/>
    <x v="2"/>
    <n v="4746.3999999999996"/>
    <x v="5"/>
    <x v="186"/>
    <s v="2024-Aug"/>
    <s v="Net 30"/>
    <d v="2025-07-30T00:00:00"/>
    <n v="0"/>
    <x v="1"/>
    <s v="Not Due"/>
  </r>
  <r>
    <s v="AP10652"/>
    <x v="2"/>
    <x v="484"/>
    <x v="14"/>
    <d v="2023-08-05T00:00:00"/>
    <x v="2"/>
    <n v="5604.51"/>
    <x v="0"/>
    <n v="0"/>
    <x v="225"/>
    <x v="0"/>
    <s v=""/>
    <s v="Net 30"/>
    <d v="2025-07-30T00:00:00"/>
    <n v="725"/>
    <x v="0"/>
    <s v="Due"/>
  </r>
  <r>
    <s v="AP10653"/>
    <x v="4"/>
    <x v="485"/>
    <x v="11"/>
    <d v="2023-07-06T00:00:00"/>
    <x v="2"/>
    <n v="2215.7800000000002"/>
    <x v="2"/>
    <n v="2215.7800000000002"/>
    <x v="5"/>
    <x v="187"/>
    <s v="2023-Jul"/>
    <s v="Net 30"/>
    <d v="2025-07-30T00:00:00"/>
    <n v="0"/>
    <x v="1"/>
    <s v="Not Due"/>
  </r>
  <r>
    <s v="AP10654"/>
    <x v="3"/>
    <x v="155"/>
    <x v="5"/>
    <d v="2024-10-14T00:00:00"/>
    <x v="2"/>
    <n v="6310.25"/>
    <x v="1"/>
    <n v="0"/>
    <x v="1"/>
    <x v="0"/>
    <s v=""/>
    <s v="Net 30"/>
    <d v="2025-07-30T00:00:00"/>
    <n v="289"/>
    <x v="0"/>
    <s v="Due"/>
  </r>
  <r>
    <s v="AP10655"/>
    <x v="1"/>
    <x v="372"/>
    <x v="15"/>
    <d v="2023-10-29T00:00:00"/>
    <x v="1"/>
    <n v="87.84"/>
    <x v="0"/>
    <n v="0"/>
    <x v="226"/>
    <x v="0"/>
    <s v=""/>
    <s v="Net 30"/>
    <d v="2025-07-30T00:00:00"/>
    <n v="640"/>
    <x v="0"/>
    <s v="Due"/>
  </r>
  <r>
    <s v="AP10656"/>
    <x v="2"/>
    <x v="83"/>
    <x v="14"/>
    <d v="2023-08-03T00:00:00"/>
    <x v="3"/>
    <n v="2464.2399999999998"/>
    <x v="1"/>
    <n v="0"/>
    <x v="1"/>
    <x v="0"/>
    <s v=""/>
    <s v="Net 30"/>
    <d v="2025-07-30T00:00:00"/>
    <n v="727"/>
    <x v="0"/>
    <s v="Due"/>
  </r>
  <r>
    <s v="AP10657"/>
    <x v="4"/>
    <x v="486"/>
    <x v="12"/>
    <d v="2024-01-10T00:00:00"/>
    <x v="2"/>
    <n v="5916.91"/>
    <x v="1"/>
    <n v="0"/>
    <x v="1"/>
    <x v="0"/>
    <s v=""/>
    <s v="Net 30"/>
    <d v="2025-07-30T00:00:00"/>
    <n v="567"/>
    <x v="0"/>
    <s v="Due"/>
  </r>
  <r>
    <s v="AP10658"/>
    <x v="4"/>
    <x v="106"/>
    <x v="12"/>
    <d v="2024-01-12T00:00:00"/>
    <x v="3"/>
    <n v="1809.68"/>
    <x v="1"/>
    <n v="0"/>
    <x v="1"/>
    <x v="0"/>
    <s v=""/>
    <s v="Net 30"/>
    <d v="2025-07-30T00:00:00"/>
    <n v="565"/>
    <x v="0"/>
    <s v="Due"/>
  </r>
  <r>
    <s v="AP10659"/>
    <x v="4"/>
    <x v="204"/>
    <x v="8"/>
    <d v="2024-11-22T00:00:00"/>
    <x v="3"/>
    <n v="4448.67"/>
    <x v="0"/>
    <n v="0"/>
    <x v="227"/>
    <x v="0"/>
    <s v=""/>
    <s v="Net 30"/>
    <d v="2025-07-30T00:00:00"/>
    <n v="250"/>
    <x v="0"/>
    <s v="Due"/>
  </r>
  <r>
    <s v="AP10660"/>
    <x v="1"/>
    <x v="293"/>
    <x v="24"/>
    <d v="2025-07-02T00:00:00"/>
    <x v="1"/>
    <n v="2751.25"/>
    <x v="2"/>
    <n v="2751.25"/>
    <x v="5"/>
    <x v="188"/>
    <s v="2025-Jul"/>
    <s v="Net 30"/>
    <d v="2025-07-30T00:00:00"/>
    <n v="0"/>
    <x v="1"/>
    <s v="Not Due"/>
  </r>
  <r>
    <s v="AP10661"/>
    <x v="4"/>
    <x v="393"/>
    <x v="1"/>
    <d v="2024-06-20T00:00:00"/>
    <x v="4"/>
    <n v="3047.51"/>
    <x v="0"/>
    <n v="0"/>
    <x v="228"/>
    <x v="0"/>
    <s v=""/>
    <s v="Net 30"/>
    <d v="2025-07-30T00:00:00"/>
    <n v="405"/>
    <x v="0"/>
    <s v="Due"/>
  </r>
  <r>
    <s v="AP10662"/>
    <x v="0"/>
    <x v="290"/>
    <x v="3"/>
    <d v="2024-02-29T00:00:00"/>
    <x v="2"/>
    <n v="3743.3"/>
    <x v="1"/>
    <n v="0"/>
    <x v="1"/>
    <x v="0"/>
    <s v=""/>
    <s v="Net 30"/>
    <d v="2025-07-30T00:00:00"/>
    <n v="517"/>
    <x v="0"/>
    <s v="Due"/>
  </r>
  <r>
    <s v="AP10663"/>
    <x v="4"/>
    <x v="203"/>
    <x v="27"/>
    <d v="2025-03-25T00:00:00"/>
    <x v="2"/>
    <n v="4345.54"/>
    <x v="1"/>
    <n v="0"/>
    <x v="1"/>
    <x v="0"/>
    <s v=""/>
    <s v="Net 30"/>
    <d v="2025-07-30T00:00:00"/>
    <n v="127"/>
    <x v="0"/>
    <s v="Due"/>
  </r>
  <r>
    <s v="AP10664"/>
    <x v="0"/>
    <x v="487"/>
    <x v="17"/>
    <d v="2023-11-01T00:00:00"/>
    <x v="0"/>
    <n v="4640.1099999999997"/>
    <x v="1"/>
    <n v="0"/>
    <x v="1"/>
    <x v="0"/>
    <s v=""/>
    <s v="Net 30"/>
    <d v="2025-07-30T00:00:00"/>
    <n v="637"/>
    <x v="0"/>
    <s v="Due"/>
  </r>
  <r>
    <s v="AP10665"/>
    <x v="3"/>
    <x v="430"/>
    <x v="11"/>
    <d v="2023-07-19T00:00:00"/>
    <x v="3"/>
    <n v="4810.12"/>
    <x v="0"/>
    <n v="0"/>
    <x v="229"/>
    <x v="0"/>
    <s v=""/>
    <s v="Net 30"/>
    <d v="2025-07-30T00:00:00"/>
    <n v="742"/>
    <x v="0"/>
    <s v="Due"/>
  </r>
  <r>
    <s v="AP10666"/>
    <x v="2"/>
    <x v="108"/>
    <x v="3"/>
    <d v="2024-02-19T00:00:00"/>
    <x v="0"/>
    <n v="5487.71"/>
    <x v="0"/>
    <n v="0"/>
    <x v="230"/>
    <x v="0"/>
    <s v=""/>
    <s v="Net 30"/>
    <d v="2025-07-30T00:00:00"/>
    <n v="527"/>
    <x v="0"/>
    <s v="Due"/>
  </r>
  <r>
    <s v="AP10667"/>
    <x v="0"/>
    <x v="488"/>
    <x v="27"/>
    <d v="2025-03-06T00:00:00"/>
    <x v="4"/>
    <n v="3328.48"/>
    <x v="2"/>
    <n v="3328.48"/>
    <x v="5"/>
    <x v="189"/>
    <s v="2025-Mar"/>
    <s v="Net 30"/>
    <d v="2025-07-30T00:00:00"/>
    <n v="0"/>
    <x v="1"/>
    <s v="Not Due"/>
  </r>
  <r>
    <s v="AP10668"/>
    <x v="4"/>
    <x v="394"/>
    <x v="29"/>
    <d v="2024-09-17T00:00:00"/>
    <x v="1"/>
    <n v="2729.08"/>
    <x v="0"/>
    <n v="0"/>
    <x v="231"/>
    <x v="0"/>
    <s v=""/>
    <s v="Net 30"/>
    <d v="2025-07-30T00:00:00"/>
    <n v="316"/>
    <x v="0"/>
    <s v="Due"/>
  </r>
  <r>
    <s v="AP10669"/>
    <x v="3"/>
    <x v="405"/>
    <x v="14"/>
    <d v="2023-08-10T00:00:00"/>
    <x v="2"/>
    <n v="718.03"/>
    <x v="1"/>
    <n v="0"/>
    <x v="1"/>
    <x v="0"/>
    <s v=""/>
    <s v="Net 30"/>
    <d v="2025-07-30T00:00:00"/>
    <n v="720"/>
    <x v="0"/>
    <s v="Due"/>
  </r>
  <r>
    <s v="AP10670"/>
    <x v="2"/>
    <x v="489"/>
    <x v="3"/>
    <d v="2024-02-13T00:00:00"/>
    <x v="4"/>
    <n v="2549.69"/>
    <x v="2"/>
    <n v="2549.69"/>
    <x v="5"/>
    <x v="190"/>
    <s v="2024-Feb"/>
    <s v="Net 30"/>
    <d v="2025-07-30T00:00:00"/>
    <n v="0"/>
    <x v="1"/>
    <s v="Not Due"/>
  </r>
  <r>
    <s v="AP10671"/>
    <x v="2"/>
    <x v="490"/>
    <x v="24"/>
    <d v="2025-07-16T00:00:00"/>
    <x v="2"/>
    <n v="2208.1"/>
    <x v="2"/>
    <n v="2208.1"/>
    <x v="5"/>
    <x v="191"/>
    <s v="2025-Jul"/>
    <s v="Net 30"/>
    <d v="2025-07-30T00:00:00"/>
    <n v="0"/>
    <x v="1"/>
    <s v="Not Due"/>
  </r>
  <r>
    <s v="AP10672"/>
    <x v="1"/>
    <x v="491"/>
    <x v="17"/>
    <d v="2023-11-13T00:00:00"/>
    <x v="4"/>
    <n v="2528.96"/>
    <x v="1"/>
    <n v="0"/>
    <x v="1"/>
    <x v="0"/>
    <s v=""/>
    <s v="Net 30"/>
    <d v="2025-07-30T00:00:00"/>
    <n v="625"/>
    <x v="0"/>
    <s v="Due"/>
  </r>
  <r>
    <s v="AP10673"/>
    <x v="4"/>
    <x v="492"/>
    <x v="11"/>
    <d v="2023-07-02T00:00:00"/>
    <x v="2"/>
    <n v="1366.65"/>
    <x v="2"/>
    <n v="1366.65"/>
    <x v="5"/>
    <x v="192"/>
    <s v="2023-Jul"/>
    <s v="Net 30"/>
    <d v="2025-07-30T00:00:00"/>
    <n v="0"/>
    <x v="1"/>
    <s v="Not Due"/>
  </r>
  <r>
    <s v="AP10674"/>
    <x v="4"/>
    <x v="68"/>
    <x v="24"/>
    <d v="2025-07-13T00:00:00"/>
    <x v="4"/>
    <n v="3454.65"/>
    <x v="1"/>
    <n v="0"/>
    <x v="1"/>
    <x v="0"/>
    <s v=""/>
    <s v="Net 30"/>
    <d v="2025-07-30T00:00:00"/>
    <n v="17"/>
    <x v="3"/>
    <s v="Due"/>
  </r>
  <r>
    <s v="AP10675"/>
    <x v="2"/>
    <x v="493"/>
    <x v="28"/>
    <d v="2025-05-13T00:00:00"/>
    <x v="4"/>
    <n v="2008.45"/>
    <x v="1"/>
    <n v="0"/>
    <x v="1"/>
    <x v="0"/>
    <s v=""/>
    <s v="Net 30"/>
    <d v="2025-07-30T00:00:00"/>
    <n v="78"/>
    <x v="4"/>
    <s v="Due"/>
  </r>
  <r>
    <s v="AP10676"/>
    <x v="4"/>
    <x v="461"/>
    <x v="16"/>
    <d v="2023-04-02T00:00:00"/>
    <x v="2"/>
    <n v="4996.92"/>
    <x v="0"/>
    <n v="0"/>
    <x v="232"/>
    <x v="0"/>
    <s v=""/>
    <s v="Net 30"/>
    <d v="2025-07-30T00:00:00"/>
    <n v="850"/>
    <x v="0"/>
    <s v="Due"/>
  </r>
  <r>
    <s v="AP10677"/>
    <x v="1"/>
    <x v="494"/>
    <x v="21"/>
    <d v="2023-02-28T00:00:00"/>
    <x v="4"/>
    <n v="2012.26"/>
    <x v="1"/>
    <n v="0"/>
    <x v="1"/>
    <x v="0"/>
    <s v=""/>
    <s v="Net 30"/>
    <d v="2025-07-30T00:00:00"/>
    <n v="883"/>
    <x v="0"/>
    <s v="Due"/>
  </r>
  <r>
    <s v="AP10678"/>
    <x v="1"/>
    <x v="113"/>
    <x v="25"/>
    <d v="2023-09-13T00:00:00"/>
    <x v="0"/>
    <n v="4203.38"/>
    <x v="0"/>
    <n v="0"/>
    <x v="233"/>
    <x v="0"/>
    <s v=""/>
    <s v="Net 30"/>
    <d v="2025-07-30T00:00:00"/>
    <n v="686"/>
    <x v="0"/>
    <s v="Due"/>
  </r>
  <r>
    <s v="AP10679"/>
    <x v="2"/>
    <x v="139"/>
    <x v="6"/>
    <d v="2024-07-24T00:00:00"/>
    <x v="1"/>
    <n v="299.93"/>
    <x v="0"/>
    <n v="0"/>
    <x v="234"/>
    <x v="0"/>
    <s v=""/>
    <s v="Net 30"/>
    <d v="2025-07-30T00:00:00"/>
    <n v="371"/>
    <x v="0"/>
    <s v="Due"/>
  </r>
  <r>
    <s v="AP10680"/>
    <x v="0"/>
    <x v="495"/>
    <x v="1"/>
    <d v="2024-06-28T00:00:00"/>
    <x v="0"/>
    <n v="3798.3"/>
    <x v="1"/>
    <n v="0"/>
    <x v="1"/>
    <x v="0"/>
    <s v=""/>
    <s v="Net 30"/>
    <d v="2025-07-30T00:00:00"/>
    <n v="397"/>
    <x v="0"/>
    <s v="Due"/>
  </r>
  <r>
    <s v="AP10681"/>
    <x v="1"/>
    <x v="496"/>
    <x v="29"/>
    <d v="2024-09-09T00:00:00"/>
    <x v="0"/>
    <n v="450.06"/>
    <x v="0"/>
    <n v="0"/>
    <x v="235"/>
    <x v="0"/>
    <s v=""/>
    <s v="Net 30"/>
    <d v="2025-07-30T00:00:00"/>
    <n v="324"/>
    <x v="0"/>
    <s v="Due"/>
  </r>
  <r>
    <s v="AP10682"/>
    <x v="4"/>
    <x v="497"/>
    <x v="25"/>
    <d v="2023-09-11T00:00:00"/>
    <x v="2"/>
    <n v="4538.3"/>
    <x v="1"/>
    <n v="0"/>
    <x v="1"/>
    <x v="0"/>
    <s v=""/>
    <s v="Net 30"/>
    <d v="2025-07-30T00:00:00"/>
    <n v="688"/>
    <x v="0"/>
    <s v="Due"/>
  </r>
  <r>
    <s v="AP10683"/>
    <x v="2"/>
    <x v="12"/>
    <x v="9"/>
    <d v="2023-06-18T00:00:00"/>
    <x v="0"/>
    <n v="4884.8900000000003"/>
    <x v="1"/>
    <n v="0"/>
    <x v="1"/>
    <x v="0"/>
    <s v=""/>
    <s v="Net 30"/>
    <d v="2025-07-30T00:00:00"/>
    <n v="773"/>
    <x v="0"/>
    <s v="Due"/>
  </r>
  <r>
    <s v="AP10684"/>
    <x v="2"/>
    <x v="12"/>
    <x v="9"/>
    <d v="2023-06-18T00:00:00"/>
    <x v="0"/>
    <n v="3390.6"/>
    <x v="0"/>
    <n v="0"/>
    <x v="236"/>
    <x v="0"/>
    <s v=""/>
    <s v="Net 30"/>
    <d v="2025-07-30T00:00:00"/>
    <n v="773"/>
    <x v="0"/>
    <s v="Due"/>
  </r>
  <r>
    <s v="AP10685"/>
    <x v="4"/>
    <x v="498"/>
    <x v="13"/>
    <d v="2025-04-29T00:00:00"/>
    <x v="1"/>
    <n v="1151.74"/>
    <x v="0"/>
    <n v="0"/>
    <x v="237"/>
    <x v="0"/>
    <s v=""/>
    <s v="Net 30"/>
    <d v="2025-07-30T00:00:00"/>
    <n v="92"/>
    <x v="0"/>
    <s v="Due"/>
  </r>
  <r>
    <s v="AP10686"/>
    <x v="2"/>
    <x v="499"/>
    <x v="20"/>
    <d v="2023-05-07T00:00:00"/>
    <x v="0"/>
    <n v="2615.29"/>
    <x v="0"/>
    <n v="0"/>
    <x v="238"/>
    <x v="0"/>
    <s v=""/>
    <s v="Net 30"/>
    <d v="2025-07-30T00:00:00"/>
    <n v="815"/>
    <x v="0"/>
    <s v="Due"/>
  </r>
  <r>
    <s v="AP10687"/>
    <x v="4"/>
    <x v="500"/>
    <x v="3"/>
    <d v="2024-01-31T00:00:00"/>
    <x v="0"/>
    <n v="652.54999999999995"/>
    <x v="2"/>
    <n v="652.54999999999995"/>
    <x v="5"/>
    <x v="193"/>
    <s v="2024-Jan"/>
    <s v="Net 30"/>
    <d v="2025-07-30T00:00:00"/>
    <n v="0"/>
    <x v="1"/>
    <s v="Not Due"/>
  </r>
  <r>
    <s v="AP10688"/>
    <x v="3"/>
    <x v="501"/>
    <x v="10"/>
    <d v="2023-12-29T00:00:00"/>
    <x v="0"/>
    <n v="2092.08"/>
    <x v="0"/>
    <n v="0"/>
    <x v="239"/>
    <x v="0"/>
    <s v=""/>
    <s v="Net 30"/>
    <d v="2025-07-30T00:00:00"/>
    <n v="579"/>
    <x v="0"/>
    <s v="Due"/>
  </r>
  <r>
    <s v="AP10689"/>
    <x v="1"/>
    <x v="502"/>
    <x v="6"/>
    <d v="2024-07-01T00:00:00"/>
    <x v="0"/>
    <n v="1222.08"/>
    <x v="1"/>
    <n v="0"/>
    <x v="1"/>
    <x v="0"/>
    <s v=""/>
    <s v="Net 30"/>
    <d v="2025-07-30T00:00:00"/>
    <n v="394"/>
    <x v="0"/>
    <s v="Due"/>
  </r>
  <r>
    <s v="AP10690"/>
    <x v="2"/>
    <x v="503"/>
    <x v="15"/>
    <d v="2023-10-09T00:00:00"/>
    <x v="0"/>
    <n v="3328.22"/>
    <x v="0"/>
    <n v="0"/>
    <x v="240"/>
    <x v="0"/>
    <s v=""/>
    <s v="Net 30"/>
    <d v="2025-07-30T00:00:00"/>
    <n v="660"/>
    <x v="0"/>
    <s v="Due"/>
  </r>
  <r>
    <s v="AP10691"/>
    <x v="2"/>
    <x v="52"/>
    <x v="12"/>
    <d v="2024-01-18T00:00:00"/>
    <x v="1"/>
    <n v="1548.24"/>
    <x v="0"/>
    <n v="0"/>
    <x v="241"/>
    <x v="0"/>
    <s v=""/>
    <s v="Net 30"/>
    <d v="2025-07-30T00:00:00"/>
    <n v="559"/>
    <x v="0"/>
    <s v="Due"/>
  </r>
  <r>
    <s v="AP10692"/>
    <x v="3"/>
    <x v="231"/>
    <x v="24"/>
    <d v="2025-07-07T00:00:00"/>
    <x v="0"/>
    <n v="1224.1199999999999"/>
    <x v="2"/>
    <n v="1224.1199999999999"/>
    <x v="5"/>
    <x v="77"/>
    <s v="2025-Jul"/>
    <s v="Net 30"/>
    <d v="2025-07-30T00:00:00"/>
    <n v="0"/>
    <x v="1"/>
    <s v="Not Due"/>
  </r>
  <r>
    <s v="AP10693"/>
    <x v="3"/>
    <x v="504"/>
    <x v="16"/>
    <d v="2023-04-20T00:00:00"/>
    <x v="3"/>
    <n v="212.66"/>
    <x v="1"/>
    <n v="0"/>
    <x v="1"/>
    <x v="0"/>
    <s v=""/>
    <s v="Net 30"/>
    <d v="2025-07-30T00:00:00"/>
    <n v="832"/>
    <x v="0"/>
    <s v="Due"/>
  </r>
  <r>
    <s v="AP10694"/>
    <x v="1"/>
    <x v="486"/>
    <x v="12"/>
    <d v="2024-01-10T00:00:00"/>
    <x v="0"/>
    <n v="3085.52"/>
    <x v="2"/>
    <n v="3085.52"/>
    <x v="5"/>
    <x v="194"/>
    <s v="2024-Jan"/>
    <s v="Net 30"/>
    <d v="2025-07-30T00:00:00"/>
    <n v="0"/>
    <x v="1"/>
    <s v="Not Due"/>
  </r>
  <r>
    <s v="AP10695"/>
    <x v="0"/>
    <x v="137"/>
    <x v="9"/>
    <d v="2023-06-27T00:00:00"/>
    <x v="2"/>
    <n v="2751.87"/>
    <x v="0"/>
    <n v="0"/>
    <x v="242"/>
    <x v="0"/>
    <s v=""/>
    <s v="Net 30"/>
    <d v="2025-07-30T00:00:00"/>
    <n v="764"/>
    <x v="0"/>
    <s v="Due"/>
  </r>
  <r>
    <s v="AP10696"/>
    <x v="1"/>
    <x v="373"/>
    <x v="22"/>
    <d v="2025-06-01T00:00:00"/>
    <x v="2"/>
    <n v="2867.73"/>
    <x v="2"/>
    <n v="2867.73"/>
    <x v="5"/>
    <x v="195"/>
    <s v="2025-Jun"/>
    <s v="Net 30"/>
    <d v="2025-07-30T00:00:00"/>
    <n v="0"/>
    <x v="1"/>
    <s v="Not Due"/>
  </r>
  <r>
    <s v="AP10697"/>
    <x v="1"/>
    <x v="376"/>
    <x v="18"/>
    <d v="2024-12-28T00:00:00"/>
    <x v="1"/>
    <n v="3422.5"/>
    <x v="2"/>
    <n v="3422.5"/>
    <x v="5"/>
    <x v="140"/>
    <s v="2024-Dec"/>
    <s v="Net 30"/>
    <d v="2025-07-30T00:00:00"/>
    <n v="0"/>
    <x v="1"/>
    <s v="Not Due"/>
  </r>
  <r>
    <s v="AP10698"/>
    <x v="4"/>
    <x v="367"/>
    <x v="8"/>
    <d v="2024-11-05T00:00:00"/>
    <x v="1"/>
    <n v="1812.98"/>
    <x v="1"/>
    <n v="0"/>
    <x v="1"/>
    <x v="0"/>
    <s v=""/>
    <s v="Net 30"/>
    <d v="2025-07-30T00:00:00"/>
    <n v="267"/>
    <x v="0"/>
    <s v="Due"/>
  </r>
  <r>
    <s v="AP10699"/>
    <x v="1"/>
    <x v="505"/>
    <x v="6"/>
    <d v="2024-07-16T00:00:00"/>
    <x v="3"/>
    <n v="1198.06"/>
    <x v="0"/>
    <n v="0"/>
    <x v="243"/>
    <x v="0"/>
    <s v=""/>
    <s v="Net 30"/>
    <d v="2025-07-30T00:00:00"/>
    <n v="379"/>
    <x v="0"/>
    <s v="Due"/>
  </r>
  <r>
    <s v="AP10700"/>
    <x v="2"/>
    <x v="506"/>
    <x v="0"/>
    <d v="2024-12-31T00:00:00"/>
    <x v="3"/>
    <n v="4648.54"/>
    <x v="1"/>
    <n v="0"/>
    <x v="1"/>
    <x v="0"/>
    <s v=""/>
    <s v="Net 30"/>
    <d v="2025-07-30T00:00:00"/>
    <n v="211"/>
    <x v="0"/>
    <s v="Due"/>
  </r>
  <r>
    <s v="AP10701"/>
    <x v="3"/>
    <x v="279"/>
    <x v="26"/>
    <d v="2024-05-09T00:00:00"/>
    <x v="3"/>
    <n v="1123.9000000000001"/>
    <x v="0"/>
    <n v="0"/>
    <x v="244"/>
    <x v="0"/>
    <s v=""/>
    <s v="Net 30"/>
    <d v="2025-07-30T00:00:00"/>
    <n v="447"/>
    <x v="0"/>
    <s v="Due"/>
  </r>
  <r>
    <s v="AP10702"/>
    <x v="0"/>
    <x v="486"/>
    <x v="12"/>
    <d v="2024-01-10T00:00:00"/>
    <x v="3"/>
    <n v="137.11000000000001"/>
    <x v="1"/>
    <n v="0"/>
    <x v="1"/>
    <x v="0"/>
    <s v=""/>
    <s v="Net 30"/>
    <d v="2025-07-30T00:00:00"/>
    <n v="567"/>
    <x v="0"/>
    <s v="Due"/>
  </r>
  <r>
    <s v="AP10703"/>
    <x v="0"/>
    <x v="191"/>
    <x v="6"/>
    <d v="2024-07-02T00:00:00"/>
    <x v="0"/>
    <n v="2125.02"/>
    <x v="2"/>
    <n v="2125.02"/>
    <x v="5"/>
    <x v="63"/>
    <s v="2024-Jul"/>
    <s v="Net 30"/>
    <d v="2025-07-30T00:00:00"/>
    <n v="0"/>
    <x v="1"/>
    <s v="Not Due"/>
  </r>
  <r>
    <s v="AP10704"/>
    <x v="3"/>
    <x v="492"/>
    <x v="11"/>
    <d v="2023-07-02T00:00:00"/>
    <x v="2"/>
    <n v="5322.12"/>
    <x v="1"/>
    <n v="0"/>
    <x v="1"/>
    <x v="0"/>
    <s v=""/>
    <s v="Net 30"/>
    <d v="2025-07-30T00:00:00"/>
    <n v="759"/>
    <x v="0"/>
    <s v="Due"/>
  </r>
  <r>
    <s v="AP10705"/>
    <x v="2"/>
    <x v="123"/>
    <x v="11"/>
    <d v="2023-07-14T00:00:00"/>
    <x v="4"/>
    <n v="3417.78"/>
    <x v="1"/>
    <n v="0"/>
    <x v="1"/>
    <x v="0"/>
    <s v=""/>
    <s v="Net 30"/>
    <d v="2025-07-30T00:00:00"/>
    <n v="747"/>
    <x v="0"/>
    <s v="Due"/>
  </r>
  <r>
    <s v="AP10706"/>
    <x v="4"/>
    <x v="507"/>
    <x v="28"/>
    <d v="2025-05-23T00:00:00"/>
    <x v="0"/>
    <n v="3050.95"/>
    <x v="0"/>
    <n v="0"/>
    <x v="245"/>
    <x v="0"/>
    <s v=""/>
    <s v="Net 30"/>
    <d v="2025-07-30T00:00:00"/>
    <n v="68"/>
    <x v="4"/>
    <s v="Due"/>
  </r>
  <r>
    <s v="AP10707"/>
    <x v="1"/>
    <x v="145"/>
    <x v="16"/>
    <d v="2023-04-04T00:00:00"/>
    <x v="4"/>
    <n v="2186.4899999999998"/>
    <x v="0"/>
    <n v="0"/>
    <x v="246"/>
    <x v="0"/>
    <s v=""/>
    <s v="Net 30"/>
    <d v="2025-07-30T00:00:00"/>
    <n v="848"/>
    <x v="0"/>
    <s v="Due"/>
  </r>
  <r>
    <s v="AP10708"/>
    <x v="1"/>
    <x v="508"/>
    <x v="12"/>
    <d v="2024-01-14T00:00:00"/>
    <x v="0"/>
    <n v="1525.22"/>
    <x v="2"/>
    <n v="1525.22"/>
    <x v="5"/>
    <x v="196"/>
    <s v="2024-Jan"/>
    <s v="Net 30"/>
    <d v="2025-07-30T00:00:00"/>
    <n v="0"/>
    <x v="1"/>
    <s v="Not Due"/>
  </r>
  <r>
    <s v="AP10709"/>
    <x v="2"/>
    <x v="107"/>
    <x v="20"/>
    <d v="2023-05-12T00:00:00"/>
    <x v="2"/>
    <n v="4813.5600000000004"/>
    <x v="2"/>
    <n v="4813.5600000000004"/>
    <x v="5"/>
    <x v="197"/>
    <s v="2023-May"/>
    <s v="Net 30"/>
    <d v="2025-07-30T00:00:00"/>
    <n v="0"/>
    <x v="1"/>
    <s v="Not Due"/>
  </r>
  <r>
    <s v="AP10710"/>
    <x v="0"/>
    <x v="509"/>
    <x v="16"/>
    <d v="2023-03-31T00:00:00"/>
    <x v="4"/>
    <n v="1285.3800000000001"/>
    <x v="1"/>
    <n v="0"/>
    <x v="1"/>
    <x v="0"/>
    <s v=""/>
    <s v="Net 30"/>
    <d v="2025-07-30T00:00:00"/>
    <n v="852"/>
    <x v="0"/>
    <s v="Due"/>
  </r>
  <r>
    <s v="AP10711"/>
    <x v="1"/>
    <x v="510"/>
    <x v="25"/>
    <d v="2023-09-19T00:00:00"/>
    <x v="1"/>
    <n v="2151.46"/>
    <x v="2"/>
    <n v="2151.46"/>
    <x v="5"/>
    <x v="198"/>
    <s v="2023-Sep"/>
    <s v="Net 30"/>
    <d v="2025-07-30T00:00:00"/>
    <n v="0"/>
    <x v="1"/>
    <s v="Not Due"/>
  </r>
  <r>
    <s v="AP10712"/>
    <x v="3"/>
    <x v="141"/>
    <x v="25"/>
    <d v="2023-09-15T00:00:00"/>
    <x v="2"/>
    <n v="5287.42"/>
    <x v="1"/>
    <n v="0"/>
    <x v="1"/>
    <x v="0"/>
    <s v=""/>
    <s v="Net 30"/>
    <d v="2025-07-30T00:00:00"/>
    <n v="684"/>
    <x v="0"/>
    <s v="Due"/>
  </r>
  <r>
    <s v="AP10713"/>
    <x v="1"/>
    <x v="511"/>
    <x v="27"/>
    <d v="2025-03-12T00:00:00"/>
    <x v="3"/>
    <n v="4674.42"/>
    <x v="2"/>
    <n v="4674.42"/>
    <x v="5"/>
    <x v="199"/>
    <s v="2025-Mar"/>
    <s v="Net 30"/>
    <d v="2025-07-30T00:00:00"/>
    <n v="0"/>
    <x v="1"/>
    <s v="Not Due"/>
  </r>
  <r>
    <s v="AP10714"/>
    <x v="0"/>
    <x v="332"/>
    <x v="6"/>
    <d v="2024-07-21T00:00:00"/>
    <x v="2"/>
    <n v="3221.32"/>
    <x v="1"/>
    <n v="0"/>
    <x v="1"/>
    <x v="0"/>
    <s v=""/>
    <s v="Net 30"/>
    <d v="2025-07-30T00:00:00"/>
    <n v="374"/>
    <x v="0"/>
    <s v="Due"/>
  </r>
  <r>
    <s v="AP10715"/>
    <x v="0"/>
    <x v="319"/>
    <x v="25"/>
    <d v="2023-09-29T00:00:00"/>
    <x v="4"/>
    <n v="2067.4699999999998"/>
    <x v="1"/>
    <n v="0"/>
    <x v="1"/>
    <x v="0"/>
    <s v=""/>
    <s v="Net 30"/>
    <d v="2025-07-30T00:00:00"/>
    <n v="670"/>
    <x v="0"/>
    <s v="Due"/>
  </r>
  <r>
    <s v="AP10716"/>
    <x v="4"/>
    <x v="512"/>
    <x v="10"/>
    <d v="2023-12-16T00:00:00"/>
    <x v="1"/>
    <n v="1346.65"/>
    <x v="1"/>
    <n v="0"/>
    <x v="1"/>
    <x v="0"/>
    <s v=""/>
    <s v="Net 30"/>
    <d v="2025-07-30T00:00:00"/>
    <n v="592"/>
    <x v="0"/>
    <s v="Due"/>
  </r>
  <r>
    <s v="AP10717"/>
    <x v="1"/>
    <x v="315"/>
    <x v="16"/>
    <d v="2023-04-19T00:00:00"/>
    <x v="4"/>
    <n v="1838.7"/>
    <x v="2"/>
    <n v="1838.7"/>
    <x v="5"/>
    <x v="112"/>
    <s v="2023-Apr"/>
    <s v="Net 30"/>
    <d v="2025-07-30T00:00:00"/>
    <n v="0"/>
    <x v="1"/>
    <s v="Not Due"/>
  </r>
  <r>
    <s v="AP10718"/>
    <x v="0"/>
    <x v="513"/>
    <x v="18"/>
    <d v="2024-12-19T00:00:00"/>
    <x v="2"/>
    <n v="5905.43"/>
    <x v="2"/>
    <n v="5905.43"/>
    <x v="5"/>
    <x v="200"/>
    <s v="2024-Dec"/>
    <s v="Net 30"/>
    <d v="2025-07-30T00:00:00"/>
    <n v="0"/>
    <x v="1"/>
    <s v="Not Due"/>
  </r>
  <r>
    <s v="AP10719"/>
    <x v="0"/>
    <x v="514"/>
    <x v="2"/>
    <d v="2024-03-15T00:00:00"/>
    <x v="2"/>
    <n v="5297.17"/>
    <x v="2"/>
    <n v="5297.17"/>
    <x v="5"/>
    <x v="201"/>
    <s v="2024-Mar"/>
    <s v="Net 30"/>
    <d v="2025-07-30T00:00:00"/>
    <n v="0"/>
    <x v="1"/>
    <s v="Not Due"/>
  </r>
  <r>
    <s v="AP10720"/>
    <x v="4"/>
    <x v="515"/>
    <x v="4"/>
    <d v="2024-08-10T00:00:00"/>
    <x v="0"/>
    <n v="5548.55"/>
    <x v="0"/>
    <n v="0"/>
    <x v="247"/>
    <x v="0"/>
    <s v=""/>
    <s v="Net 30"/>
    <d v="2025-07-30T00:00:00"/>
    <n v="354"/>
    <x v="0"/>
    <s v="Due"/>
  </r>
  <r>
    <s v="AP10721"/>
    <x v="2"/>
    <x v="248"/>
    <x v="4"/>
    <d v="2024-08-13T00:00:00"/>
    <x v="0"/>
    <n v="2322.38"/>
    <x v="0"/>
    <n v="0"/>
    <x v="248"/>
    <x v="0"/>
    <s v=""/>
    <s v="Net 30"/>
    <d v="2025-07-30T00:00:00"/>
    <n v="351"/>
    <x v="0"/>
    <s v="Due"/>
  </r>
  <r>
    <s v="AP10722"/>
    <x v="1"/>
    <x v="516"/>
    <x v="16"/>
    <d v="2023-04-03T00:00:00"/>
    <x v="2"/>
    <n v="5748.05"/>
    <x v="0"/>
    <n v="0"/>
    <x v="249"/>
    <x v="0"/>
    <s v=""/>
    <s v="Net 30"/>
    <d v="2025-07-30T00:00:00"/>
    <n v="849"/>
    <x v="0"/>
    <s v="Due"/>
  </r>
  <r>
    <s v="AP10723"/>
    <x v="2"/>
    <x v="74"/>
    <x v="5"/>
    <d v="2024-10-21T00:00:00"/>
    <x v="1"/>
    <n v="1159.6400000000001"/>
    <x v="1"/>
    <n v="0"/>
    <x v="1"/>
    <x v="0"/>
    <s v=""/>
    <s v="Net 30"/>
    <d v="2025-07-30T00:00:00"/>
    <n v="282"/>
    <x v="0"/>
    <s v="Due"/>
  </r>
  <r>
    <s v="AP10724"/>
    <x v="3"/>
    <x v="517"/>
    <x v="5"/>
    <d v="2024-10-27T00:00:00"/>
    <x v="4"/>
    <n v="113.89"/>
    <x v="0"/>
    <n v="0"/>
    <x v="250"/>
    <x v="0"/>
    <s v=""/>
    <s v="Net 30"/>
    <d v="2025-07-30T00:00:00"/>
    <n v="276"/>
    <x v="0"/>
    <s v="Due"/>
  </r>
  <r>
    <s v="AP10725"/>
    <x v="1"/>
    <x v="518"/>
    <x v="14"/>
    <d v="2023-08-22T00:00:00"/>
    <x v="1"/>
    <n v="3277.08"/>
    <x v="2"/>
    <n v="3277.08"/>
    <x v="5"/>
    <x v="202"/>
    <s v="2023-Aug"/>
    <s v="Net 30"/>
    <d v="2025-07-30T00:00:00"/>
    <n v="0"/>
    <x v="1"/>
    <s v="Not Due"/>
  </r>
  <r>
    <s v="AP10726"/>
    <x v="4"/>
    <x v="519"/>
    <x v="18"/>
    <d v="2024-12-07T00:00:00"/>
    <x v="0"/>
    <n v="237.85"/>
    <x v="0"/>
    <n v="0"/>
    <x v="251"/>
    <x v="0"/>
    <s v=""/>
    <s v="Net 30"/>
    <d v="2025-07-30T00:00:00"/>
    <n v="235"/>
    <x v="0"/>
    <s v="Due"/>
  </r>
  <r>
    <s v="AP10727"/>
    <x v="2"/>
    <x v="520"/>
    <x v="14"/>
    <d v="2023-08-19T00:00:00"/>
    <x v="2"/>
    <n v="4425.79"/>
    <x v="1"/>
    <n v="0"/>
    <x v="1"/>
    <x v="0"/>
    <s v=""/>
    <s v="Net 30"/>
    <d v="2025-07-30T00:00:00"/>
    <n v="711"/>
    <x v="0"/>
    <s v="Due"/>
  </r>
  <r>
    <s v="AP10728"/>
    <x v="0"/>
    <x v="11"/>
    <x v="8"/>
    <d v="2024-11-09T00:00:00"/>
    <x v="4"/>
    <n v="351.67"/>
    <x v="2"/>
    <n v="351.67"/>
    <x v="5"/>
    <x v="203"/>
    <s v="2024-Nov"/>
    <s v="Net 30"/>
    <d v="2025-07-30T00:00:00"/>
    <n v="0"/>
    <x v="1"/>
    <s v="Not Due"/>
  </r>
  <r>
    <s v="AP10729"/>
    <x v="2"/>
    <x v="521"/>
    <x v="10"/>
    <d v="2023-12-09T00:00:00"/>
    <x v="2"/>
    <n v="3791.5"/>
    <x v="1"/>
    <n v="0"/>
    <x v="1"/>
    <x v="0"/>
    <s v=""/>
    <s v="Net 30"/>
    <d v="2025-07-30T00:00:00"/>
    <n v="599"/>
    <x v="0"/>
    <s v="Due"/>
  </r>
  <r>
    <s v="AP10730"/>
    <x v="0"/>
    <x v="71"/>
    <x v="15"/>
    <d v="2023-10-18T00:00:00"/>
    <x v="1"/>
    <n v="899.7"/>
    <x v="1"/>
    <n v="0"/>
    <x v="1"/>
    <x v="0"/>
    <s v=""/>
    <s v="Net 30"/>
    <d v="2025-07-30T00:00:00"/>
    <n v="651"/>
    <x v="0"/>
    <s v="Due"/>
  </r>
  <r>
    <s v="AP10731"/>
    <x v="1"/>
    <x v="126"/>
    <x v="6"/>
    <d v="2024-07-28T00:00:00"/>
    <x v="3"/>
    <n v="2390.31"/>
    <x v="0"/>
    <n v="0"/>
    <x v="252"/>
    <x v="0"/>
    <s v=""/>
    <s v="Net 30"/>
    <d v="2025-07-30T00:00:00"/>
    <n v="367"/>
    <x v="0"/>
    <s v="Due"/>
  </r>
  <r>
    <s v="AP10732"/>
    <x v="2"/>
    <x v="522"/>
    <x v="3"/>
    <d v="2024-02-11T00:00:00"/>
    <x v="0"/>
    <n v="4305.79"/>
    <x v="1"/>
    <n v="0"/>
    <x v="1"/>
    <x v="0"/>
    <s v=""/>
    <s v="Net 30"/>
    <d v="2025-07-30T00:00:00"/>
    <n v="535"/>
    <x v="0"/>
    <s v="Due"/>
  </r>
  <r>
    <s v="AP10733"/>
    <x v="0"/>
    <x v="523"/>
    <x v="22"/>
    <d v="2025-06-26T00:00:00"/>
    <x v="2"/>
    <n v="4626.0600000000004"/>
    <x v="0"/>
    <n v="0"/>
    <x v="253"/>
    <x v="0"/>
    <s v=""/>
    <s v="Net 30"/>
    <d v="2025-07-30T00:00:00"/>
    <n v="34"/>
    <x v="2"/>
    <s v="Due"/>
  </r>
  <r>
    <s v="AP10734"/>
    <x v="2"/>
    <x v="524"/>
    <x v="27"/>
    <d v="2025-03-23T00:00:00"/>
    <x v="2"/>
    <n v="5068.55"/>
    <x v="0"/>
    <n v="0"/>
    <x v="254"/>
    <x v="0"/>
    <s v=""/>
    <s v="Net 30"/>
    <d v="2025-07-30T00:00:00"/>
    <n v="129"/>
    <x v="0"/>
    <s v="Due"/>
  </r>
  <r>
    <s v="AP10735"/>
    <x v="4"/>
    <x v="210"/>
    <x v="28"/>
    <d v="2025-05-25T00:00:00"/>
    <x v="4"/>
    <n v="143.54"/>
    <x v="1"/>
    <n v="0"/>
    <x v="1"/>
    <x v="0"/>
    <s v=""/>
    <s v="Net 30"/>
    <d v="2025-07-30T00:00:00"/>
    <n v="66"/>
    <x v="4"/>
    <s v="Due"/>
  </r>
  <r>
    <s v="AP10736"/>
    <x v="2"/>
    <x v="6"/>
    <x v="0"/>
    <d v="2025-01-19T00:00:00"/>
    <x v="4"/>
    <n v="3214.76"/>
    <x v="0"/>
    <n v="0"/>
    <x v="255"/>
    <x v="0"/>
    <s v=""/>
    <s v="Net 30"/>
    <d v="2025-07-30T00:00:00"/>
    <n v="192"/>
    <x v="0"/>
    <s v="Due"/>
  </r>
  <r>
    <s v="AP10737"/>
    <x v="3"/>
    <x v="189"/>
    <x v="22"/>
    <d v="2025-06-27T00:00:00"/>
    <x v="2"/>
    <n v="5935.35"/>
    <x v="2"/>
    <n v="5935.35"/>
    <x v="5"/>
    <x v="61"/>
    <s v="2025-Jun"/>
    <s v="Net 30"/>
    <d v="2025-07-30T00:00:00"/>
    <n v="0"/>
    <x v="1"/>
    <s v="Not Due"/>
  </r>
  <r>
    <s v="AP10738"/>
    <x v="0"/>
    <x v="214"/>
    <x v="12"/>
    <d v="2024-01-08T00:00:00"/>
    <x v="0"/>
    <n v="3388.86"/>
    <x v="2"/>
    <n v="3388.86"/>
    <x v="5"/>
    <x v="70"/>
    <s v="2024-Jan"/>
    <s v="Net 30"/>
    <d v="2025-07-30T00:00:00"/>
    <n v="0"/>
    <x v="1"/>
    <s v="Not Due"/>
  </r>
  <r>
    <s v="AP10739"/>
    <x v="1"/>
    <x v="363"/>
    <x v="16"/>
    <d v="2023-04-21T00:00:00"/>
    <x v="1"/>
    <n v="2229.46"/>
    <x v="2"/>
    <n v="2229.46"/>
    <x v="5"/>
    <x v="204"/>
    <s v="2023-Apr"/>
    <s v="Net 30"/>
    <d v="2025-07-30T00:00:00"/>
    <n v="0"/>
    <x v="1"/>
    <s v="Not Due"/>
  </r>
  <r>
    <s v="AP10740"/>
    <x v="2"/>
    <x v="525"/>
    <x v="15"/>
    <d v="2023-10-14T00:00:00"/>
    <x v="1"/>
    <n v="2856.8"/>
    <x v="2"/>
    <n v="2856.8"/>
    <x v="5"/>
    <x v="205"/>
    <s v="2023-Oct"/>
    <s v="Net 30"/>
    <d v="2025-07-30T00:00:00"/>
    <n v="0"/>
    <x v="1"/>
    <s v="Not Due"/>
  </r>
  <r>
    <s v="AP10741"/>
    <x v="1"/>
    <x v="526"/>
    <x v="17"/>
    <d v="2023-11-22T00:00:00"/>
    <x v="1"/>
    <n v="847.43"/>
    <x v="2"/>
    <n v="847.43"/>
    <x v="5"/>
    <x v="206"/>
    <s v="2023-Nov"/>
    <s v="Net 30"/>
    <d v="2025-07-30T00:00:00"/>
    <n v="0"/>
    <x v="1"/>
    <s v="Not Due"/>
  </r>
  <r>
    <s v="AP10742"/>
    <x v="1"/>
    <x v="527"/>
    <x v="7"/>
    <d v="2024-04-07T00:00:00"/>
    <x v="2"/>
    <n v="5279.32"/>
    <x v="2"/>
    <n v="5279.32"/>
    <x v="5"/>
    <x v="207"/>
    <s v="2024-Apr"/>
    <s v="Net 30"/>
    <d v="2025-07-30T00:00:00"/>
    <n v="0"/>
    <x v="1"/>
    <s v="Not Due"/>
  </r>
  <r>
    <s v="AP10743"/>
    <x v="3"/>
    <x v="292"/>
    <x v="12"/>
    <d v="2024-01-07T00:00:00"/>
    <x v="3"/>
    <n v="211.34"/>
    <x v="0"/>
    <n v="0"/>
    <x v="256"/>
    <x v="0"/>
    <s v=""/>
    <s v="Net 30"/>
    <d v="2025-07-30T00:00:00"/>
    <n v="570"/>
    <x v="0"/>
    <s v="Due"/>
  </r>
  <r>
    <s v="AP10744"/>
    <x v="4"/>
    <x v="375"/>
    <x v="23"/>
    <d v="2023-03-28T00:00:00"/>
    <x v="4"/>
    <n v="968.64"/>
    <x v="2"/>
    <n v="968.64"/>
    <x v="5"/>
    <x v="208"/>
    <s v="2023-Mar"/>
    <s v="Net 30"/>
    <d v="2025-07-30T00:00:00"/>
    <n v="0"/>
    <x v="1"/>
    <s v="Not Due"/>
  </r>
  <r>
    <s v="AP10745"/>
    <x v="2"/>
    <x v="528"/>
    <x v="12"/>
    <d v="2024-01-22T00:00:00"/>
    <x v="0"/>
    <n v="5563.19"/>
    <x v="1"/>
    <n v="0"/>
    <x v="1"/>
    <x v="0"/>
    <s v=""/>
    <s v="Net 30"/>
    <d v="2025-07-30T00:00:00"/>
    <n v="555"/>
    <x v="0"/>
    <s v="Due"/>
  </r>
  <r>
    <s v="AP10746"/>
    <x v="0"/>
    <x v="529"/>
    <x v="15"/>
    <d v="2023-10-25T00:00:00"/>
    <x v="4"/>
    <n v="2257.94"/>
    <x v="0"/>
    <n v="0"/>
    <x v="257"/>
    <x v="0"/>
    <s v=""/>
    <s v="Net 30"/>
    <d v="2025-07-30T00:00:00"/>
    <n v="644"/>
    <x v="0"/>
    <s v="Due"/>
  </r>
  <r>
    <s v="AP10747"/>
    <x v="3"/>
    <x v="530"/>
    <x v="4"/>
    <d v="2024-08-14T00:00:00"/>
    <x v="0"/>
    <n v="5625.82"/>
    <x v="1"/>
    <n v="0"/>
    <x v="1"/>
    <x v="0"/>
    <s v=""/>
    <s v="Net 30"/>
    <d v="2025-07-30T00:00:00"/>
    <n v="350"/>
    <x v="0"/>
    <s v="Due"/>
  </r>
  <r>
    <s v="AP10748"/>
    <x v="0"/>
    <x v="290"/>
    <x v="3"/>
    <d v="2024-02-29T00:00:00"/>
    <x v="1"/>
    <n v="969.98"/>
    <x v="1"/>
    <n v="0"/>
    <x v="1"/>
    <x v="0"/>
    <s v=""/>
    <s v="Net 30"/>
    <d v="2025-07-30T00:00:00"/>
    <n v="517"/>
    <x v="0"/>
    <s v="Due"/>
  </r>
  <r>
    <s v="AP10749"/>
    <x v="0"/>
    <x v="274"/>
    <x v="16"/>
    <d v="2023-04-07T00:00:00"/>
    <x v="1"/>
    <n v="2755.07"/>
    <x v="1"/>
    <n v="0"/>
    <x v="1"/>
    <x v="0"/>
    <s v=""/>
    <s v="Net 30"/>
    <d v="2025-07-30T00:00:00"/>
    <n v="845"/>
    <x v="0"/>
    <s v="Due"/>
  </r>
  <r>
    <s v="AP10750"/>
    <x v="2"/>
    <x v="285"/>
    <x v="9"/>
    <d v="2023-06-07T00:00:00"/>
    <x v="2"/>
    <n v="4659.3"/>
    <x v="2"/>
    <n v="4659.3"/>
    <x v="5"/>
    <x v="97"/>
    <s v="2023-Jun"/>
    <s v="Net 30"/>
    <d v="2025-07-30T00:00:00"/>
    <n v="0"/>
    <x v="1"/>
    <s v="Not Due"/>
  </r>
  <r>
    <s v="AP10751"/>
    <x v="0"/>
    <x v="287"/>
    <x v="26"/>
    <d v="2024-05-13T00:00:00"/>
    <x v="2"/>
    <n v="1719.63"/>
    <x v="1"/>
    <n v="0"/>
    <x v="1"/>
    <x v="0"/>
    <s v=""/>
    <s v="Net 30"/>
    <d v="2025-07-30T00:00:00"/>
    <n v="443"/>
    <x v="0"/>
    <s v="Due"/>
  </r>
  <r>
    <s v="AP10752"/>
    <x v="3"/>
    <x v="382"/>
    <x v="12"/>
    <d v="2024-01-01T00:00:00"/>
    <x v="4"/>
    <n v="991.38"/>
    <x v="2"/>
    <n v="991.38"/>
    <x v="5"/>
    <x v="209"/>
    <s v="2024-Jan"/>
    <s v="Net 30"/>
    <d v="2025-07-30T00:00:00"/>
    <n v="0"/>
    <x v="1"/>
    <s v="Not Due"/>
  </r>
  <r>
    <s v="AP10753"/>
    <x v="0"/>
    <x v="531"/>
    <x v="29"/>
    <d v="2024-09-30T00:00:00"/>
    <x v="0"/>
    <n v="2474.6999999999998"/>
    <x v="1"/>
    <n v="0"/>
    <x v="1"/>
    <x v="0"/>
    <s v=""/>
    <s v="Net 30"/>
    <d v="2025-07-30T00:00:00"/>
    <n v="303"/>
    <x v="0"/>
    <s v="Due"/>
  </r>
  <r>
    <s v="AP10754"/>
    <x v="1"/>
    <x v="58"/>
    <x v="26"/>
    <d v="2024-05-26T00:00:00"/>
    <x v="2"/>
    <n v="3508.53"/>
    <x v="2"/>
    <n v="3508.53"/>
    <x v="5"/>
    <x v="210"/>
    <s v="2024-May"/>
    <s v="Net 30"/>
    <d v="2025-07-30T00:00:00"/>
    <n v="0"/>
    <x v="1"/>
    <s v="Not Due"/>
  </r>
  <r>
    <s v="AP10755"/>
    <x v="4"/>
    <x v="278"/>
    <x v="27"/>
    <d v="2025-03-21T00:00:00"/>
    <x v="2"/>
    <n v="2340.3000000000002"/>
    <x v="2"/>
    <n v="2340.3000000000002"/>
    <x v="5"/>
    <x v="211"/>
    <s v="2025-Mar"/>
    <s v="Net 30"/>
    <d v="2025-07-30T00:00:00"/>
    <n v="0"/>
    <x v="1"/>
    <s v="Not Due"/>
  </r>
  <r>
    <s v="AP10756"/>
    <x v="4"/>
    <x v="532"/>
    <x v="18"/>
    <d v="2024-12-17T00:00:00"/>
    <x v="0"/>
    <n v="5093.1899999999996"/>
    <x v="1"/>
    <n v="0"/>
    <x v="1"/>
    <x v="0"/>
    <s v=""/>
    <s v="Net 30"/>
    <d v="2025-07-30T00:00:00"/>
    <n v="225"/>
    <x v="0"/>
    <s v="Due"/>
  </r>
  <r>
    <s v="AP10757"/>
    <x v="0"/>
    <x v="50"/>
    <x v="25"/>
    <d v="2023-09-23T00:00:00"/>
    <x v="1"/>
    <n v="2375.08"/>
    <x v="0"/>
    <n v="0"/>
    <x v="258"/>
    <x v="0"/>
    <s v=""/>
    <s v="Net 30"/>
    <d v="2025-07-30T00:00:00"/>
    <n v="676"/>
    <x v="0"/>
    <s v="Due"/>
  </r>
  <r>
    <s v="AP10758"/>
    <x v="2"/>
    <x v="533"/>
    <x v="3"/>
    <d v="2024-02-09T00:00:00"/>
    <x v="3"/>
    <n v="2204.2800000000002"/>
    <x v="2"/>
    <n v="2204.2800000000002"/>
    <x v="5"/>
    <x v="212"/>
    <s v="2024-Feb"/>
    <s v="Net 30"/>
    <d v="2025-07-30T00:00:00"/>
    <n v="0"/>
    <x v="1"/>
    <s v="Not Due"/>
  </r>
  <r>
    <s v="AP10759"/>
    <x v="2"/>
    <x v="534"/>
    <x v="2"/>
    <d v="2024-03-19T00:00:00"/>
    <x v="2"/>
    <n v="4697.9799999999996"/>
    <x v="0"/>
    <n v="0"/>
    <x v="259"/>
    <x v="0"/>
    <s v=""/>
    <s v="Net 30"/>
    <d v="2025-07-30T00:00:00"/>
    <n v="498"/>
    <x v="0"/>
    <s v="Due"/>
  </r>
  <r>
    <s v="AP10760"/>
    <x v="4"/>
    <x v="285"/>
    <x v="9"/>
    <d v="2023-06-07T00:00:00"/>
    <x v="3"/>
    <n v="2571.9"/>
    <x v="2"/>
    <n v="2571.9"/>
    <x v="5"/>
    <x v="97"/>
    <s v="2023-Jun"/>
    <s v="Net 30"/>
    <d v="2025-07-30T00:00:00"/>
    <n v="0"/>
    <x v="1"/>
    <s v="Not Due"/>
  </r>
  <r>
    <s v="AP10761"/>
    <x v="0"/>
    <x v="221"/>
    <x v="18"/>
    <d v="2024-12-22T00:00:00"/>
    <x v="0"/>
    <n v="2997.1"/>
    <x v="2"/>
    <n v="2997.1"/>
    <x v="5"/>
    <x v="213"/>
    <s v="2024-Dec"/>
    <s v="Net 30"/>
    <d v="2025-07-30T00:00:00"/>
    <n v="0"/>
    <x v="1"/>
    <s v="Not Due"/>
  </r>
  <r>
    <s v="AP10762"/>
    <x v="0"/>
    <x v="271"/>
    <x v="19"/>
    <d v="2025-02-21T00:00:00"/>
    <x v="3"/>
    <n v="3760.26"/>
    <x v="0"/>
    <n v="0"/>
    <x v="260"/>
    <x v="0"/>
    <s v=""/>
    <s v="Net 30"/>
    <d v="2025-07-30T00:00:00"/>
    <n v="159"/>
    <x v="0"/>
    <s v="Due"/>
  </r>
  <r>
    <s v="AP10763"/>
    <x v="4"/>
    <x v="535"/>
    <x v="26"/>
    <d v="2024-05-03T00:00:00"/>
    <x v="3"/>
    <n v="645.44000000000005"/>
    <x v="2"/>
    <n v="645.44000000000005"/>
    <x v="5"/>
    <x v="214"/>
    <s v="2024-May"/>
    <s v="Net 30"/>
    <d v="2025-07-30T00:00:00"/>
    <n v="0"/>
    <x v="1"/>
    <s v="Not Due"/>
  </r>
  <r>
    <s v="AP10764"/>
    <x v="4"/>
    <x v="536"/>
    <x v="25"/>
    <d v="2023-09-09T00:00:00"/>
    <x v="2"/>
    <n v="1289.04"/>
    <x v="2"/>
    <n v="1289.04"/>
    <x v="5"/>
    <x v="215"/>
    <s v="2023-Sep"/>
    <s v="Net 30"/>
    <d v="2025-07-30T00:00:00"/>
    <n v="0"/>
    <x v="1"/>
    <s v="Not Due"/>
  </r>
  <r>
    <s v="AP10765"/>
    <x v="4"/>
    <x v="442"/>
    <x v="9"/>
    <d v="2023-06-23T00:00:00"/>
    <x v="4"/>
    <n v="3553.01"/>
    <x v="2"/>
    <n v="3553.01"/>
    <x v="5"/>
    <x v="166"/>
    <s v="2023-Jun"/>
    <s v="Net 30"/>
    <d v="2025-07-30T00:00:00"/>
    <n v="0"/>
    <x v="1"/>
    <s v="Not Due"/>
  </r>
  <r>
    <s v="AP10766"/>
    <x v="2"/>
    <x v="461"/>
    <x v="16"/>
    <d v="2023-04-02T00:00:00"/>
    <x v="3"/>
    <n v="4286.67"/>
    <x v="2"/>
    <n v="4286.67"/>
    <x v="5"/>
    <x v="216"/>
    <s v="2023-Apr"/>
    <s v="Net 30"/>
    <d v="2025-07-30T00:00:00"/>
    <n v="0"/>
    <x v="1"/>
    <s v="Not Due"/>
  </r>
  <r>
    <s v="AP10767"/>
    <x v="1"/>
    <x v="537"/>
    <x v="12"/>
    <d v="2024-01-02T00:00:00"/>
    <x v="2"/>
    <n v="5905.74"/>
    <x v="1"/>
    <n v="0"/>
    <x v="1"/>
    <x v="0"/>
    <s v=""/>
    <s v="Net 30"/>
    <d v="2025-07-30T00:00:00"/>
    <n v="575"/>
    <x v="0"/>
    <s v="Due"/>
  </r>
  <r>
    <s v="AP10768"/>
    <x v="1"/>
    <x v="538"/>
    <x v="19"/>
    <d v="2025-02-01T00:00:00"/>
    <x v="2"/>
    <n v="4047.47"/>
    <x v="1"/>
    <n v="0"/>
    <x v="1"/>
    <x v="0"/>
    <s v=""/>
    <s v="Net 30"/>
    <d v="2025-07-30T00:00:00"/>
    <n v="179"/>
    <x v="0"/>
    <s v="Due"/>
  </r>
  <r>
    <s v="AP10769"/>
    <x v="2"/>
    <x v="253"/>
    <x v="28"/>
    <d v="2025-05-05T00:00:00"/>
    <x v="1"/>
    <n v="2519.7600000000002"/>
    <x v="0"/>
    <n v="0"/>
    <x v="261"/>
    <x v="0"/>
    <s v=""/>
    <s v="Net 30"/>
    <d v="2025-07-30T00:00:00"/>
    <n v="86"/>
    <x v="4"/>
    <s v="Due"/>
  </r>
  <r>
    <s v="AP10770"/>
    <x v="3"/>
    <x v="369"/>
    <x v="0"/>
    <d v="2025-01-21T00:00:00"/>
    <x v="0"/>
    <n v="338.72"/>
    <x v="0"/>
    <n v="0"/>
    <x v="262"/>
    <x v="0"/>
    <s v=""/>
    <s v="Net 30"/>
    <d v="2025-07-30T00:00:00"/>
    <n v="190"/>
    <x v="0"/>
    <s v="Due"/>
  </r>
  <r>
    <s v="AP10771"/>
    <x v="4"/>
    <x v="56"/>
    <x v="13"/>
    <d v="2025-04-08T00:00:00"/>
    <x v="2"/>
    <n v="3523.26"/>
    <x v="1"/>
    <n v="0"/>
    <x v="1"/>
    <x v="0"/>
    <s v=""/>
    <s v="Net 30"/>
    <d v="2025-07-30T00:00:00"/>
    <n v="113"/>
    <x v="0"/>
    <s v="Due"/>
  </r>
  <r>
    <s v="AP10772"/>
    <x v="2"/>
    <x v="539"/>
    <x v="29"/>
    <d v="2024-08-31T00:00:00"/>
    <x v="1"/>
    <n v="3541.31"/>
    <x v="0"/>
    <n v="0"/>
    <x v="263"/>
    <x v="0"/>
    <s v=""/>
    <s v="Net 30"/>
    <d v="2025-07-30T00:00:00"/>
    <n v="333"/>
    <x v="0"/>
    <s v="Due"/>
  </r>
  <r>
    <s v="AP10773"/>
    <x v="2"/>
    <x v="434"/>
    <x v="13"/>
    <d v="2025-04-21T00:00:00"/>
    <x v="2"/>
    <n v="3815.13"/>
    <x v="1"/>
    <n v="0"/>
    <x v="1"/>
    <x v="0"/>
    <s v=""/>
    <s v="Net 30"/>
    <d v="2025-07-30T00:00:00"/>
    <n v="100"/>
    <x v="0"/>
    <s v="Due"/>
  </r>
  <r>
    <s v="AP10774"/>
    <x v="3"/>
    <x v="540"/>
    <x v="27"/>
    <d v="2025-03-30T00:00:00"/>
    <x v="0"/>
    <n v="4553.49"/>
    <x v="0"/>
    <n v="0"/>
    <x v="264"/>
    <x v="0"/>
    <s v=""/>
    <s v="Net 30"/>
    <d v="2025-07-30T00:00:00"/>
    <n v="122"/>
    <x v="0"/>
    <s v="Due"/>
  </r>
  <r>
    <s v="AP10775"/>
    <x v="3"/>
    <x v="485"/>
    <x v="11"/>
    <d v="2023-07-06T00:00:00"/>
    <x v="0"/>
    <n v="1844.29"/>
    <x v="1"/>
    <n v="0"/>
    <x v="1"/>
    <x v="0"/>
    <s v=""/>
    <s v="Net 30"/>
    <d v="2025-07-30T00:00:00"/>
    <n v="755"/>
    <x v="0"/>
    <s v="Due"/>
  </r>
  <r>
    <s v="AP10776"/>
    <x v="0"/>
    <x v="179"/>
    <x v="13"/>
    <d v="2025-04-06T00:00:00"/>
    <x v="2"/>
    <n v="998.7"/>
    <x v="1"/>
    <n v="0"/>
    <x v="1"/>
    <x v="0"/>
    <s v=""/>
    <s v="Net 30"/>
    <d v="2025-07-30T00:00:00"/>
    <n v="115"/>
    <x v="0"/>
    <s v="Due"/>
  </r>
  <r>
    <s v="AP10777"/>
    <x v="2"/>
    <x v="213"/>
    <x v="3"/>
    <d v="2024-02-23T00:00:00"/>
    <x v="4"/>
    <n v="1833.64"/>
    <x v="0"/>
    <n v="0"/>
    <x v="265"/>
    <x v="0"/>
    <s v=""/>
    <s v="Net 30"/>
    <d v="2025-07-30T00:00:00"/>
    <n v="523"/>
    <x v="0"/>
    <s v="Due"/>
  </r>
  <r>
    <s v="AP10778"/>
    <x v="2"/>
    <x v="541"/>
    <x v="18"/>
    <d v="2024-12-12T00:00:00"/>
    <x v="4"/>
    <n v="3438.47"/>
    <x v="1"/>
    <n v="0"/>
    <x v="1"/>
    <x v="0"/>
    <s v=""/>
    <s v="Net 30"/>
    <d v="2025-07-30T00:00:00"/>
    <n v="230"/>
    <x v="0"/>
    <s v="Due"/>
  </r>
  <r>
    <s v="AP10779"/>
    <x v="1"/>
    <x v="542"/>
    <x v="10"/>
    <d v="2023-12-01T00:00:00"/>
    <x v="2"/>
    <n v="1076.1600000000001"/>
    <x v="2"/>
    <n v="1076.1600000000001"/>
    <x v="5"/>
    <x v="217"/>
    <s v="2023-Dec"/>
    <s v="Net 30"/>
    <d v="2025-07-30T00:00:00"/>
    <n v="0"/>
    <x v="1"/>
    <s v="Not Due"/>
  </r>
  <r>
    <s v="AP10780"/>
    <x v="2"/>
    <x v="99"/>
    <x v="29"/>
    <d v="2024-09-28T00:00:00"/>
    <x v="3"/>
    <n v="4963.01"/>
    <x v="1"/>
    <n v="0"/>
    <x v="1"/>
    <x v="0"/>
    <s v=""/>
    <s v="Net 30"/>
    <d v="2025-07-30T00:00:00"/>
    <n v="305"/>
    <x v="0"/>
    <s v="Due"/>
  </r>
  <r>
    <s v="AP10781"/>
    <x v="0"/>
    <x v="543"/>
    <x v="14"/>
    <d v="2023-08-18T00:00:00"/>
    <x v="2"/>
    <n v="6167.97"/>
    <x v="2"/>
    <n v="6167.97"/>
    <x v="5"/>
    <x v="218"/>
    <s v="2023-Aug"/>
    <s v="Net 30"/>
    <d v="2025-07-30T00:00:00"/>
    <n v="0"/>
    <x v="1"/>
    <s v="Not Due"/>
  </r>
  <r>
    <s v="AP10782"/>
    <x v="1"/>
    <x v="513"/>
    <x v="18"/>
    <d v="2024-12-19T00:00:00"/>
    <x v="0"/>
    <n v="3626.93"/>
    <x v="1"/>
    <n v="0"/>
    <x v="1"/>
    <x v="0"/>
    <s v=""/>
    <s v="Net 30"/>
    <d v="2025-07-30T00:00:00"/>
    <n v="223"/>
    <x v="0"/>
    <s v="Due"/>
  </r>
  <r>
    <s v="AP10783"/>
    <x v="3"/>
    <x v="544"/>
    <x v="28"/>
    <d v="2025-05-21T00:00:00"/>
    <x v="4"/>
    <n v="2404.2199999999998"/>
    <x v="2"/>
    <n v="2404.2199999999998"/>
    <x v="5"/>
    <x v="219"/>
    <s v="2025-May"/>
    <s v="Net 30"/>
    <d v="2025-07-30T00:00:00"/>
    <n v="0"/>
    <x v="1"/>
    <s v="Not Due"/>
  </r>
  <r>
    <s v="AP10784"/>
    <x v="2"/>
    <x v="545"/>
    <x v="28"/>
    <d v="2025-05-07T00:00:00"/>
    <x v="4"/>
    <n v="3013.6"/>
    <x v="2"/>
    <n v="3013.6"/>
    <x v="5"/>
    <x v="220"/>
    <s v="2025-May"/>
    <s v="Net 30"/>
    <d v="2025-07-30T00:00:00"/>
    <n v="0"/>
    <x v="1"/>
    <s v="Not Due"/>
  </r>
  <r>
    <s v="AP10785"/>
    <x v="1"/>
    <x v="13"/>
    <x v="10"/>
    <d v="2023-12-19T00:00:00"/>
    <x v="1"/>
    <n v="2902.9"/>
    <x v="2"/>
    <n v="2902.9"/>
    <x v="5"/>
    <x v="3"/>
    <s v="2023-Dec"/>
    <s v="Net 30"/>
    <d v="2025-07-30T00:00:00"/>
    <n v="0"/>
    <x v="1"/>
    <s v="Not Due"/>
  </r>
  <r>
    <s v="AP10786"/>
    <x v="4"/>
    <x v="546"/>
    <x v="19"/>
    <d v="2025-03-01T00:00:00"/>
    <x v="2"/>
    <n v="1027.0999999999999"/>
    <x v="1"/>
    <n v="0"/>
    <x v="1"/>
    <x v="0"/>
    <s v=""/>
    <s v="Net 30"/>
    <d v="2025-07-30T00:00:00"/>
    <n v="151"/>
    <x v="0"/>
    <s v="Due"/>
  </r>
  <r>
    <s v="AP10787"/>
    <x v="2"/>
    <x v="351"/>
    <x v="14"/>
    <d v="2023-08-07T00:00:00"/>
    <x v="1"/>
    <n v="1205.94"/>
    <x v="2"/>
    <n v="1205.94"/>
    <x v="5"/>
    <x v="221"/>
    <s v="2023-Aug"/>
    <s v="Net 30"/>
    <d v="2025-07-30T00:00:00"/>
    <n v="0"/>
    <x v="1"/>
    <s v="Not Due"/>
  </r>
  <r>
    <s v="AP10788"/>
    <x v="0"/>
    <x v="547"/>
    <x v="5"/>
    <d v="2024-10-16T00:00:00"/>
    <x v="0"/>
    <n v="4733.13"/>
    <x v="1"/>
    <n v="0"/>
    <x v="1"/>
    <x v="0"/>
    <s v=""/>
    <s v="Net 30"/>
    <d v="2025-07-30T00:00:00"/>
    <n v="287"/>
    <x v="0"/>
    <s v="Due"/>
  </r>
  <r>
    <s v="AP10789"/>
    <x v="1"/>
    <x v="548"/>
    <x v="23"/>
    <d v="2023-03-20T00:00:00"/>
    <x v="3"/>
    <n v="4071.09"/>
    <x v="1"/>
    <n v="0"/>
    <x v="1"/>
    <x v="0"/>
    <s v=""/>
    <s v="Net 30"/>
    <d v="2025-07-30T00:00:00"/>
    <n v="863"/>
    <x v="0"/>
    <s v="Due"/>
  </r>
  <r>
    <s v="AP10790"/>
    <x v="0"/>
    <x v="45"/>
    <x v="19"/>
    <d v="2025-02-24T00:00:00"/>
    <x v="2"/>
    <n v="423.29"/>
    <x v="0"/>
    <n v="0"/>
    <x v="266"/>
    <x v="0"/>
    <s v=""/>
    <s v="Net 30"/>
    <d v="2025-07-30T00:00:00"/>
    <n v="156"/>
    <x v="0"/>
    <s v="Due"/>
  </r>
  <r>
    <s v="AP10791"/>
    <x v="1"/>
    <x v="139"/>
    <x v="6"/>
    <d v="2024-07-24T00:00:00"/>
    <x v="4"/>
    <n v="3131.99"/>
    <x v="2"/>
    <n v="3131.99"/>
    <x v="5"/>
    <x v="222"/>
    <s v="2024-Jul"/>
    <s v="Net 30"/>
    <d v="2025-07-30T00:00:00"/>
    <n v="0"/>
    <x v="1"/>
    <s v="Not Due"/>
  </r>
  <r>
    <s v="AP10792"/>
    <x v="0"/>
    <x v="448"/>
    <x v="7"/>
    <d v="2024-04-02T00:00:00"/>
    <x v="2"/>
    <n v="4789.1000000000004"/>
    <x v="0"/>
    <n v="0"/>
    <x v="267"/>
    <x v="0"/>
    <s v=""/>
    <s v="Net 30"/>
    <d v="2025-07-30T00:00:00"/>
    <n v="484"/>
    <x v="0"/>
    <s v="Due"/>
  </r>
  <r>
    <s v="AP10793"/>
    <x v="0"/>
    <x v="549"/>
    <x v="23"/>
    <d v="2023-03-23T00:00:00"/>
    <x v="4"/>
    <n v="2158.5500000000002"/>
    <x v="2"/>
    <n v="2158.5500000000002"/>
    <x v="5"/>
    <x v="223"/>
    <s v="2023-Mar"/>
    <s v="Net 30"/>
    <d v="2025-07-30T00:00:00"/>
    <n v="0"/>
    <x v="1"/>
    <s v="Not Due"/>
  </r>
  <r>
    <s v="AP10794"/>
    <x v="1"/>
    <x v="550"/>
    <x v="5"/>
    <d v="2024-10-08T00:00:00"/>
    <x v="0"/>
    <n v="878.03"/>
    <x v="1"/>
    <n v="0"/>
    <x v="1"/>
    <x v="0"/>
    <s v=""/>
    <s v="Net 30"/>
    <d v="2025-07-30T00:00:00"/>
    <n v="295"/>
    <x v="0"/>
    <s v="Due"/>
  </r>
  <r>
    <s v="AP10795"/>
    <x v="1"/>
    <x v="170"/>
    <x v="23"/>
    <d v="2023-03-06T00:00:00"/>
    <x v="4"/>
    <n v="3059.23"/>
    <x v="2"/>
    <n v="3059.23"/>
    <x v="5"/>
    <x v="129"/>
    <s v="2023-Mar"/>
    <s v="Net 30"/>
    <d v="2025-07-30T00:00:00"/>
    <n v="0"/>
    <x v="1"/>
    <s v="Not Due"/>
  </r>
  <r>
    <s v="AP10796"/>
    <x v="0"/>
    <x v="180"/>
    <x v="26"/>
    <d v="2024-05-02T00:00:00"/>
    <x v="2"/>
    <n v="833.76"/>
    <x v="0"/>
    <n v="0"/>
    <x v="268"/>
    <x v="0"/>
    <s v=""/>
    <s v="Net 30"/>
    <d v="2025-07-30T00:00:00"/>
    <n v="454"/>
    <x v="0"/>
    <s v="Due"/>
  </r>
  <r>
    <s v="AP10797"/>
    <x v="3"/>
    <x v="551"/>
    <x v="13"/>
    <d v="2025-04-15T00:00:00"/>
    <x v="0"/>
    <n v="1179.4000000000001"/>
    <x v="1"/>
    <n v="0"/>
    <x v="1"/>
    <x v="0"/>
    <s v=""/>
    <s v="Net 30"/>
    <d v="2025-07-30T00:00:00"/>
    <n v="106"/>
    <x v="0"/>
    <s v="Due"/>
  </r>
  <r>
    <s v="AP10798"/>
    <x v="2"/>
    <x v="136"/>
    <x v="24"/>
    <d v="2025-07-19T00:00:00"/>
    <x v="2"/>
    <n v="394.42"/>
    <x v="1"/>
    <n v="0"/>
    <x v="1"/>
    <x v="0"/>
    <s v=""/>
    <s v="Net 30"/>
    <d v="2025-07-30T00:00:00"/>
    <n v="11"/>
    <x v="3"/>
    <s v="Due"/>
  </r>
  <r>
    <s v="AP10799"/>
    <x v="3"/>
    <x v="369"/>
    <x v="0"/>
    <d v="2025-01-21T00:00:00"/>
    <x v="4"/>
    <n v="3316.77"/>
    <x v="1"/>
    <n v="0"/>
    <x v="1"/>
    <x v="0"/>
    <s v=""/>
    <s v="Net 30"/>
    <d v="2025-07-30T00:00:00"/>
    <n v="190"/>
    <x v="0"/>
    <s v="D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AE950A-94A9-4689-BC26-ADEAD031A2C4}"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rowHeaderCaption="Vendor" colHeaderCaption="Aging Bucket">
  <location ref="G3:K9" firstHeaderRow="1" firstDataRow="2" firstDataCol="1"/>
  <pivotFields count="20">
    <pivotField showAll="0"/>
    <pivotField axis="axisRow" showAll="0" sortType="descending">
      <items count="6">
        <item x="2"/>
        <item x="0"/>
        <item x="1"/>
        <item x="3"/>
        <item x="4"/>
        <item t="default"/>
      </items>
      <autoSortScope>
        <pivotArea dataOnly="0" outline="0" fieldPosition="0">
          <references count="2">
            <reference field="4294967294" count="1" selected="0">
              <x v="0"/>
            </reference>
            <reference field="15" count="1" selected="0">
              <x v="3"/>
            </reference>
          </references>
        </pivotArea>
      </autoSortScope>
    </pivotField>
    <pivotField numFmtId="166" showAll="0"/>
    <pivotField showAll="0"/>
    <pivotField numFmtId="166" showAll="0"/>
    <pivotField showAll="0"/>
    <pivotField showAll="0"/>
    <pivotField showAll="0">
      <items count="4">
        <item x="0"/>
        <item x="2"/>
        <item x="1"/>
        <item t="default"/>
      </items>
    </pivotField>
    <pivotField numFmtId="2" showAll="0"/>
    <pivotField dataField="1" showAll="0"/>
    <pivotField showAll="0">
      <items count="15">
        <item x="0"/>
        <item x="1"/>
        <item x="2"/>
        <item x="3"/>
        <item x="4"/>
        <item x="5"/>
        <item x="6"/>
        <item x="7"/>
        <item x="8"/>
        <item x="9"/>
        <item x="10"/>
        <item x="11"/>
        <item x="12"/>
        <item x="13"/>
        <item t="default"/>
      </items>
    </pivotField>
    <pivotField showAll="0"/>
    <pivotField showAll="0"/>
    <pivotField numFmtId="166" showAll="0"/>
    <pivotField showAll="0"/>
    <pivotField axis="axisCol" showAll="0">
      <items count="8">
        <item x="3"/>
        <item x="2"/>
        <item x="4"/>
        <item x="0"/>
        <item h="1" x="5"/>
        <item h="1" m="1" x="6"/>
        <item h="1" x="1"/>
        <item t="default"/>
      </items>
    </pivotField>
    <pivotField showAll="0"/>
    <pivotField showAll="0" defaultSubtotal="0"/>
    <pivotField showAll="0" defaultSubtotal="0">
      <items count="5">
        <item h="1" x="0"/>
        <item x="1"/>
        <item x="2"/>
        <item x="3"/>
        <item h="1" x="4"/>
      </items>
    </pivotField>
    <pivotField showAll="0">
      <items count="6">
        <item x="0"/>
        <item x="1"/>
        <item x="2"/>
        <item x="3"/>
        <item x="4"/>
        <item t="default"/>
      </items>
    </pivotField>
  </pivotFields>
  <rowFields count="1">
    <field x="1"/>
  </rowFields>
  <rowItems count="5">
    <i>
      <x v="1"/>
    </i>
    <i>
      <x v="3"/>
    </i>
    <i>
      <x/>
    </i>
    <i>
      <x v="4"/>
    </i>
    <i>
      <x v="2"/>
    </i>
  </rowItems>
  <colFields count="1">
    <field x="15"/>
  </colFields>
  <colItems count="4">
    <i>
      <x/>
    </i>
    <i>
      <x v="1"/>
    </i>
    <i>
      <x v="2"/>
    </i>
    <i>
      <x v="3"/>
    </i>
  </colItems>
  <dataFields count="1">
    <dataField name="Count of Outstanding Invoices" fld="9" subtotal="count" baseField="1" baseItem="3"/>
  </dataFields>
  <formats count="99">
    <format dxfId="318">
      <pivotArea outline="0" collapsedLevelsAreSubtotals="1" fieldPosition="0">
        <references count="1">
          <reference field="15" count="1" selected="0">
            <x v="4"/>
          </reference>
        </references>
      </pivotArea>
    </format>
    <format dxfId="319">
      <pivotArea collapsedLevelsAreSubtotals="1" fieldPosition="0">
        <references count="2">
          <reference field="1" count="0"/>
          <reference field="15" count="1" selected="0">
            <x v="6"/>
          </reference>
        </references>
      </pivotArea>
    </format>
    <format dxfId="320">
      <pivotArea outline="0" collapsedLevelsAreSubtotals="1" fieldPosition="0"/>
    </format>
    <format dxfId="321">
      <pivotArea type="all" dataOnly="0" outline="0" fieldPosition="0"/>
    </format>
    <format dxfId="322">
      <pivotArea outline="0" collapsedLevelsAreSubtotals="1" fieldPosition="0"/>
    </format>
    <format dxfId="323">
      <pivotArea type="origin" dataOnly="0" labelOnly="1" outline="0" fieldPosition="0"/>
    </format>
    <format dxfId="324">
      <pivotArea field="15" type="button" dataOnly="0" labelOnly="1" outline="0" axis="axisCol" fieldPosition="0"/>
    </format>
    <format dxfId="325">
      <pivotArea type="topRight" dataOnly="0" labelOnly="1" outline="0" fieldPosition="0"/>
    </format>
    <format dxfId="326">
      <pivotArea field="1" type="button" dataOnly="0" labelOnly="1" outline="0" axis="axisRow" fieldPosition="0"/>
    </format>
    <format dxfId="327">
      <pivotArea dataOnly="0" labelOnly="1" fieldPosition="0">
        <references count="1">
          <reference field="1" count="0"/>
        </references>
      </pivotArea>
    </format>
    <format dxfId="328">
      <pivotArea dataOnly="0" labelOnly="1" fieldPosition="0">
        <references count="1">
          <reference field="15" count="0"/>
        </references>
      </pivotArea>
    </format>
    <format dxfId="329">
      <pivotArea type="all" dataOnly="0" outline="0" fieldPosition="0"/>
    </format>
    <format dxfId="330">
      <pivotArea type="origin" dataOnly="0" labelOnly="1" outline="0" fieldPosition="0"/>
    </format>
    <format dxfId="331">
      <pivotArea field="15" type="button" dataOnly="0" labelOnly="1" outline="0" axis="axisCol" fieldPosition="0"/>
    </format>
    <format dxfId="332">
      <pivotArea type="topRight" dataOnly="0" labelOnly="1" outline="0" fieldPosition="0"/>
    </format>
    <format dxfId="333">
      <pivotArea field="1" type="button" dataOnly="0" labelOnly="1" outline="0" axis="axisRow" fieldPosition="0"/>
    </format>
    <format dxfId="334">
      <pivotArea dataOnly="0" labelOnly="1" fieldPosition="0">
        <references count="1">
          <reference field="15" count="0"/>
        </references>
      </pivotArea>
    </format>
    <format dxfId="335">
      <pivotArea outline="0" collapsedLevelsAreSubtotals="1" fieldPosition="0"/>
    </format>
    <format dxfId="336">
      <pivotArea dataOnly="0" labelOnly="1" fieldPosition="0">
        <references count="1">
          <reference field="1" count="0"/>
        </references>
      </pivotArea>
    </format>
    <format dxfId="337">
      <pivotArea collapsedLevelsAreSubtotals="1" fieldPosition="0">
        <references count="1">
          <reference field="1" count="1">
            <x v="3"/>
          </reference>
        </references>
      </pivotArea>
    </format>
    <format dxfId="338">
      <pivotArea dataOnly="0" labelOnly="1" fieldPosition="0">
        <references count="1">
          <reference field="1" count="1">
            <x v="3"/>
          </reference>
        </references>
      </pivotArea>
    </format>
    <format dxfId="339">
      <pivotArea collapsedLevelsAreSubtotals="1" fieldPosition="0">
        <references count="1">
          <reference field="1" count="1">
            <x v="0"/>
          </reference>
        </references>
      </pivotArea>
    </format>
    <format dxfId="340">
      <pivotArea dataOnly="0" labelOnly="1" fieldPosition="0">
        <references count="1">
          <reference field="1" count="1">
            <x v="0"/>
          </reference>
        </references>
      </pivotArea>
    </format>
    <format dxfId="341">
      <pivotArea collapsedLevelsAreSubtotals="1" fieldPosition="0">
        <references count="1">
          <reference field="1" count="1">
            <x v="1"/>
          </reference>
        </references>
      </pivotArea>
    </format>
    <format dxfId="342">
      <pivotArea dataOnly="0" labelOnly="1" fieldPosition="0">
        <references count="1">
          <reference field="1" count="1">
            <x v="1"/>
          </reference>
        </references>
      </pivotArea>
    </format>
    <format dxfId="343">
      <pivotArea dataOnly="0" fieldPosition="0">
        <references count="1">
          <reference field="1" count="1">
            <x v="2"/>
          </reference>
        </references>
      </pivotArea>
    </format>
    <format dxfId="344">
      <pivotArea collapsedLevelsAreSubtotals="1" fieldPosition="0">
        <references count="2">
          <reference field="1" count="1">
            <x v="4"/>
          </reference>
          <reference field="15" count="1" selected="0">
            <x v="0"/>
          </reference>
        </references>
      </pivotArea>
    </format>
    <format dxfId="345">
      <pivotArea outline="0" collapsedLevelsAreSubtotals="1" fieldPosition="0"/>
    </format>
    <format dxfId="346">
      <pivotArea type="all" dataOnly="0" outline="0" fieldPosition="0"/>
    </format>
    <format dxfId="347">
      <pivotArea type="origin" dataOnly="0" labelOnly="1" outline="0" fieldPosition="0"/>
    </format>
    <format dxfId="348">
      <pivotArea field="1" type="button" dataOnly="0" labelOnly="1" outline="0" axis="axisRow" fieldPosition="0"/>
    </format>
    <format dxfId="349">
      <pivotArea type="origin" dataOnly="0" labelOnly="1" outline="0" fieldPosition="0"/>
    </format>
    <format dxfId="350">
      <pivotArea field="1" type="button" dataOnly="0" labelOnly="1" outline="0" axis="axisRow" fieldPosition="0"/>
    </format>
    <format dxfId="351">
      <pivotArea type="origin" dataOnly="0" labelOnly="1" outline="0" fieldPosition="0"/>
    </format>
    <format dxfId="352">
      <pivotArea field="1" type="button" dataOnly="0" labelOnly="1" outline="0" axis="axisRow" fieldPosition="0"/>
    </format>
    <format dxfId="353">
      <pivotArea field="1" type="button" dataOnly="0" labelOnly="1" outline="0" axis="axisRow" fieldPosition="0"/>
    </format>
    <format dxfId="354">
      <pivotArea type="origin" dataOnly="0" labelOnly="1" outline="0" fieldPosition="0"/>
    </format>
    <format dxfId="355">
      <pivotArea field="1" type="button" dataOnly="0" labelOnly="1" outline="0" axis="axisRow" fieldPosition="0"/>
    </format>
    <format dxfId="356">
      <pivotArea type="all" dataOnly="0" outline="0" fieldPosition="0"/>
    </format>
    <format dxfId="357">
      <pivotArea type="origin" dataOnly="0" labelOnly="1" outline="0" fieldPosition="0"/>
    </format>
    <format dxfId="358">
      <pivotArea field="1" type="button" dataOnly="0" labelOnly="1" outline="0" axis="axisRow" fieldPosition="0"/>
    </format>
    <format dxfId="359">
      <pivotArea dataOnly="0" labelOnly="1" fieldPosition="0">
        <references count="1">
          <reference field="1" count="0"/>
        </references>
      </pivotArea>
    </format>
    <format dxfId="360">
      <pivotArea type="origin" dataOnly="0" labelOnly="1" outline="0" fieldPosition="0"/>
    </format>
    <format dxfId="361">
      <pivotArea field="1" type="button" dataOnly="0" labelOnly="1" outline="0" axis="axisRow" fieldPosition="0"/>
    </format>
    <format dxfId="362">
      <pivotArea dataOnly="0" labelOnly="1" fieldPosition="0">
        <references count="1">
          <reference field="1" count="1">
            <x v="4"/>
          </reference>
        </references>
      </pivotArea>
    </format>
    <format dxfId="363">
      <pivotArea dataOnly="0" fieldPosition="0">
        <references count="1">
          <reference field="1" count="1">
            <x v="3"/>
          </reference>
        </references>
      </pivotArea>
    </format>
    <format dxfId="364">
      <pivotArea dataOnly="0" fieldPosition="0">
        <references count="1">
          <reference field="1" count="1">
            <x v="0"/>
          </reference>
        </references>
      </pivotArea>
    </format>
    <format dxfId="365">
      <pivotArea dataOnly="0" fieldPosition="0">
        <references count="1">
          <reference field="1" count="1">
            <x v="1"/>
          </reference>
        </references>
      </pivotArea>
    </format>
    <format dxfId="366">
      <pivotArea dataOnly="0" labelOnly="1" fieldPosition="0">
        <references count="1">
          <reference field="1" count="1">
            <x v="2"/>
          </reference>
        </references>
      </pivotArea>
    </format>
    <format dxfId="367">
      <pivotArea outline="0" collapsedLevelsAreSubtotals="1" fieldPosition="0">
        <references count="1">
          <reference field="15" count="1" selected="0">
            <x v="6"/>
          </reference>
        </references>
      </pivotArea>
    </format>
    <format dxfId="368">
      <pivotArea dataOnly="0" labelOnly="1" fieldPosition="0">
        <references count="1">
          <reference field="1" count="0"/>
        </references>
      </pivotArea>
    </format>
    <format dxfId="369">
      <pivotArea outline="0" collapsedLevelsAreSubtotals="1" fieldPosition="0">
        <references count="1">
          <reference field="15" count="1" selected="0">
            <x v="0"/>
          </reference>
        </references>
      </pivotArea>
    </format>
    <format dxfId="370">
      <pivotArea outline="0" collapsedLevelsAreSubtotals="1" fieldPosition="0">
        <references count="1">
          <reference field="15" count="2" selected="0">
            <x v="1"/>
            <x v="2"/>
          </reference>
        </references>
      </pivotArea>
    </format>
    <format dxfId="371">
      <pivotArea outline="0" collapsedLevelsAreSubtotals="1" fieldPosition="0">
        <references count="1">
          <reference field="15" count="1" selected="0">
            <x v="1"/>
          </reference>
        </references>
      </pivotArea>
    </format>
    <format dxfId="372">
      <pivotArea outline="0" collapsedLevelsAreSubtotals="1" fieldPosition="0">
        <references count="1">
          <reference field="15" count="1" selected="0">
            <x v="3"/>
          </reference>
        </references>
      </pivotArea>
    </format>
    <format dxfId="373">
      <pivotArea outline="0" collapsedLevelsAreSubtotals="1" fieldPosition="0">
        <references count="1">
          <reference field="15" count="1" selected="0">
            <x v="4"/>
          </reference>
        </references>
      </pivotArea>
    </format>
    <format dxfId="374">
      <pivotArea dataOnly="0" fieldPosition="0">
        <references count="1">
          <reference field="1" count="1">
            <x v="0"/>
          </reference>
        </references>
      </pivotArea>
    </format>
    <format dxfId="375">
      <pivotArea type="all" dataOnly="0" outline="0" fieldPosition="0"/>
    </format>
    <format dxfId="376">
      <pivotArea outline="0" collapsedLevelsAreSubtotals="1" fieldPosition="0"/>
    </format>
    <format dxfId="377">
      <pivotArea type="origin" dataOnly="0" labelOnly="1" outline="0" fieldPosition="0"/>
    </format>
    <format dxfId="378">
      <pivotArea field="15" type="button" dataOnly="0" labelOnly="1" outline="0" axis="axisCol" fieldPosition="0"/>
    </format>
    <format dxfId="379">
      <pivotArea type="topRight" dataOnly="0" labelOnly="1" outline="0" fieldPosition="0"/>
    </format>
    <format dxfId="380">
      <pivotArea field="1" type="button" dataOnly="0" labelOnly="1" outline="0" axis="axisRow" fieldPosition="0"/>
    </format>
    <format dxfId="381">
      <pivotArea dataOnly="0" labelOnly="1" fieldPosition="0">
        <references count="1">
          <reference field="1" count="0"/>
        </references>
      </pivotArea>
    </format>
    <format dxfId="382">
      <pivotArea dataOnly="0" labelOnly="1" fieldPosition="0">
        <references count="1">
          <reference field="15" count="0"/>
        </references>
      </pivotArea>
    </format>
    <format dxfId="383">
      <pivotArea type="all" dataOnly="0" outline="0" fieldPosition="0"/>
    </format>
    <format dxfId="384">
      <pivotArea outline="0" collapsedLevelsAreSubtotals="1" fieldPosition="0"/>
    </format>
    <format dxfId="385">
      <pivotArea type="origin" dataOnly="0" labelOnly="1" outline="0" fieldPosition="0"/>
    </format>
    <format dxfId="386">
      <pivotArea field="15" type="button" dataOnly="0" labelOnly="1" outline="0" axis="axisCol" fieldPosition="0"/>
    </format>
    <format dxfId="387">
      <pivotArea type="topRight" dataOnly="0" labelOnly="1" outline="0" fieldPosition="0"/>
    </format>
    <format dxfId="388">
      <pivotArea field="1" type="button" dataOnly="0" labelOnly="1" outline="0" axis="axisRow" fieldPosition="0"/>
    </format>
    <format dxfId="389">
      <pivotArea dataOnly="0" labelOnly="1" fieldPosition="0">
        <references count="1">
          <reference field="1" count="0"/>
        </references>
      </pivotArea>
    </format>
    <format dxfId="390">
      <pivotArea dataOnly="0" labelOnly="1" fieldPosition="0">
        <references count="1">
          <reference field="15" count="0"/>
        </references>
      </pivotArea>
    </format>
    <format dxfId="391">
      <pivotArea type="all" dataOnly="0" outline="0" fieldPosition="0"/>
    </format>
    <format dxfId="392">
      <pivotArea outline="0" collapsedLevelsAreSubtotals="1" fieldPosition="0"/>
    </format>
    <format dxfId="393">
      <pivotArea dataOnly="0" labelOnly="1" fieldPosition="0">
        <references count="1">
          <reference field="15" count="0"/>
        </references>
      </pivotArea>
    </format>
    <format dxfId="394">
      <pivotArea type="all" dataOnly="0" outline="0" fieldPosition="0"/>
    </format>
    <format dxfId="395">
      <pivotArea type="all" dataOnly="0" outline="0" fieldPosition="0"/>
    </format>
    <format dxfId="396">
      <pivotArea collapsedLevelsAreSubtotals="1" fieldPosition="0">
        <references count="2">
          <reference field="1" count="3">
            <x v="0"/>
            <x v="3"/>
            <x v="4"/>
          </reference>
          <reference field="15" count="2" selected="0">
            <x v="2"/>
            <x v="3"/>
          </reference>
        </references>
      </pivotArea>
    </format>
    <format dxfId="397">
      <pivotArea outline="0" collapsedLevelsAreSubtotals="1" fieldPosition="0">
        <references count="1">
          <reference field="15" count="3" selected="0">
            <x v="1"/>
            <x v="2"/>
            <x v="3"/>
          </reference>
        </references>
      </pivotArea>
    </format>
    <format dxfId="398">
      <pivotArea type="topRight" dataOnly="0" labelOnly="1" outline="0" fieldPosition="0"/>
    </format>
    <format dxfId="399">
      <pivotArea dataOnly="0" labelOnly="1" fieldPosition="0">
        <references count="1">
          <reference field="15" count="3">
            <x v="1"/>
            <x v="2"/>
            <x v="3"/>
          </reference>
        </references>
      </pivotArea>
    </format>
    <format dxfId="400">
      <pivotArea outline="0" collapsedLevelsAreSubtotals="1" fieldPosition="0">
        <references count="1">
          <reference field="15" count="3" selected="0">
            <x v="0"/>
            <x v="1"/>
            <x v="2"/>
          </reference>
        </references>
      </pivotArea>
    </format>
    <format dxfId="401">
      <pivotArea type="origin" dataOnly="0" labelOnly="1" outline="0" fieldPosition="0"/>
    </format>
    <format dxfId="402">
      <pivotArea field="15" type="button" dataOnly="0" labelOnly="1" outline="0" axis="axisCol" fieldPosition="0"/>
    </format>
    <format dxfId="403">
      <pivotArea outline="0" collapsedLevelsAreSubtotals="1" fieldPosition="0">
        <references count="1">
          <reference field="15" count="1" selected="0">
            <x v="0"/>
          </reference>
        </references>
      </pivotArea>
    </format>
    <format dxfId="404">
      <pivotArea type="origin" dataOnly="0" labelOnly="1" outline="0" fieldPosition="0"/>
    </format>
    <format dxfId="405">
      <pivotArea field="15" type="button" dataOnly="0" labelOnly="1" outline="0" axis="axisCol" fieldPosition="0"/>
    </format>
    <format dxfId="406">
      <pivotArea type="topRight" dataOnly="0" labelOnly="1" outline="0" offset="A1:B1" fieldPosition="0"/>
    </format>
    <format dxfId="407">
      <pivotArea field="1" type="button" dataOnly="0" labelOnly="1" outline="0" axis="axisRow" fieldPosition="0"/>
    </format>
    <format dxfId="408">
      <pivotArea field="1" type="button" dataOnly="0" labelOnly="1" outline="0" axis="axisRow" fieldPosition="0"/>
    </format>
    <format dxfId="409">
      <pivotArea dataOnly="0" labelOnly="1" fieldPosition="0">
        <references count="1">
          <reference field="1" count="0"/>
        </references>
      </pivotArea>
    </format>
    <format dxfId="410">
      <pivotArea dataOnly="0" labelOnly="1" fieldPosition="0">
        <references count="1">
          <reference field="15" count="3">
            <x v="0"/>
            <x v="1"/>
            <x v="2"/>
          </reference>
        </references>
      </pivotArea>
    </format>
    <format dxfId="411">
      <pivotArea type="all" dataOnly="0" outline="0" fieldPosition="0"/>
    </format>
    <format dxfId="412">
      <pivotArea type="origin" dataOnly="0" labelOnly="1" outline="0" fieldPosition="0"/>
    </format>
    <format dxfId="413">
      <pivotArea field="15" type="button" dataOnly="0" labelOnly="1" outline="0" axis="axisCol" fieldPosition="0"/>
    </format>
    <format dxfId="414">
      <pivotArea type="topRight" dataOnly="0" labelOnly="1" outline="0" fieldPosition="0"/>
    </format>
    <format dxfId="415">
      <pivotArea field="1" type="button" dataOnly="0" labelOnly="1" outline="0" axis="axisRow" fieldPosition="0"/>
    </format>
    <format dxfId="416">
      <pivotArea dataOnly="0" labelOnly="1" fieldPosition="0">
        <references count="1">
          <reference field="15" count="0"/>
        </references>
      </pivotArea>
    </format>
  </formats>
  <chartFormats count="5">
    <chartFormat chart="1" format="6" series="1">
      <pivotArea type="data" outline="0" fieldPosition="0">
        <references count="2">
          <reference field="4294967294" count="1" selected="0">
            <x v="0"/>
          </reference>
          <reference field="15" count="1" selected="0">
            <x v="0"/>
          </reference>
        </references>
      </pivotArea>
    </chartFormat>
    <chartFormat chart="1" format="7" series="1">
      <pivotArea type="data" outline="0" fieldPosition="0">
        <references count="2">
          <reference field="4294967294" count="1" selected="0">
            <x v="0"/>
          </reference>
          <reference field="15" count="1" selected="0">
            <x v="1"/>
          </reference>
        </references>
      </pivotArea>
    </chartFormat>
    <chartFormat chart="1" format="8" series="1">
      <pivotArea type="data" outline="0" fieldPosition="0">
        <references count="2">
          <reference field="4294967294" count="1" selected="0">
            <x v="0"/>
          </reference>
          <reference field="15" count="1" selected="0">
            <x v="2"/>
          </reference>
        </references>
      </pivotArea>
    </chartFormat>
    <chartFormat chart="1" format="9" series="1">
      <pivotArea type="data" outline="0" fieldPosition="0">
        <references count="2">
          <reference field="4294967294" count="1" selected="0">
            <x v="0"/>
          </reference>
          <reference field="15" count="1" selected="0">
            <x v="3"/>
          </reference>
        </references>
      </pivotArea>
    </chartFormat>
    <chartFormat chart="1" format="1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EFB869-659D-414F-9431-786F7806F1D5}"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1" rowHeaderCaption="Invoice Date" colHeaderCaption="Invoice Status">
  <location ref="V3:Y7" firstHeaderRow="1" firstDataRow="2" firstDataCol="1"/>
  <pivotFields count="20">
    <pivotField dataField="1" showAll="0"/>
    <pivotField showAll="0">
      <items count="6">
        <item x="2"/>
        <item x="0"/>
        <item x="1"/>
        <item x="3"/>
        <item x="4"/>
        <item t="default"/>
      </items>
    </pivotField>
    <pivotField axis="axisRow" numFmtId="166" showAll="0">
      <items count="15">
        <item x="0"/>
        <item x="1"/>
        <item x="2"/>
        <item x="3"/>
        <item x="4"/>
        <item x="5"/>
        <item x="6"/>
        <item x="7"/>
        <item x="8"/>
        <item x="9"/>
        <item x="10"/>
        <item x="11"/>
        <item x="12"/>
        <item x="13"/>
        <item t="default"/>
      </items>
    </pivotField>
    <pivotField showAll="0"/>
    <pivotField numFmtId="166" showAll="0"/>
    <pivotField showAll="0"/>
    <pivotField showAll="0"/>
    <pivotField axis="axisCol" showAll="0">
      <items count="4">
        <item x="0"/>
        <item x="2"/>
        <item x="1"/>
        <item t="default"/>
      </items>
    </pivotField>
    <pivotField numFmtId="2" showAll="0"/>
    <pivotField showAll="0"/>
    <pivotField showAll="0">
      <items count="15">
        <item x="0"/>
        <item x="1"/>
        <item x="2"/>
        <item x="3"/>
        <item x="4"/>
        <item x="5"/>
        <item x="6"/>
        <item x="7"/>
        <item x="8"/>
        <item x="9"/>
        <item x="10"/>
        <item x="11"/>
        <item x="12"/>
        <item x="13"/>
        <item t="default"/>
      </items>
    </pivotField>
    <pivotField showAll="0"/>
    <pivotField showAll="0"/>
    <pivotField numFmtId="166" showAll="0"/>
    <pivotField showAll="0"/>
    <pivotField showAll="0"/>
    <pivotField showAll="0"/>
    <pivotField axis="axisRow" showAll="0" defaultSubtotal="0">
      <items count="6">
        <item sd="0" x="0"/>
        <item x="1"/>
        <item sd="0" x="2"/>
        <item sd="0" x="3"/>
        <item sd="0" x="4"/>
        <item sd="0" x="5"/>
      </items>
    </pivotField>
    <pivotField axis="axisRow" showAll="0" defaultSubtotal="0">
      <items count="5">
        <item h="1" sd="0" x="0"/>
        <item sd="0" x="1"/>
        <item sd="0" x="2"/>
        <item sd="0" x="3"/>
        <item h="1" sd="0" x="4"/>
      </items>
    </pivotField>
    <pivotField showAll="0">
      <items count="6">
        <item x="0"/>
        <item x="1"/>
        <item x="2"/>
        <item x="3"/>
        <item x="4"/>
        <item t="default"/>
      </items>
    </pivotField>
  </pivotFields>
  <rowFields count="3">
    <field x="18"/>
    <field x="17"/>
    <field x="2"/>
  </rowFields>
  <rowItems count="3">
    <i>
      <x v="1"/>
    </i>
    <i>
      <x v="2"/>
    </i>
    <i>
      <x v="3"/>
    </i>
  </rowItems>
  <colFields count="1">
    <field x="7"/>
  </colFields>
  <colItems count="3">
    <i>
      <x/>
    </i>
    <i>
      <x v="1"/>
    </i>
    <i>
      <x v="2"/>
    </i>
  </colItems>
  <dataFields count="1">
    <dataField name="Invoice Count" fld="0" subtotal="count" baseField="0" baseItem="0"/>
  </dataFields>
  <formats count="19">
    <format dxfId="278">
      <pivotArea type="all" dataOnly="0" outline="0" fieldPosition="0"/>
    </format>
    <format dxfId="279">
      <pivotArea type="all" dataOnly="0" outline="0" fieldPosition="0"/>
    </format>
    <format dxfId="280">
      <pivotArea type="all" dataOnly="0" outline="0" fieldPosition="0"/>
    </format>
    <format dxfId="281">
      <pivotArea type="all" dataOnly="0" outline="0" fieldPosition="0"/>
    </format>
    <format dxfId="282">
      <pivotArea outline="0" collapsedLevelsAreSubtotals="1" fieldPosition="0"/>
    </format>
    <format dxfId="283">
      <pivotArea type="origin" dataOnly="0" labelOnly="1" outline="0" fieldPosition="0"/>
    </format>
    <format dxfId="284">
      <pivotArea field="7" type="button" dataOnly="0" labelOnly="1" outline="0" axis="axisCol" fieldPosition="0"/>
    </format>
    <format dxfId="285">
      <pivotArea type="topRight" dataOnly="0" labelOnly="1" outline="0" fieldPosition="0"/>
    </format>
    <format dxfId="286">
      <pivotArea field="18" type="button" dataOnly="0" labelOnly="1" outline="0" axis="axisRow" fieldPosition="0"/>
    </format>
    <format dxfId="287">
      <pivotArea dataOnly="0" labelOnly="1" fieldPosition="0">
        <references count="1">
          <reference field="18" count="3">
            <x v="1"/>
            <x v="2"/>
            <x v="3"/>
          </reference>
        </references>
      </pivotArea>
    </format>
    <format dxfId="288">
      <pivotArea dataOnly="0" labelOnly="1" fieldPosition="0">
        <references count="1">
          <reference field="7" count="0"/>
        </references>
      </pivotArea>
    </format>
    <format dxfId="289">
      <pivotArea type="all" dataOnly="0" outline="0" fieldPosition="0"/>
    </format>
    <format dxfId="290">
      <pivotArea outline="0" collapsedLevelsAreSubtotals="1" fieldPosition="0"/>
    </format>
    <format dxfId="291">
      <pivotArea dataOnly="0" labelOnly="1" fieldPosition="0">
        <references count="1">
          <reference field="18" count="3">
            <x v="1"/>
            <x v="2"/>
            <x v="3"/>
          </reference>
        </references>
      </pivotArea>
    </format>
    <format dxfId="292">
      <pivotArea type="origin" dataOnly="0" labelOnly="1" outline="0" fieldPosition="0"/>
    </format>
    <format dxfId="293">
      <pivotArea field="7" type="button" dataOnly="0" labelOnly="1" outline="0" axis="axisCol" fieldPosition="0"/>
    </format>
    <format dxfId="294">
      <pivotArea type="topRight" dataOnly="0" labelOnly="1" outline="0" fieldPosition="0"/>
    </format>
    <format dxfId="295">
      <pivotArea field="18" type="button" dataOnly="0" labelOnly="1" outline="0" axis="axisRow" fieldPosition="0"/>
    </format>
    <format dxfId="296">
      <pivotArea dataOnly="0" labelOnly="1" fieldPosition="0">
        <references count="1">
          <reference field="7" count="0"/>
        </references>
      </pivotArea>
    </format>
  </formats>
  <chartFormats count="7">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10" format="10" series="1">
      <pivotArea type="data" outline="0" fieldPosition="0">
        <references count="2">
          <reference field="4294967294" count="1" selected="0">
            <x v="0"/>
          </reference>
          <reference field="7" count="1" selected="0">
            <x v="0"/>
          </reference>
        </references>
      </pivotArea>
    </chartFormat>
    <chartFormat chart="10" format="11" series="1">
      <pivotArea type="data" outline="0" fieldPosition="0">
        <references count="2">
          <reference field="4294967294" count="1" selected="0">
            <x v="0"/>
          </reference>
          <reference field="7" count="1" selected="0">
            <x v="1"/>
          </reference>
        </references>
      </pivotArea>
    </chartFormat>
    <chartFormat chart="10" format="12" series="1">
      <pivotArea type="data" outline="0" fieldPosition="0">
        <references count="2">
          <reference field="4294967294" count="1" selected="0">
            <x v="0"/>
          </reference>
          <reference field="7" count="1" selected="0">
            <x v="2"/>
          </reference>
        </references>
      </pivotArea>
    </chartFormat>
    <chartFormat chart="10" format="13"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D5778D-83AC-4DBF-BAB7-9045207889B4}" name="PivotTable9" cacheId="0" applyNumberFormats="0" applyBorderFormats="0" applyFontFormats="0" applyPatternFormats="0" applyAlignmentFormats="0" applyWidthHeightFormats="1" dataCaption="Values" updatedVersion="7" minRefreshableVersion="3" preserveFormatting="0" rowGrandTotals="0" colGrandTotals="0" itemPrintTitles="1" createdVersion="7" indent="0" outline="1" outlineData="1" multipleFieldFilters="0" chartFormat="7" rowHeaderCaption="Vendor">
  <location ref="B3:E8" firstHeaderRow="0" firstDataRow="1" firstDataCol="1"/>
  <pivotFields count="2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numFmtId="166" showAll="0">
      <items count="15">
        <item x="0"/>
        <item x="1"/>
        <item x="2"/>
        <item x="3"/>
        <item x="4"/>
        <item x="5"/>
        <item x="6"/>
        <item x="7"/>
        <item x="8"/>
        <item x="9"/>
        <item x="10"/>
        <item x="11"/>
        <item x="12"/>
        <item x="13"/>
        <item t="default"/>
      </items>
    </pivotField>
    <pivotField showAll="0"/>
    <pivotField numFmtId="166" showAll="0"/>
    <pivotField showAll="0"/>
    <pivotField dataField="1" showAll="0"/>
    <pivotField multipleItemSelectionAllowed="1" showAll="0">
      <items count="4">
        <item x="0"/>
        <item x="2"/>
        <item x="1"/>
        <item t="default"/>
      </items>
    </pivotField>
    <pivotField dataField="1" numFmtId="2" showAll="0"/>
    <pivotField dataField="1" showAll="0"/>
    <pivotField showAll="0">
      <items count="15">
        <item x="0"/>
        <item x="1"/>
        <item x="2"/>
        <item x="3"/>
        <item x="4"/>
        <item x="5"/>
        <item x="6"/>
        <item x="7"/>
        <item x="8"/>
        <item x="9"/>
        <item x="10"/>
        <item x="11"/>
        <item x="12"/>
        <item x="13"/>
        <item t="default"/>
      </items>
    </pivotField>
    <pivotField showAll="0"/>
    <pivotField showAll="0"/>
    <pivotField numFmtId="166" showAll="0"/>
    <pivotField showAll="0"/>
    <pivotField showAll="0"/>
    <pivotField showAll="0"/>
    <pivotField showAll="0">
      <items count="7">
        <item x="0"/>
        <item x="1"/>
        <item x="2"/>
        <item x="3"/>
        <item x="4"/>
        <item x="5"/>
        <item t="default"/>
      </items>
    </pivotField>
    <pivotField showAll="0">
      <items count="6">
        <item h="1" x="0"/>
        <item x="1"/>
        <item x="2"/>
        <item x="3"/>
        <item h="1" x="4"/>
        <item t="default"/>
      </items>
    </pivotField>
    <pivotField showAll="0">
      <items count="6">
        <item x="0"/>
        <item x="1"/>
        <item x="2"/>
        <item x="3"/>
        <item x="4"/>
        <item t="default"/>
      </items>
    </pivotField>
  </pivotFields>
  <rowFields count="1">
    <field x="1"/>
  </rowFields>
  <rowItems count="5">
    <i>
      <x v="1"/>
    </i>
    <i>
      <x/>
    </i>
    <i>
      <x v="3"/>
    </i>
    <i>
      <x v="4"/>
    </i>
    <i>
      <x v="2"/>
    </i>
  </rowItems>
  <colFields count="1">
    <field x="-2"/>
  </colFields>
  <colItems count="3">
    <i>
      <x/>
    </i>
    <i i="1">
      <x v="1"/>
    </i>
    <i i="2">
      <x v="2"/>
    </i>
  </colItems>
  <dataFields count="3">
    <dataField name="Total Invoice Amount" fld="6" baseField="1" baseItem="1"/>
    <dataField name="Total Paid Amount" fld="8" baseField="1" baseItem="1"/>
    <dataField name="Total Outstanding Amount" fld="9" baseField="1" baseItem="1" numFmtId="2"/>
  </dataFields>
  <chartFormats count="9">
    <chartFormat chart="0" format="0" series="1">
      <pivotArea type="data" outline="0" fieldPosition="0">
        <references count="1">
          <reference field="4294967294" count="1" selected="0">
            <x v="2"/>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2"/>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7A9A02-5DA7-42EF-8F6C-B90C241A8C14}" name="PivotTable13" cacheId="0"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outline="1" outlineData="1" multipleFieldFilters="0" chartFormat="9" rowHeaderCaption="Currency">
  <location ref="AD3:AF8" firstHeaderRow="0" firstDataRow="1" firstDataCol="1"/>
  <pivotFields count="20">
    <pivotField showAll="0"/>
    <pivotField showAll="0">
      <items count="6">
        <item x="2"/>
        <item x="0"/>
        <item x="1"/>
        <item x="3"/>
        <item x="4"/>
        <item t="default"/>
      </items>
    </pivotField>
    <pivotField numFmtId="166" showAll="0"/>
    <pivotField showAll="0"/>
    <pivotField numFmtId="166" showAll="0"/>
    <pivotField axis="axisRow" showAll="0" sortType="ascending">
      <items count="6">
        <item x="4"/>
        <item x="1"/>
        <item x="0"/>
        <item x="2"/>
        <item x="3"/>
        <item t="default"/>
      </items>
      <autoSortScope>
        <pivotArea dataOnly="0" outline="0" fieldPosition="0">
          <references count="1">
            <reference field="4294967294" count="1" selected="0">
              <x v="1"/>
            </reference>
          </references>
        </pivotArea>
      </autoSortScope>
    </pivotField>
    <pivotField dataField="1" showAll="0"/>
    <pivotField showAll="0">
      <items count="4">
        <item x="0"/>
        <item x="2"/>
        <item x="1"/>
        <item t="default"/>
      </items>
    </pivotField>
    <pivotField numFmtId="2" showAll="0"/>
    <pivotField dataField="1" showAll="0">
      <items count="270">
        <item x="5"/>
        <item x="226"/>
        <item x="250"/>
        <item x="204"/>
        <item x="192"/>
        <item x="205"/>
        <item x="170"/>
        <item x="256"/>
        <item x="6"/>
        <item x="215"/>
        <item x="251"/>
        <item x="162"/>
        <item x="56"/>
        <item x="117"/>
        <item x="185"/>
        <item x="234"/>
        <item x="189"/>
        <item x="262"/>
        <item x="151"/>
        <item x="111"/>
        <item x="0"/>
        <item x="33"/>
        <item x="266"/>
        <item x="235"/>
        <item x="79"/>
        <item x="144"/>
        <item x="14"/>
        <item x="126"/>
        <item x="21"/>
        <item x="86"/>
        <item x="13"/>
        <item x="63"/>
        <item x="171"/>
        <item x="224"/>
        <item x="153"/>
        <item x="109"/>
        <item x="132"/>
        <item x="213"/>
        <item x="12"/>
        <item x="199"/>
        <item x="43"/>
        <item x="18"/>
        <item x="268"/>
        <item x="167"/>
        <item x="156"/>
        <item x="7"/>
        <item x="116"/>
        <item x="4"/>
        <item x="209"/>
        <item x="102"/>
        <item x="51"/>
        <item x="31"/>
        <item x="85"/>
        <item x="90"/>
        <item x="202"/>
        <item x="36"/>
        <item x="93"/>
        <item x="114"/>
        <item x="65"/>
        <item x="201"/>
        <item x="138"/>
        <item x="58"/>
        <item x="155"/>
        <item x="45"/>
        <item x="244"/>
        <item x="54"/>
        <item x="3"/>
        <item x="237"/>
        <item x="30"/>
        <item x="243"/>
        <item x="142"/>
        <item x="125"/>
        <item x="183"/>
        <item x="78"/>
        <item x="120"/>
        <item x="158"/>
        <item x="164"/>
        <item x="91"/>
        <item x="94"/>
        <item x="2"/>
        <item x="210"/>
        <item x="110"/>
        <item x="187"/>
        <item x="104"/>
        <item x="73"/>
        <item x="98"/>
        <item x="127"/>
        <item x="241"/>
        <item x="197"/>
        <item x="163"/>
        <item x="42"/>
        <item x="100"/>
        <item x="208"/>
        <item x="149"/>
        <item x="99"/>
        <item x="61"/>
        <item x="75"/>
        <item x="172"/>
        <item x="121"/>
        <item x="216"/>
        <item x="118"/>
        <item x="146"/>
        <item x="265"/>
        <item x="179"/>
        <item x="87"/>
        <item x="152"/>
        <item x="50"/>
        <item x="29"/>
        <item x="182"/>
        <item x="70"/>
        <item x="211"/>
        <item x="196"/>
        <item x="141"/>
        <item x="107"/>
        <item x="8"/>
        <item x="59"/>
        <item x="64"/>
        <item x="239"/>
        <item x="38"/>
        <item x="72"/>
        <item x="23"/>
        <item x="195"/>
        <item x="24"/>
        <item x="115"/>
        <item x="96"/>
        <item x="32"/>
        <item x="246"/>
        <item x="81"/>
        <item x="9"/>
        <item x="48"/>
        <item x="257"/>
        <item x="145"/>
        <item x="124"/>
        <item x="248"/>
        <item x="10"/>
        <item x="258"/>
        <item x="34"/>
        <item x="252"/>
        <item x="223"/>
        <item x="139"/>
        <item x="168"/>
        <item x="136"/>
        <item x="27"/>
        <item x="261"/>
        <item x="84"/>
        <item x="176"/>
        <item x="17"/>
        <item x="39"/>
        <item x="95"/>
        <item x="108"/>
        <item x="238"/>
        <item x="231"/>
        <item x="97"/>
        <item x="154"/>
        <item x="242"/>
        <item x="160"/>
        <item x="101"/>
        <item x="74"/>
        <item x="76"/>
        <item x="28"/>
        <item x="16"/>
        <item x="11"/>
        <item x="35"/>
        <item x="175"/>
        <item x="130"/>
        <item x="49"/>
        <item x="228"/>
        <item x="80"/>
        <item x="245"/>
        <item x="147"/>
        <item x="220"/>
        <item x="188"/>
        <item x="159"/>
        <item x="46"/>
        <item x="53"/>
        <item x="105"/>
        <item x="217"/>
        <item x="68"/>
        <item x="194"/>
        <item x="150"/>
        <item x="193"/>
        <item x="169"/>
        <item x="47"/>
        <item x="255"/>
        <item x="137"/>
        <item x="44"/>
        <item x="240"/>
        <item x="129"/>
        <item x="135"/>
        <item x="57"/>
        <item x="177"/>
        <item x="219"/>
        <item x="83"/>
        <item x="236"/>
        <item x="77"/>
        <item x="143"/>
        <item x="165"/>
        <item x="134"/>
        <item x="181"/>
        <item x="37"/>
        <item x="200"/>
        <item x="103"/>
        <item x="131"/>
        <item x="40"/>
        <item x="203"/>
        <item x="122"/>
        <item x="263"/>
        <item x="71"/>
        <item x="55"/>
        <item x="88"/>
        <item x="218"/>
        <item x="119"/>
        <item x="260"/>
        <item x="60"/>
        <item x="174"/>
        <item x="214"/>
        <item x="148"/>
        <item x="173"/>
        <item x="233"/>
        <item x="15"/>
        <item x="140"/>
        <item x="19"/>
        <item x="26"/>
        <item x="92"/>
        <item x="186"/>
        <item x="66"/>
        <item x="69"/>
        <item x="227"/>
        <item x="207"/>
        <item x="198"/>
        <item x="20"/>
        <item x="206"/>
        <item x="264"/>
        <item x="157"/>
        <item x="222"/>
        <item x="112"/>
        <item x="161"/>
        <item x="253"/>
        <item x="259"/>
        <item x="62"/>
        <item x="267"/>
        <item x="229"/>
        <item x="22"/>
        <item x="89"/>
        <item x="106"/>
        <item x="191"/>
        <item x="25"/>
        <item x="166"/>
        <item x="232"/>
        <item x="184"/>
        <item x="113"/>
        <item x="254"/>
        <item x="190"/>
        <item x="180"/>
        <item x="82"/>
        <item x="128"/>
        <item x="230"/>
        <item x="247"/>
        <item x="133"/>
        <item x="212"/>
        <item x="225"/>
        <item x="41"/>
        <item x="249"/>
        <item x="52"/>
        <item x="123"/>
        <item x="67"/>
        <item x="221"/>
        <item x="178"/>
        <item x="1"/>
        <item t="default"/>
      </items>
    </pivotField>
    <pivotField showAll="0"/>
    <pivotField showAll="0"/>
    <pivotField showAll="0"/>
    <pivotField numFmtId="166" showAll="0"/>
    <pivotField showAll="0"/>
    <pivotField showAll="0"/>
    <pivotField showAll="0"/>
    <pivotField showAll="0" defaultSubtotal="0"/>
    <pivotField showAll="0" defaultSubtotal="0">
      <items count="5">
        <item h="1" x="0"/>
        <item x="1"/>
        <item x="2"/>
        <item x="3"/>
        <item h="1" x="4"/>
      </items>
    </pivotField>
    <pivotField showAll="0" defaultSubtotal="0"/>
  </pivotFields>
  <rowFields count="1">
    <field x="5"/>
  </rowFields>
  <rowItems count="5">
    <i>
      <x v="1"/>
    </i>
    <i>
      <x/>
    </i>
    <i>
      <x v="2"/>
    </i>
    <i>
      <x v="4"/>
    </i>
    <i>
      <x v="3"/>
    </i>
  </rowItems>
  <colFields count="1">
    <field x="-2"/>
  </colFields>
  <colItems count="2">
    <i>
      <x/>
    </i>
    <i i="1">
      <x v="1"/>
    </i>
  </colItems>
  <dataFields count="2">
    <dataField name="Total Outstanding Amount (USD)" fld="9" baseField="5" baseItem="0"/>
    <dataField name="Total Invoice Amount (USD)" fld="6" baseField="5" baseItem="0"/>
  </dataFields>
  <formats count="49">
    <format dxfId="417">
      <pivotArea type="all" dataOnly="0" outline="0" fieldPosition="0"/>
    </format>
    <format dxfId="418">
      <pivotArea dataOnly="0" labelOnly="1" fieldPosition="0">
        <references count="1">
          <reference field="5" count="0"/>
        </references>
      </pivotArea>
    </format>
    <format dxfId="419">
      <pivotArea type="all" dataOnly="0" outline="0" fieldPosition="0"/>
    </format>
    <format dxfId="420">
      <pivotArea dataOnly="0" labelOnly="1" fieldPosition="0">
        <references count="1">
          <reference field="5" count="0"/>
        </references>
      </pivotArea>
    </format>
    <format dxfId="421">
      <pivotArea dataOnly="0" labelOnly="1" fieldPosition="0">
        <references count="1">
          <reference field="5" count="0"/>
        </references>
      </pivotArea>
    </format>
    <format dxfId="422">
      <pivotArea dataOnly="0" labelOnly="1" fieldPosition="0">
        <references count="1">
          <reference field="5" count="1">
            <x v="1"/>
          </reference>
        </references>
      </pivotArea>
    </format>
    <format dxfId="423">
      <pivotArea dataOnly="0" labelOnly="1" fieldPosition="0">
        <references count="1">
          <reference field="5" count="1">
            <x v="4"/>
          </reference>
        </references>
      </pivotArea>
    </format>
    <format dxfId="424">
      <pivotArea dataOnly="0" labelOnly="1" fieldPosition="0">
        <references count="1">
          <reference field="5" count="1">
            <x v="3"/>
          </reference>
        </references>
      </pivotArea>
    </format>
    <format dxfId="425">
      <pivotArea collapsedLevelsAreSubtotals="1" fieldPosition="0">
        <references count="1">
          <reference field="5" count="1">
            <x v="1"/>
          </reference>
        </references>
      </pivotArea>
    </format>
    <format dxfId="426">
      <pivotArea dataOnly="0" labelOnly="1" fieldPosition="0">
        <references count="1">
          <reference field="5" count="1">
            <x v="1"/>
          </reference>
        </references>
      </pivotArea>
    </format>
    <format dxfId="427">
      <pivotArea collapsedLevelsAreSubtotals="1" fieldPosition="0">
        <references count="1">
          <reference field="5" count="1">
            <x v="1"/>
          </reference>
        </references>
      </pivotArea>
    </format>
    <format dxfId="428">
      <pivotArea collapsedLevelsAreSubtotals="1" fieldPosition="0">
        <references count="1">
          <reference field="5" count="2">
            <x v="0"/>
            <x v="2"/>
          </reference>
        </references>
      </pivotArea>
    </format>
    <format dxfId="429">
      <pivotArea dataOnly="0" labelOnly="1" fieldPosition="0">
        <references count="1">
          <reference field="5" count="2">
            <x v="0"/>
            <x v="2"/>
          </reference>
        </references>
      </pivotArea>
    </format>
    <format dxfId="430">
      <pivotArea collapsedLevelsAreSubtotals="1" fieldPosition="0">
        <references count="1">
          <reference field="5" count="1">
            <x v="0"/>
          </reference>
        </references>
      </pivotArea>
    </format>
    <format dxfId="431">
      <pivotArea collapsedLevelsAreSubtotals="1" fieldPosition="0">
        <references count="1">
          <reference field="5" count="1">
            <x v="4"/>
          </reference>
        </references>
      </pivotArea>
    </format>
    <format dxfId="432">
      <pivotArea collapsedLevelsAreSubtotals="1" fieldPosition="0">
        <references count="1">
          <reference field="5" count="1">
            <x v="3"/>
          </reference>
        </references>
      </pivotArea>
    </format>
    <format dxfId="433">
      <pivotArea type="all" dataOnly="0" outline="0" fieldPosition="0"/>
    </format>
    <format dxfId="434">
      <pivotArea outline="0" collapsedLevelsAreSubtotals="1" fieldPosition="0"/>
    </format>
    <format dxfId="435">
      <pivotArea field="5" type="button" dataOnly="0" labelOnly="1" outline="0" axis="axisRow" fieldPosition="0"/>
    </format>
    <format dxfId="436">
      <pivotArea dataOnly="0" labelOnly="1" fieldPosition="0">
        <references count="1">
          <reference field="5" count="0"/>
        </references>
      </pivotArea>
    </format>
    <format dxfId="437">
      <pivotArea type="all" dataOnly="0" outline="0" fieldPosition="0"/>
    </format>
    <format dxfId="438">
      <pivotArea outline="0" collapsedLevelsAreSubtotals="1" fieldPosition="0"/>
    </format>
    <format dxfId="439">
      <pivotArea field="5" type="button" dataOnly="0" labelOnly="1" outline="0" axis="axisRow" fieldPosition="0"/>
    </format>
    <format dxfId="440">
      <pivotArea dataOnly="0" labelOnly="1" fieldPosition="0">
        <references count="1">
          <reference field="5" count="0"/>
        </references>
      </pivotArea>
    </format>
    <format dxfId="441">
      <pivotArea type="all" dataOnly="0" outline="0" fieldPosition="0"/>
    </format>
    <format dxfId="442">
      <pivotArea outline="0" collapsedLevelsAreSubtotals="1" fieldPosition="0"/>
    </format>
    <format dxfId="443">
      <pivotArea field="5" type="button" dataOnly="0" labelOnly="1" outline="0" axis="axisRow" fieldPosition="0"/>
    </format>
    <format dxfId="444">
      <pivotArea dataOnly="0" labelOnly="1" fieldPosition="0">
        <references count="1">
          <reference field="5" count="0"/>
        </references>
      </pivotArea>
    </format>
    <format dxfId="445">
      <pivotArea type="all" dataOnly="0" outline="0" fieldPosition="0"/>
    </format>
    <format dxfId="446">
      <pivotArea outline="0" collapsedLevelsAreSubtotals="1" fieldPosition="0"/>
    </format>
    <format dxfId="447">
      <pivotArea field="5" type="button" dataOnly="0" labelOnly="1" outline="0" axis="axisRow" fieldPosition="0"/>
    </format>
    <format dxfId="448">
      <pivotArea dataOnly="0" labelOnly="1" fieldPosition="0">
        <references count="1">
          <reference field="5" count="0"/>
        </references>
      </pivotArea>
    </format>
    <format dxfId="449">
      <pivotArea type="all" dataOnly="0" outline="0" fieldPosition="0"/>
    </format>
    <format dxfId="450">
      <pivotArea outline="0" collapsedLevelsAreSubtotals="1" fieldPosition="0"/>
    </format>
    <format dxfId="451">
      <pivotArea field="5" type="button" dataOnly="0" labelOnly="1" outline="0" axis="axisRow" fieldPosition="0"/>
    </format>
    <format dxfId="452">
      <pivotArea dataOnly="0" labelOnly="1" fieldPosition="0">
        <references count="1">
          <reference field="5" count="0"/>
        </references>
      </pivotArea>
    </format>
    <format dxfId="453">
      <pivotArea outline="0" collapsedLevelsAreSubtotals="1" fieldPosition="0"/>
    </format>
    <format dxfId="454">
      <pivotArea dataOnly="0" labelOnly="1" fieldPosition="0">
        <references count="1">
          <reference field="5" count="0"/>
        </references>
      </pivotArea>
    </format>
    <format dxfId="455">
      <pivotArea type="all" dataOnly="0" outline="0" fieldPosition="0"/>
    </format>
    <format dxfId="456">
      <pivotArea outline="0" collapsedLevelsAreSubtotals="1" fieldPosition="0"/>
    </format>
    <format dxfId="457">
      <pivotArea field="5" type="button" dataOnly="0" labelOnly="1" outline="0" axis="axisRow" fieldPosition="0"/>
    </format>
    <format dxfId="458">
      <pivotArea dataOnly="0" labelOnly="1" fieldPosition="0">
        <references count="1">
          <reference field="5" count="0"/>
        </references>
      </pivotArea>
    </format>
    <format dxfId="459">
      <pivotArea dataOnly="0" labelOnly="1" outline="0" fieldPosition="0">
        <references count="1">
          <reference field="4294967294" count="2">
            <x v="0"/>
            <x v="1"/>
          </reference>
        </references>
      </pivotArea>
    </format>
    <format dxfId="460">
      <pivotArea type="all" dataOnly="0" outline="0" fieldPosition="0"/>
    </format>
    <format dxfId="461">
      <pivotArea outline="0" collapsedLevelsAreSubtotals="1" fieldPosition="0"/>
    </format>
    <format dxfId="462">
      <pivotArea outline="0" collapsedLevelsAreSubtotals="1" fieldPosition="0">
        <references count="1">
          <reference field="4294967294" count="1" selected="0">
            <x v="0"/>
          </reference>
        </references>
      </pivotArea>
    </format>
    <format dxfId="463">
      <pivotArea dataOnly="0" labelOnly="1" fieldPosition="0">
        <references count="1">
          <reference field="5" count="0"/>
        </references>
      </pivotArea>
    </format>
    <format dxfId="464">
      <pivotArea field="5" type="button" dataOnly="0" labelOnly="1" outline="0" axis="axisRow" fieldPosition="0"/>
    </format>
    <format dxfId="465">
      <pivotArea dataOnly="0" labelOnly="1" outline="0" fieldPosition="0">
        <references count="1">
          <reference field="4294967294" count="2">
            <x v="0"/>
            <x v="1"/>
          </reference>
        </references>
      </pivotArea>
    </format>
  </formats>
  <chartFormats count="2">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6BB862-28FC-4CE6-83E5-84869B2866B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Vendor">
  <location ref="AA3:AB9" firstHeaderRow="1" firstDataRow="1" firstDataCol="1"/>
  <pivotFields count="20">
    <pivotField showAll="0"/>
    <pivotField axis="axisRow" showAll="0" sortType="ascending">
      <items count="6">
        <item x="2"/>
        <item x="0"/>
        <item x="1"/>
        <item x="3"/>
        <item x="4"/>
        <item t="default"/>
      </items>
      <autoSortScope>
        <pivotArea dataOnly="0" outline="0" fieldPosition="0">
          <references count="1">
            <reference field="4294967294" count="1" selected="0">
              <x v="0"/>
            </reference>
          </references>
        </pivotArea>
      </autoSortScope>
    </pivotField>
    <pivotField numFmtId="166" showAll="0"/>
    <pivotField showAll="0"/>
    <pivotField numFmtId="166" showAll="0"/>
    <pivotField showAll="0"/>
    <pivotField showAll="0"/>
    <pivotField showAll="0">
      <items count="4">
        <item x="0"/>
        <item x="2"/>
        <item x="1"/>
        <item t="default"/>
      </items>
    </pivotField>
    <pivotField numFmtId="2" showAll="0"/>
    <pivotField showAll="0"/>
    <pivotField showAll="0"/>
    <pivotField showAll="0"/>
    <pivotField showAll="0"/>
    <pivotField numFmtId="166" showAll="0"/>
    <pivotField dataField="1" showAll="0"/>
    <pivotField showAll="0"/>
    <pivotField showAll="0"/>
    <pivotField showAll="0" defaultSubtotal="0"/>
    <pivotField showAll="0" defaultSubtotal="0">
      <items count="5">
        <item h="1" x="0"/>
        <item x="1"/>
        <item x="2"/>
        <item x="3"/>
        <item h="1" x="4"/>
      </items>
    </pivotField>
    <pivotField showAll="0" defaultSubtotal="0"/>
  </pivotFields>
  <rowFields count="1">
    <field x="1"/>
  </rowFields>
  <rowItems count="6">
    <i>
      <x v="2"/>
    </i>
    <i>
      <x v="4"/>
    </i>
    <i>
      <x v="3"/>
    </i>
    <i>
      <x v="1"/>
    </i>
    <i>
      <x/>
    </i>
    <i t="grand">
      <x/>
    </i>
  </rowItems>
  <colItems count="1">
    <i/>
  </colItems>
  <dataFields count="1">
    <dataField name="Avg Overdue Days" fld="14" subtotal="average" baseField="1" baseItem="0"/>
  </dataFields>
  <formats count="58">
    <format dxfId="498">
      <pivotArea collapsedLevelsAreSubtotals="1" fieldPosition="0">
        <references count="1">
          <reference field="1" count="0"/>
        </references>
      </pivotArea>
    </format>
    <format dxfId="499">
      <pivotArea type="all" dataOnly="0" outline="0" fieldPosition="0"/>
    </format>
    <format dxfId="500">
      <pivotArea outline="0" collapsedLevelsAreSubtotals="1" fieldPosition="0"/>
    </format>
    <format dxfId="501">
      <pivotArea dataOnly="0" labelOnly="1" fieldPosition="0">
        <references count="1">
          <reference field="1" count="0"/>
        </references>
      </pivotArea>
    </format>
    <format dxfId="502">
      <pivotArea type="all" dataOnly="0" outline="0" fieldPosition="0"/>
    </format>
    <format dxfId="503">
      <pivotArea outline="0" collapsedLevelsAreSubtotals="1" fieldPosition="0"/>
    </format>
    <format dxfId="504">
      <pivotArea dataOnly="0" labelOnly="1" fieldPosition="0">
        <references count="1">
          <reference field="1" count="0"/>
        </references>
      </pivotArea>
    </format>
    <format dxfId="505">
      <pivotArea outline="0" collapsedLevelsAreSubtotals="1" fieldPosition="0"/>
    </format>
    <format dxfId="506">
      <pivotArea dataOnly="0" labelOnly="1" fieldPosition="0">
        <references count="1">
          <reference field="1" count="0"/>
        </references>
      </pivotArea>
    </format>
    <format dxfId="507">
      <pivotArea collapsedLevelsAreSubtotals="1" fieldPosition="0">
        <references count="1">
          <reference field="1" count="1">
            <x v="2"/>
          </reference>
        </references>
      </pivotArea>
    </format>
    <format dxfId="508">
      <pivotArea dataOnly="0" labelOnly="1" fieldPosition="0">
        <references count="1">
          <reference field="1" count="1">
            <x v="2"/>
          </reference>
        </references>
      </pivotArea>
    </format>
    <format dxfId="509">
      <pivotArea collapsedLevelsAreSubtotals="1" fieldPosition="0">
        <references count="1">
          <reference field="1" count="1">
            <x v="4"/>
          </reference>
        </references>
      </pivotArea>
    </format>
    <format dxfId="510">
      <pivotArea dataOnly="0" labelOnly="1" fieldPosition="0">
        <references count="1">
          <reference field="1" count="1">
            <x v="4"/>
          </reference>
        </references>
      </pivotArea>
    </format>
    <format dxfId="511">
      <pivotArea collapsedLevelsAreSubtotals="1" fieldPosition="0">
        <references count="1">
          <reference field="1" count="1">
            <x v="3"/>
          </reference>
        </references>
      </pivotArea>
    </format>
    <format dxfId="512">
      <pivotArea dataOnly="0" labelOnly="1" fieldPosition="0">
        <references count="1">
          <reference field="1" count="1">
            <x v="3"/>
          </reference>
        </references>
      </pivotArea>
    </format>
    <format dxfId="513">
      <pivotArea collapsedLevelsAreSubtotals="1" fieldPosition="0">
        <references count="1">
          <reference field="1" count="1">
            <x v="1"/>
          </reference>
        </references>
      </pivotArea>
    </format>
    <format dxfId="514">
      <pivotArea dataOnly="0" labelOnly="1" fieldPosition="0">
        <references count="1">
          <reference field="1" count="1">
            <x v="1"/>
          </reference>
        </references>
      </pivotArea>
    </format>
    <format dxfId="515">
      <pivotArea collapsedLevelsAreSubtotals="1" fieldPosition="0">
        <references count="1">
          <reference field="1" count="1">
            <x v="0"/>
          </reference>
        </references>
      </pivotArea>
    </format>
    <format dxfId="516">
      <pivotArea dataOnly="0" labelOnly="1" fieldPosition="0">
        <references count="1">
          <reference field="1" count="1">
            <x v="0"/>
          </reference>
        </references>
      </pivotArea>
    </format>
    <format dxfId="517">
      <pivotArea type="all" dataOnly="0" outline="0" fieldPosition="0"/>
    </format>
    <format dxfId="518">
      <pivotArea outline="0" collapsedLevelsAreSubtotals="1" fieldPosition="0"/>
    </format>
    <format dxfId="519">
      <pivotArea field="1" type="button" dataOnly="0" labelOnly="1" outline="0" axis="axisRow" fieldPosition="0"/>
    </format>
    <format dxfId="520">
      <pivotArea dataOnly="0" labelOnly="1" fieldPosition="0">
        <references count="1">
          <reference field="1" count="0"/>
        </references>
      </pivotArea>
    </format>
    <format dxfId="521">
      <pivotArea dataOnly="0" labelOnly="1" outline="0" axis="axisValues" fieldPosition="0"/>
    </format>
    <format dxfId="522">
      <pivotArea type="all" dataOnly="0" outline="0" fieldPosition="0"/>
    </format>
    <format dxfId="523">
      <pivotArea outline="0" collapsedLevelsAreSubtotals="1" fieldPosition="0"/>
    </format>
    <format dxfId="524">
      <pivotArea field="1" type="button" dataOnly="0" labelOnly="1" outline="0" axis="axisRow" fieldPosition="0"/>
    </format>
    <format dxfId="525">
      <pivotArea dataOnly="0" labelOnly="1" fieldPosition="0">
        <references count="1">
          <reference field="1" count="0"/>
        </references>
      </pivotArea>
    </format>
    <format dxfId="526">
      <pivotArea dataOnly="0" labelOnly="1" outline="0" axis="axisValues" fieldPosition="0"/>
    </format>
    <format dxfId="527">
      <pivotArea type="all" dataOnly="0" outline="0" fieldPosition="0"/>
    </format>
    <format dxfId="528">
      <pivotArea outline="0" collapsedLevelsAreSubtotals="1" fieldPosition="0"/>
    </format>
    <format dxfId="529">
      <pivotArea field="1" type="button" dataOnly="0" labelOnly="1" outline="0" axis="axisRow" fieldPosition="0"/>
    </format>
    <format dxfId="530">
      <pivotArea dataOnly="0" labelOnly="1" fieldPosition="0">
        <references count="1">
          <reference field="1" count="0"/>
        </references>
      </pivotArea>
    </format>
    <format dxfId="531">
      <pivotArea dataOnly="0" labelOnly="1" outline="0" axis="axisValues" fieldPosition="0"/>
    </format>
    <format dxfId="532">
      <pivotArea type="all" dataOnly="0" outline="0" fieldPosition="0"/>
    </format>
    <format dxfId="533">
      <pivotArea outline="0" collapsedLevelsAreSubtotals="1" fieldPosition="0"/>
    </format>
    <format dxfId="534">
      <pivotArea field="1" type="button" dataOnly="0" labelOnly="1" outline="0" axis="axisRow" fieldPosition="0"/>
    </format>
    <format dxfId="535">
      <pivotArea dataOnly="0" labelOnly="1" fieldPosition="0">
        <references count="1">
          <reference field="1" count="0"/>
        </references>
      </pivotArea>
    </format>
    <format dxfId="536">
      <pivotArea dataOnly="0" labelOnly="1" outline="0" axis="axisValues" fieldPosition="0"/>
    </format>
    <format dxfId="537">
      <pivotArea type="all" dataOnly="0" outline="0" fieldPosition="0"/>
    </format>
    <format dxfId="538">
      <pivotArea outline="0" collapsedLevelsAreSubtotals="1" fieldPosition="0"/>
    </format>
    <format dxfId="539">
      <pivotArea field="1" type="button" dataOnly="0" labelOnly="1" outline="0" axis="axisRow" fieldPosition="0"/>
    </format>
    <format dxfId="540">
      <pivotArea dataOnly="0" labelOnly="1" fieldPosition="0">
        <references count="1">
          <reference field="1" count="0"/>
        </references>
      </pivotArea>
    </format>
    <format dxfId="541">
      <pivotArea dataOnly="0" labelOnly="1" outline="0" axis="axisValues" fieldPosition="0"/>
    </format>
    <format dxfId="542">
      <pivotArea type="all" dataOnly="0" outline="0" fieldPosition="0"/>
    </format>
    <format dxfId="543">
      <pivotArea outline="0" collapsedLevelsAreSubtotals="1" fieldPosition="0"/>
    </format>
    <format dxfId="544">
      <pivotArea field="1" type="button" dataOnly="0" labelOnly="1" outline="0" axis="axisRow" fieldPosition="0"/>
    </format>
    <format dxfId="545">
      <pivotArea dataOnly="0" labelOnly="1" fieldPosition="0">
        <references count="1">
          <reference field="1" count="0"/>
        </references>
      </pivotArea>
    </format>
    <format dxfId="546">
      <pivotArea dataOnly="0" labelOnly="1" outline="0" axis="axisValues" fieldPosition="0"/>
    </format>
    <format dxfId="547">
      <pivotArea type="all" dataOnly="0" outline="0" fieldPosition="0"/>
    </format>
    <format dxfId="548">
      <pivotArea outline="0" collapsedLevelsAreSubtotals="1" fieldPosition="0"/>
    </format>
    <format dxfId="549">
      <pivotArea field="1" type="button" dataOnly="0" labelOnly="1" outline="0" axis="axisRow" fieldPosition="0"/>
    </format>
    <format dxfId="550">
      <pivotArea dataOnly="0" labelOnly="1" fieldPosition="0">
        <references count="1">
          <reference field="1" count="0"/>
        </references>
      </pivotArea>
    </format>
    <format dxfId="551">
      <pivotArea dataOnly="0" labelOnly="1" outline="0" axis="axisValues" fieldPosition="0"/>
    </format>
    <format dxfId="552">
      <pivotArea field="1" type="button" dataOnly="0" labelOnly="1" outline="0" axis="axisRow" fieldPosition="0"/>
    </format>
    <format dxfId="553">
      <pivotArea dataOnly="0" labelOnly="1" outline="0" axis="axisValues" fieldPosition="0"/>
    </format>
    <format dxfId="554">
      <pivotArea field="1" type="button" dataOnly="0" labelOnly="1" outline="0" axis="axisRow" fieldPosition="0"/>
    </format>
    <format dxfId="555">
      <pivotArea dataOnly="0" labelOnly="1" outline="0" axis="axisValues" fieldPosition="0"/>
    </format>
  </formats>
  <chartFormats count="6">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1" count="1" selected="0">
            <x v="2"/>
          </reference>
        </references>
      </pivotArea>
    </chartFormat>
    <chartFormat chart="4" format="20">
      <pivotArea type="data" outline="0" fieldPosition="0">
        <references count="2">
          <reference field="4294967294" count="1" selected="0">
            <x v="0"/>
          </reference>
          <reference field="1" count="1" selected="0">
            <x v="4"/>
          </reference>
        </references>
      </pivotArea>
    </chartFormat>
    <chartFormat chart="4" format="21">
      <pivotArea type="data" outline="0" fieldPosition="0">
        <references count="2">
          <reference field="4294967294" count="1" selected="0">
            <x v="0"/>
          </reference>
          <reference field="1" count="1" selected="0">
            <x v="3"/>
          </reference>
        </references>
      </pivotArea>
    </chartFormat>
    <chartFormat chart="4" format="22">
      <pivotArea type="data" outline="0" fieldPosition="0">
        <references count="2">
          <reference field="4294967294" count="1" selected="0">
            <x v="0"/>
          </reference>
          <reference field="1" count="1" selected="0">
            <x v="1"/>
          </reference>
        </references>
      </pivotArea>
    </chartFormat>
    <chartFormat chart="4" format="23">
      <pivotArea type="data" outline="0" fieldPosition="0">
        <references count="2">
          <reference field="4294967294" count="1" selected="0">
            <x v="0"/>
          </reference>
          <reference field="1"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66F05E-A365-4508-B92A-D0900DB0CEBD}" name="PivotTable12" cacheId="0"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outline="1" outlineData="1" multipleFieldFilters="0" chartFormat="20" rowHeaderCaption="Year">
  <location ref="M3:P6" firstHeaderRow="0" firstDataRow="1" firstDataCol="1"/>
  <pivotFields count="20">
    <pivotField showAll="0"/>
    <pivotField showAll="0">
      <items count="6">
        <item x="2"/>
        <item x="0"/>
        <item x="1"/>
        <item x="3"/>
        <item x="4"/>
        <item t="default"/>
      </items>
    </pivotField>
    <pivotField axis="axisRow" numFmtId="166" showAll="0">
      <items count="15">
        <item x="0"/>
        <item x="1"/>
        <item x="2"/>
        <item x="3"/>
        <item x="4"/>
        <item x="5"/>
        <item x="6"/>
        <item x="7"/>
        <item x="8"/>
        <item x="9"/>
        <item x="10"/>
        <item x="11"/>
        <item x="12"/>
        <item x="13"/>
        <item t="default"/>
      </items>
    </pivotField>
    <pivotField showAll="0"/>
    <pivotField numFmtId="166" showAll="0"/>
    <pivotField showAll="0"/>
    <pivotField dataField="1" showAll="0"/>
    <pivotField showAll="0">
      <items count="4">
        <item x="0"/>
        <item x="2"/>
        <item x="1"/>
        <item t="default"/>
      </items>
    </pivotField>
    <pivotField dataField="1" numFmtId="2" showAll="0"/>
    <pivotField dataField="1" showAll="0"/>
    <pivotField showAll="0">
      <items count="15">
        <item x="0"/>
        <item x="1"/>
        <item x="2"/>
        <item x="3"/>
        <item x="4"/>
        <item x="5"/>
        <item x="6"/>
        <item x="7"/>
        <item x="8"/>
        <item x="9"/>
        <item x="10"/>
        <item x="11"/>
        <item x="12"/>
        <item x="13"/>
        <item t="default"/>
      </items>
    </pivotField>
    <pivotField showAll="0"/>
    <pivotField showAll="0"/>
    <pivotField numFmtId="166" showAll="0"/>
    <pivotField showAll="0"/>
    <pivotField showAll="0"/>
    <pivotField showAll="0"/>
    <pivotField axis="axisRow" showAll="0">
      <items count="7">
        <item sd="0" x="0"/>
        <item sd="0" x="1"/>
        <item sd="0" x="2"/>
        <item sd="0" x="3"/>
        <item sd="0" x="4"/>
        <item sd="0" x="5"/>
        <item t="default"/>
      </items>
    </pivotField>
    <pivotField axis="axisRow" showAll="0">
      <items count="6">
        <item h="1" sd="0" x="0"/>
        <item sd="0" x="1"/>
        <item sd="0" x="2"/>
        <item sd="0" x="3"/>
        <item h="1" sd="0" x="4"/>
        <item t="default"/>
      </items>
    </pivotField>
    <pivotField showAll="0">
      <items count="6">
        <item x="0"/>
        <item h="1" x="1"/>
        <item h="1" x="2"/>
        <item h="1" x="3"/>
        <item h="1" x="4"/>
        <item t="default"/>
      </items>
    </pivotField>
  </pivotFields>
  <rowFields count="3">
    <field x="18"/>
    <field x="17"/>
    <field x="2"/>
  </rowFields>
  <rowItems count="3">
    <i>
      <x v="1"/>
    </i>
    <i>
      <x v="2"/>
    </i>
    <i>
      <x v="3"/>
    </i>
  </rowItems>
  <colFields count="1">
    <field x="-2"/>
  </colFields>
  <colItems count="3">
    <i>
      <x/>
    </i>
    <i i="1">
      <x v="1"/>
    </i>
    <i i="2">
      <x v="2"/>
    </i>
  </colItems>
  <dataFields count="3">
    <dataField name="Total Invoice Amount" fld="6" baseField="14" baseItem="1"/>
    <dataField name="Total Paid Amount " fld="8" baseField="14" baseItem="1"/>
    <dataField name="Total Outstanding Amount" fld="9" baseField="14" baseItem="1"/>
  </dataFields>
  <formats count="32">
    <format dxfId="466">
      <pivotArea collapsedLevelsAreSubtotals="1" fieldPosition="0">
        <references count="2">
          <reference field="4294967294" count="1" selected="0">
            <x v="0"/>
          </reference>
          <reference field="18" count="1">
            <x v="1"/>
          </reference>
        </references>
      </pivotArea>
    </format>
    <format dxfId="467">
      <pivotArea collapsedLevelsAreSubtotals="1" fieldPosition="0">
        <references count="2">
          <reference field="4294967294" count="1" selected="0">
            <x v="0"/>
          </reference>
          <reference field="18" count="1">
            <x v="2"/>
          </reference>
        </references>
      </pivotArea>
    </format>
    <format dxfId="468">
      <pivotArea collapsedLevelsAreSubtotals="1" fieldPosition="0">
        <references count="2">
          <reference field="4294967294" count="1" selected="0">
            <x v="0"/>
          </reference>
          <reference field="18" count="1">
            <x v="3"/>
          </reference>
        </references>
      </pivotArea>
    </format>
    <format dxfId="469">
      <pivotArea collapsedLevelsAreSubtotals="1" fieldPosition="0">
        <references count="1">
          <reference field="18" count="1">
            <x v="1"/>
          </reference>
        </references>
      </pivotArea>
    </format>
    <format dxfId="470">
      <pivotArea collapsedLevelsAreSubtotals="1" fieldPosition="0">
        <references count="1">
          <reference field="18" count="1">
            <x v="2"/>
          </reference>
        </references>
      </pivotArea>
    </format>
    <format dxfId="471">
      <pivotArea collapsedLevelsAreSubtotals="1" fieldPosition="0">
        <references count="1">
          <reference field="18" count="1">
            <x v="3"/>
          </reference>
        </references>
      </pivotArea>
    </format>
    <format dxfId="472">
      <pivotArea dataOnly="0" labelOnly="1" fieldPosition="0">
        <references count="1">
          <reference field="18" count="3">
            <x v="1"/>
            <x v="2"/>
            <x v="3"/>
          </reference>
        </references>
      </pivotArea>
    </format>
    <format dxfId="473">
      <pivotArea type="all" dataOnly="0" outline="0" fieldPosition="0"/>
    </format>
    <format dxfId="474">
      <pivotArea outline="0" collapsedLevelsAreSubtotals="1" fieldPosition="0"/>
    </format>
    <format dxfId="475">
      <pivotArea field="18" type="button" dataOnly="0" labelOnly="1" outline="0" axis="axisRow" fieldPosition="0"/>
    </format>
    <format dxfId="476">
      <pivotArea dataOnly="0" labelOnly="1" fieldPosition="0">
        <references count="1">
          <reference field="18" count="3">
            <x v="1"/>
            <x v="2"/>
            <x v="3"/>
          </reference>
        </references>
      </pivotArea>
    </format>
    <format dxfId="477">
      <pivotArea dataOnly="0" labelOnly="1" outline="0" fieldPosition="0">
        <references count="1">
          <reference field="4294967294" count="3">
            <x v="0"/>
            <x v="1"/>
            <x v="2"/>
          </reference>
        </references>
      </pivotArea>
    </format>
    <format dxfId="478">
      <pivotArea type="all" dataOnly="0" outline="0" fieldPosition="0"/>
    </format>
    <format dxfId="479">
      <pivotArea outline="0" collapsedLevelsAreSubtotals="1" fieldPosition="0"/>
    </format>
    <format dxfId="480">
      <pivotArea field="18" type="button" dataOnly="0" labelOnly="1" outline="0" axis="axisRow" fieldPosition="0"/>
    </format>
    <format dxfId="481">
      <pivotArea dataOnly="0" labelOnly="1" fieldPosition="0">
        <references count="1">
          <reference field="18" count="3">
            <x v="1"/>
            <x v="2"/>
            <x v="3"/>
          </reference>
        </references>
      </pivotArea>
    </format>
    <format dxfId="482">
      <pivotArea dataOnly="0" labelOnly="1" outline="0" fieldPosition="0">
        <references count="1">
          <reference field="4294967294" count="3">
            <x v="0"/>
            <x v="1"/>
            <x v="2"/>
          </reference>
        </references>
      </pivotArea>
    </format>
    <format dxfId="483">
      <pivotArea type="all" dataOnly="0" outline="0" fieldPosition="0"/>
    </format>
    <format dxfId="484">
      <pivotArea outline="0" collapsedLevelsAreSubtotals="1" fieldPosition="0"/>
    </format>
    <format dxfId="485">
      <pivotArea field="18" type="button" dataOnly="0" labelOnly="1" outline="0" axis="axisRow" fieldPosition="0"/>
    </format>
    <format dxfId="486">
      <pivotArea dataOnly="0" labelOnly="1" fieldPosition="0">
        <references count="1">
          <reference field="18" count="3">
            <x v="1"/>
            <x v="2"/>
            <x v="3"/>
          </reference>
        </references>
      </pivotArea>
    </format>
    <format dxfId="487">
      <pivotArea dataOnly="0" labelOnly="1" outline="0" fieldPosition="0">
        <references count="1">
          <reference field="4294967294" count="3">
            <x v="0"/>
            <x v="1"/>
            <x v="2"/>
          </reference>
        </references>
      </pivotArea>
    </format>
    <format dxfId="488">
      <pivotArea type="all" dataOnly="0" outline="0" fieldPosition="0"/>
    </format>
    <format dxfId="489">
      <pivotArea outline="0" collapsedLevelsAreSubtotals="1" fieldPosition="0"/>
    </format>
    <format dxfId="490">
      <pivotArea field="18" type="button" dataOnly="0" labelOnly="1" outline="0" axis="axisRow" fieldPosition="0"/>
    </format>
    <format dxfId="491">
      <pivotArea dataOnly="0" labelOnly="1" fieldPosition="0">
        <references count="1">
          <reference field="18" count="3">
            <x v="1"/>
            <x v="2"/>
            <x v="3"/>
          </reference>
        </references>
      </pivotArea>
    </format>
    <format dxfId="492">
      <pivotArea dataOnly="0" labelOnly="1" outline="0" fieldPosition="0">
        <references count="1">
          <reference field="4294967294" count="3">
            <x v="0"/>
            <x v="1"/>
            <x v="2"/>
          </reference>
        </references>
      </pivotArea>
    </format>
    <format dxfId="493">
      <pivotArea type="all" dataOnly="0" outline="0" fieldPosition="0"/>
    </format>
    <format dxfId="494">
      <pivotArea outline="0" collapsedLevelsAreSubtotals="1" fieldPosition="0"/>
    </format>
    <format dxfId="495">
      <pivotArea dataOnly="0" labelOnly="1" fieldPosition="0">
        <references count="1">
          <reference field="18" count="3">
            <x v="1"/>
            <x v="2"/>
            <x v="3"/>
          </reference>
        </references>
      </pivotArea>
    </format>
    <format dxfId="496">
      <pivotArea field="18" type="button" dataOnly="0" labelOnly="1" outline="0" axis="axisRow" fieldPosition="0"/>
    </format>
    <format dxfId="497">
      <pivotArea dataOnly="0" labelOnly="1" outline="0" fieldPosition="0">
        <references count="1">
          <reference field="4294967294" count="3">
            <x v="0"/>
            <x v="1"/>
            <x v="2"/>
          </reference>
        </references>
      </pivotArea>
    </format>
  </formats>
  <chartFormats count="21">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8" count="1" selected="0">
            <x v="1"/>
          </reference>
        </references>
      </pivotArea>
    </chartFormat>
    <chartFormat chart="17" format="14">
      <pivotArea type="data" outline="0" fieldPosition="0">
        <references count="2">
          <reference field="4294967294" count="1" selected="0">
            <x v="0"/>
          </reference>
          <reference field="18" count="1" selected="0">
            <x v="2"/>
          </reference>
        </references>
      </pivotArea>
    </chartFormat>
    <chartFormat chart="17" format="15">
      <pivotArea type="data" outline="0" fieldPosition="0">
        <references count="2">
          <reference field="4294967294" count="1" selected="0">
            <x v="0"/>
          </reference>
          <reference field="18" count="1" selected="0">
            <x v="3"/>
          </reference>
        </references>
      </pivotArea>
    </chartFormat>
    <chartFormat chart="17" format="16" series="1">
      <pivotArea type="data" outline="0" fieldPosition="0">
        <references count="1">
          <reference field="4294967294" count="1" selected="0">
            <x v="1"/>
          </reference>
        </references>
      </pivotArea>
    </chartFormat>
    <chartFormat chart="17" format="17">
      <pivotArea type="data" outline="0" fieldPosition="0">
        <references count="2">
          <reference field="4294967294" count="1" selected="0">
            <x v="1"/>
          </reference>
          <reference field="18" count="1" selected="0">
            <x v="1"/>
          </reference>
        </references>
      </pivotArea>
    </chartFormat>
    <chartFormat chart="17" format="18">
      <pivotArea type="data" outline="0" fieldPosition="0">
        <references count="2">
          <reference field="4294967294" count="1" selected="0">
            <x v="1"/>
          </reference>
          <reference field="18" count="1" selected="0">
            <x v="2"/>
          </reference>
        </references>
      </pivotArea>
    </chartFormat>
    <chartFormat chart="17" format="19">
      <pivotArea type="data" outline="0" fieldPosition="0">
        <references count="2">
          <reference field="4294967294" count="1" selected="0">
            <x v="1"/>
          </reference>
          <reference field="18" count="1" selected="0">
            <x v="3"/>
          </reference>
        </references>
      </pivotArea>
    </chartFormat>
    <chartFormat chart="17" format="20" series="1">
      <pivotArea type="data" outline="0" fieldPosition="0">
        <references count="1">
          <reference field="4294967294" count="1" selected="0">
            <x v="2"/>
          </reference>
        </references>
      </pivotArea>
    </chartFormat>
    <chartFormat chart="17" format="21">
      <pivotArea type="data" outline="0" fieldPosition="0">
        <references count="2">
          <reference field="4294967294" count="1" selected="0">
            <x v="2"/>
          </reference>
          <reference field="18" count="1" selected="0">
            <x v="1"/>
          </reference>
        </references>
      </pivotArea>
    </chartFormat>
    <chartFormat chart="17" format="22">
      <pivotArea type="data" outline="0" fieldPosition="0">
        <references count="2">
          <reference field="4294967294" count="1" selected="0">
            <x v="2"/>
          </reference>
          <reference field="18" count="1" selected="0">
            <x v="2"/>
          </reference>
        </references>
      </pivotArea>
    </chartFormat>
    <chartFormat chart="17" format="23">
      <pivotArea type="data" outline="0" fieldPosition="0">
        <references count="2">
          <reference field="4294967294" count="1" selected="0">
            <x v="2"/>
          </reference>
          <reference field="18"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A17989-47A3-4AA3-9C21-6F7EC8C09519}"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rowHeaderCaption="Invoice Month">
  <location ref="R3:T33" firstHeaderRow="0" firstDataRow="1" firstDataCol="1"/>
  <pivotFields count="20">
    <pivotField showAll="0"/>
    <pivotField showAll="0">
      <items count="6">
        <item x="2"/>
        <item x="0"/>
        <item x="1"/>
        <item x="3"/>
        <item x="4"/>
        <item t="default"/>
      </items>
    </pivotField>
    <pivotField numFmtId="166" showAll="0"/>
    <pivotField axis="axisRow" showAll="0">
      <items count="31">
        <item x="21"/>
        <item x="23"/>
        <item x="16"/>
        <item x="20"/>
        <item x="9"/>
        <item x="11"/>
        <item x="14"/>
        <item x="25"/>
        <item x="15"/>
        <item x="17"/>
        <item x="10"/>
        <item x="12"/>
        <item x="3"/>
        <item x="2"/>
        <item x="7"/>
        <item x="26"/>
        <item x="1"/>
        <item x="6"/>
        <item x="4"/>
        <item x="29"/>
        <item x="5"/>
        <item x="8"/>
        <item x="18"/>
        <item x="0"/>
        <item x="19"/>
        <item x="27"/>
        <item x="13"/>
        <item x="28"/>
        <item x="22"/>
        <item x="24"/>
        <item t="default"/>
      </items>
    </pivotField>
    <pivotField numFmtId="166" showAll="0"/>
    <pivotField showAll="0"/>
    <pivotField dataField="1" showAll="0"/>
    <pivotField showAll="0">
      <items count="4">
        <item x="0"/>
        <item x="2"/>
        <item x="1"/>
        <item t="default"/>
      </items>
    </pivotField>
    <pivotField dataField="1" numFmtId="2" showAll="0"/>
    <pivotField showAll="0"/>
    <pivotField showAll="0"/>
    <pivotField showAll="0"/>
    <pivotField showAll="0"/>
    <pivotField numFmtId="166" showAll="0"/>
    <pivotField showAll="0"/>
    <pivotField showAll="0"/>
    <pivotField showAll="0"/>
    <pivotField showAll="0" defaultSubtotal="0"/>
    <pivotField showAll="0" defaultSubtotal="0">
      <items count="5">
        <item h="1" x="0"/>
        <item x="1"/>
        <item x="2"/>
        <item x="3"/>
        <item h="1" x="4"/>
      </items>
    </pivotField>
    <pivotField showAll="0" defaultSubtotal="0"/>
  </pivotFields>
  <rowFields count="1">
    <field x="3"/>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Fields count="1">
    <field x="-2"/>
  </colFields>
  <colItems count="2">
    <i>
      <x/>
    </i>
    <i i="1">
      <x v="1"/>
    </i>
  </colItems>
  <dataFields count="2">
    <dataField name="Total Invoice Amount" fld="6" baseField="3" baseItem="0"/>
    <dataField name="Total Paid Amount" fld="8" baseField="3" baseItem="0"/>
  </dataFields>
  <formats count="21">
    <format dxfId="297">
      <pivotArea type="all" dataOnly="0" outline="0" fieldPosition="0"/>
    </format>
    <format dxfId="298">
      <pivotArea outline="0" collapsedLevelsAreSubtotals="1" fieldPosition="0"/>
    </format>
    <format dxfId="299">
      <pivotArea field="3" type="button" dataOnly="0" labelOnly="1" outline="0" axis="axisRow" fieldPosition="0"/>
    </format>
    <format dxfId="300">
      <pivotArea dataOnly="0" labelOnly="1" fieldPosition="0">
        <references count="1">
          <reference field="3" count="0"/>
        </references>
      </pivotArea>
    </format>
    <format dxfId="301">
      <pivotArea dataOnly="0" labelOnly="1" grandRow="1" outline="0" fieldPosition="0"/>
    </format>
    <format dxfId="302">
      <pivotArea dataOnly="0" labelOnly="1" outline="0" fieldPosition="0">
        <references count="1">
          <reference field="4294967294" count="2">
            <x v="0"/>
            <x v="1"/>
          </reference>
        </references>
      </pivotArea>
    </format>
    <format dxfId="303">
      <pivotArea type="all" dataOnly="0" outline="0" fieldPosition="0"/>
    </format>
    <format dxfId="304">
      <pivotArea outline="0" collapsedLevelsAreSubtotals="1" fieldPosition="0"/>
    </format>
    <format dxfId="305">
      <pivotArea field="3" type="button" dataOnly="0" labelOnly="1" outline="0" axis="axisRow" fieldPosition="0"/>
    </format>
    <format dxfId="306">
      <pivotArea dataOnly="0" labelOnly="1" fieldPosition="0">
        <references count="1">
          <reference field="3" count="0"/>
        </references>
      </pivotArea>
    </format>
    <format dxfId="307">
      <pivotArea dataOnly="0" labelOnly="1" grandRow="1" outline="0" fieldPosition="0"/>
    </format>
    <format dxfId="308">
      <pivotArea dataOnly="0" labelOnly="1" outline="0" fieldPosition="0">
        <references count="1">
          <reference field="4294967294" count="2">
            <x v="0"/>
            <x v="1"/>
          </reference>
        </references>
      </pivotArea>
    </format>
    <format dxfId="309">
      <pivotArea type="all" dataOnly="0" outline="0" fieldPosition="0"/>
    </format>
    <format dxfId="310">
      <pivotArea outline="0" collapsedLevelsAreSubtotals="1" fieldPosition="0"/>
    </format>
    <format dxfId="311">
      <pivotArea field="3" type="button" dataOnly="0" labelOnly="1" outline="0" axis="axisRow" fieldPosition="0"/>
    </format>
    <format dxfId="312">
      <pivotArea dataOnly="0" labelOnly="1" fieldPosition="0">
        <references count="1">
          <reference field="3" count="0"/>
        </references>
      </pivotArea>
    </format>
    <format dxfId="313">
      <pivotArea dataOnly="0" labelOnly="1" outline="0" fieldPosition="0">
        <references count="1">
          <reference field="4294967294" count="2">
            <x v="0"/>
            <x v="1"/>
          </reference>
        </references>
      </pivotArea>
    </format>
    <format dxfId="314">
      <pivotArea collapsedLevelsAreSubtotals="1" fieldPosition="0">
        <references count="1">
          <reference field="3" count="4">
            <x v="0"/>
            <x v="1"/>
            <x v="2"/>
            <x v="3"/>
          </reference>
        </references>
      </pivotArea>
    </format>
    <format dxfId="315">
      <pivotArea dataOnly="0" labelOnly="1" fieldPosition="0">
        <references count="1">
          <reference field="3" count="4">
            <x v="0"/>
            <x v="1"/>
            <x v="2"/>
            <x v="3"/>
          </reference>
        </references>
      </pivotArea>
    </format>
    <format dxfId="316">
      <pivotArea field="3" type="button" dataOnly="0" labelOnly="1" outline="0" axis="axisRow" fieldPosition="0"/>
    </format>
    <format dxfId="317">
      <pivotArea dataOnly="0" labelOnly="1" outline="0" fieldPosition="0">
        <references count="1">
          <reference field="4294967294" count="2">
            <x v="0"/>
            <x v="1"/>
          </reference>
        </references>
      </pivotArea>
    </format>
  </formats>
  <chartFormats count="2">
    <chartFormat chart="2" format="11"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97DDBFC-5665-4587-AD3C-5BE2B4EA7C23}" sourceName="Status">
  <pivotTables>
    <pivotTable tabId="7" name="PivotTable9"/>
    <pivotTable tabId="7" name="PivotTable10"/>
    <pivotTable tabId="7" name="PivotTable12"/>
    <pivotTable tabId="7" name="PivotTable13"/>
    <pivotTable tabId="7" name="PivotTable3"/>
    <pivotTable tabId="7" name="PivotTable4"/>
    <pivotTable tabId="7" name="PivotTable6"/>
  </pivotTables>
  <data>
    <tabular pivotCacheId="2081956043">
      <items count="3">
        <i x="0" s="1"/>
        <i x="2"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E45243FB-8202-41DE-B9F5-5DB1DBAFB093}" sourceName="Years">
  <pivotTables>
    <pivotTable tabId="7" name="PivotTable12"/>
    <pivotTable tabId="7" name="PivotTable10"/>
    <pivotTable tabId="7" name="PivotTable13"/>
    <pivotTable tabId="7" name="PivotTable3"/>
    <pivotTable tabId="7" name="PivotTable4"/>
    <pivotTable tabId="7" name="PivotTable6"/>
    <pivotTable tabId="7" name="PivotTable9"/>
  </pivotTables>
  <data>
    <tabular pivotCacheId="2081956043">
      <items count="5">
        <i x="1" s="1"/>
        <i x="2" s="1"/>
        <i x="3" s="1"/>
        <i x="0" nd="1"/>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77C35E38-8573-4C47-983A-CA8FCF432E08}" sourceName="Vendor">
  <pivotTables>
    <pivotTable tabId="7" name="PivotTable9"/>
    <pivotTable tabId="7" name="PivotTable10"/>
    <pivotTable tabId="7" name="PivotTable12"/>
    <pivotTable tabId="7" name="PivotTable13"/>
    <pivotTable tabId="7" name="PivotTable3"/>
    <pivotTable tabId="7" name="PivotTable4"/>
    <pivotTable tabId="7" name="PivotTable6"/>
  </pivotTables>
  <data>
    <tabular pivotCacheId="2081956043">
      <items count="5">
        <i x="2" s="1"/>
        <i x="0" s="1"/>
        <i x="1" s="1"/>
        <i x="3" s="1"/>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98C884A8-BB58-4714-BBBD-9899EEF815AC}" cache="Slicer_Status" caption="Status" columnCount="3" style="Slicer Style 1" rowHeight="219456"/>
  <slicer name="Years" xr10:uid="{1559F9DD-4A19-4AA5-A3AC-1B4DA3E0D1A0}" cache="Slicer_Years" caption="Year" columnCount="3" style="Slicer Style 1" rowHeight="219456"/>
  <slicer name="Vendor" xr10:uid="{6B8CCCB5-10D7-479A-82EB-9A245BCAD858}" cache="Slicer_Vendor" caption="Vendor" columnCount="5" style="Slicer Style 1" rowHeight="21945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077C1CDC-8DF6-41B3-809A-BCF07BAFE8F7}" cache="Slicer_Status" caption="Status" columnCount="3" style="Slicer Style 1" rowHeight="219456"/>
  <slicer name="Years 1" xr10:uid="{258FA8C1-82D8-4433-BDAC-5983AA2DB18B}" cache="Slicer_Years" caption="Year" columnCount="3" style="Slicer Style 1" rowHeight="219456"/>
  <slicer name="Vendor 1" xr10:uid="{BABE7F24-19A7-4266-B7F2-59216120344F}" cache="Slicer_Vendor" caption="Vendor" columnCount="5" style="Slicer Style 1" rowHeight="21945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43BAB-E9A5-4279-B9F5-AD4CF7BC05C9}">
  <sheetPr>
    <tabColor rgb="FF31498F"/>
    <pageSetUpPr autoPageBreaks="0"/>
  </sheetPr>
  <dimension ref="A1:V43"/>
  <sheetViews>
    <sheetView showGridLines="0" showRowColHeaders="0" tabSelected="1" zoomScale="70" zoomScaleNormal="70" workbookViewId="0">
      <selection activeCell="W12" sqref="W12"/>
    </sheetView>
  </sheetViews>
  <sheetFormatPr defaultRowHeight="14.5" x14ac:dyDescent="0.35"/>
  <cols>
    <col min="1" max="1" width="0.90625" customWidth="1"/>
    <col min="21" max="21" width="23.08984375" hidden="1" customWidth="1"/>
    <col min="22" max="22" width="19.7265625" hidden="1" customWidth="1"/>
    <col min="23" max="23" width="19.7265625" customWidth="1"/>
  </cols>
  <sheetData>
    <row r="1" spans="1:22" ht="15" customHeight="1" x14ac:dyDescent="0.35">
      <c r="A1" s="58" t="s">
        <v>896</v>
      </c>
      <c r="B1" s="59"/>
      <c r="C1" s="59"/>
      <c r="D1" s="59"/>
      <c r="E1" s="59"/>
      <c r="F1" s="59"/>
      <c r="G1" s="59"/>
      <c r="H1" s="59"/>
      <c r="I1" s="59"/>
      <c r="J1" s="59"/>
      <c r="K1" s="59"/>
      <c r="L1" s="59"/>
      <c r="M1" s="59"/>
      <c r="N1" s="59"/>
      <c r="O1" s="59"/>
      <c r="P1" s="59"/>
      <c r="Q1" s="59"/>
      <c r="R1" s="59"/>
      <c r="S1" s="49"/>
      <c r="T1" s="56"/>
      <c r="U1" s="22" t="s">
        <v>892</v>
      </c>
      <c r="V1" t="s">
        <v>893</v>
      </c>
    </row>
    <row r="2" spans="1:22" ht="15" customHeight="1" x14ac:dyDescent="0.35">
      <c r="A2" s="60"/>
      <c r="B2" s="59"/>
      <c r="C2" s="59"/>
      <c r="D2" s="59"/>
      <c r="E2" s="59"/>
      <c r="F2" s="59"/>
      <c r="G2" s="59"/>
      <c r="H2" s="59"/>
      <c r="I2" s="59"/>
      <c r="J2" s="59"/>
      <c r="K2" s="59"/>
      <c r="L2" s="59"/>
      <c r="M2" s="59"/>
      <c r="N2" s="59"/>
      <c r="O2" s="59"/>
      <c r="P2" s="59"/>
      <c r="Q2" s="59"/>
      <c r="R2" s="59"/>
      <c r="S2" s="49"/>
      <c r="T2" s="56"/>
      <c r="U2" s="22" t="s">
        <v>894</v>
      </c>
      <c r="V2" s="51">
        <f>SUM(Analysis!G1:G801)</f>
        <v>2065390.5300000005</v>
      </c>
    </row>
    <row r="3" spans="1:22" ht="15" customHeight="1" x14ac:dyDescent="0.35">
      <c r="A3" s="60"/>
      <c r="B3" s="59"/>
      <c r="C3" s="59"/>
      <c r="D3" s="59"/>
      <c r="E3" s="59"/>
      <c r="F3" s="59"/>
      <c r="G3" s="59"/>
      <c r="H3" s="59"/>
      <c r="I3" s="59"/>
      <c r="J3" s="59"/>
      <c r="K3" s="59"/>
      <c r="L3" s="59"/>
      <c r="M3" s="59"/>
      <c r="N3" s="59"/>
      <c r="O3" s="59"/>
      <c r="P3" s="59"/>
      <c r="Q3" s="59"/>
      <c r="R3" s="59"/>
      <c r="S3" s="49"/>
      <c r="T3" s="56"/>
      <c r="U3" s="24" t="s">
        <v>844</v>
      </c>
      <c r="V3" s="50">
        <f>SUM(Analysis!J2:J801)</f>
        <v>669639.13999999978</v>
      </c>
    </row>
    <row r="4" spans="1:22" ht="15" customHeight="1" thickBot="1" x14ac:dyDescent="0.4">
      <c r="A4" s="61"/>
      <c r="B4" s="62"/>
      <c r="C4" s="62"/>
      <c r="D4" s="62"/>
      <c r="E4" s="62"/>
      <c r="F4" s="62"/>
      <c r="G4" s="62"/>
      <c r="H4" s="62"/>
      <c r="I4" s="62"/>
      <c r="J4" s="62"/>
      <c r="K4" s="62"/>
      <c r="L4" s="62"/>
      <c r="M4" s="62"/>
      <c r="N4" s="62"/>
      <c r="O4" s="62"/>
      <c r="P4" s="62"/>
      <c r="Q4" s="62"/>
      <c r="R4" s="62"/>
      <c r="S4" s="49"/>
      <c r="T4" s="56"/>
      <c r="U4" s="24"/>
      <c r="V4" s="25"/>
    </row>
    <row r="5" spans="1:22" ht="15" customHeight="1" thickTop="1" x14ac:dyDescent="0.35">
      <c r="A5" s="42"/>
      <c r="B5" s="42"/>
      <c r="C5" s="42"/>
      <c r="D5" s="42"/>
      <c r="E5" s="42"/>
      <c r="F5" s="42"/>
      <c r="G5" s="42"/>
      <c r="H5" s="42"/>
      <c r="I5" s="42"/>
      <c r="J5" s="42"/>
      <c r="K5" s="42"/>
      <c r="L5" s="42"/>
      <c r="M5" s="42"/>
      <c r="N5" s="42"/>
      <c r="O5" s="42"/>
      <c r="P5" s="42"/>
      <c r="Q5" s="42"/>
      <c r="R5" s="42"/>
      <c r="S5" s="49"/>
      <c r="T5" s="56"/>
      <c r="U5" s="24"/>
      <c r="V5" s="25"/>
    </row>
    <row r="6" spans="1:22" ht="15" customHeight="1" x14ac:dyDescent="0.35">
      <c r="A6" s="42"/>
      <c r="B6" s="42"/>
      <c r="C6" s="42"/>
      <c r="D6" s="42"/>
      <c r="E6" s="42"/>
      <c r="F6" s="42"/>
      <c r="G6" s="42"/>
      <c r="H6" s="42"/>
      <c r="I6" s="42"/>
      <c r="J6" s="42"/>
      <c r="K6" s="42"/>
      <c r="L6" s="42"/>
      <c r="M6" s="42"/>
      <c r="N6" s="42"/>
      <c r="O6" s="42"/>
      <c r="P6" s="42"/>
      <c r="Q6" s="42"/>
      <c r="R6" s="42"/>
      <c r="S6" s="49"/>
      <c r="T6" s="56"/>
      <c r="U6" s="24"/>
      <c r="V6" s="25"/>
    </row>
    <row r="7" spans="1:22" ht="15" customHeight="1" x14ac:dyDescent="0.35">
      <c r="A7" s="42"/>
      <c r="B7" s="42"/>
      <c r="C7" s="42"/>
      <c r="D7" s="42"/>
      <c r="E7" s="42"/>
      <c r="F7" s="42"/>
      <c r="G7" s="42"/>
      <c r="H7" s="42"/>
      <c r="I7" s="42"/>
      <c r="J7" s="42"/>
      <c r="K7" s="42"/>
      <c r="L7" s="42"/>
      <c r="M7" s="42"/>
      <c r="N7" s="42"/>
      <c r="O7" s="42"/>
      <c r="P7" s="42"/>
      <c r="Q7" s="42"/>
      <c r="R7" s="42"/>
      <c r="S7" s="49"/>
      <c r="T7" s="56"/>
      <c r="U7" s="24"/>
      <c r="V7" s="25"/>
    </row>
    <row r="8" spans="1:22" ht="15" customHeight="1" x14ac:dyDescent="0.35">
      <c r="A8" s="42"/>
      <c r="B8" s="42"/>
      <c r="C8" s="42"/>
      <c r="D8" s="42"/>
      <c r="E8" s="42"/>
      <c r="F8" s="42"/>
      <c r="G8" s="42"/>
      <c r="H8" s="42"/>
      <c r="I8" s="42"/>
      <c r="J8" s="42"/>
      <c r="K8" s="42"/>
      <c r="L8" s="42"/>
      <c r="M8" s="42"/>
      <c r="N8" s="42"/>
      <c r="O8" s="42"/>
      <c r="P8" s="42"/>
      <c r="Q8" s="42"/>
      <c r="R8" s="42"/>
      <c r="S8" s="49"/>
      <c r="T8" s="56"/>
      <c r="U8" s="55" t="s">
        <v>895</v>
      </c>
      <c r="V8" s="48">
        <f>V3/V2</f>
        <v>0.32421913932180157</v>
      </c>
    </row>
    <row r="9" spans="1:22" ht="15" customHeight="1" x14ac:dyDescent="0.35">
      <c r="A9" s="42"/>
      <c r="B9" s="42"/>
      <c r="C9" s="42"/>
      <c r="D9" s="42"/>
      <c r="E9" s="42"/>
      <c r="F9" s="42"/>
      <c r="G9" s="42"/>
      <c r="H9" s="42"/>
      <c r="I9" s="42"/>
      <c r="J9" s="42"/>
      <c r="K9" s="42"/>
      <c r="L9" s="42"/>
      <c r="M9" s="42"/>
      <c r="N9" s="42"/>
      <c r="O9" s="42"/>
      <c r="P9" s="42"/>
      <c r="Q9" s="42"/>
      <c r="R9" s="42"/>
      <c r="S9" s="49"/>
      <c r="T9" s="56"/>
      <c r="U9" s="22" t="s">
        <v>897</v>
      </c>
      <c r="V9">
        <f>IFERROR(AVERAGEIFS(Analysis!L2:L801,Analysis!H2:H801,"Paid"),0)</f>
        <v>30</v>
      </c>
    </row>
    <row r="10" spans="1:22" ht="15" customHeight="1" x14ac:dyDescent="0.35">
      <c r="A10" s="42"/>
      <c r="B10" s="42"/>
      <c r="C10" s="42"/>
      <c r="D10" s="42"/>
      <c r="E10" s="42"/>
      <c r="F10" s="42"/>
      <c r="G10" s="42"/>
      <c r="H10" s="42"/>
      <c r="I10" s="42"/>
      <c r="J10" s="42"/>
      <c r="K10" s="42"/>
      <c r="L10" s="42"/>
      <c r="M10" s="42"/>
      <c r="N10" s="42"/>
      <c r="O10" s="42"/>
      <c r="P10" s="42"/>
      <c r="Q10" s="42"/>
      <c r="R10" s="42"/>
      <c r="S10" s="49"/>
      <c r="T10" s="56"/>
      <c r="U10" s="22"/>
    </row>
    <row r="11" spans="1:22" ht="15" customHeight="1" x14ac:dyDescent="0.35">
      <c r="A11" s="42"/>
      <c r="B11" s="42"/>
      <c r="C11" s="42"/>
      <c r="D11" s="42"/>
      <c r="E11" s="42"/>
      <c r="F11" s="42"/>
      <c r="G11" s="42"/>
      <c r="H11" s="42"/>
      <c r="I11" s="42"/>
      <c r="J11" s="42"/>
      <c r="K11" s="42"/>
      <c r="L11" s="42"/>
      <c r="M11" s="42"/>
      <c r="N11" s="42"/>
      <c r="O11" s="42"/>
      <c r="P11" s="42"/>
      <c r="Q11" s="42"/>
      <c r="R11" s="42"/>
      <c r="S11" s="49"/>
      <c r="T11" s="56"/>
      <c r="U11" s="22"/>
    </row>
    <row r="12" spans="1:22" ht="15" customHeight="1" x14ac:dyDescent="0.35">
      <c r="A12" s="42"/>
      <c r="B12" s="42"/>
      <c r="C12" s="42"/>
      <c r="D12" s="42"/>
      <c r="E12" s="42"/>
      <c r="F12" s="42"/>
      <c r="G12" s="42"/>
      <c r="H12" s="42"/>
      <c r="I12" s="42"/>
      <c r="J12" s="42"/>
      <c r="K12" s="42"/>
      <c r="L12" s="42"/>
      <c r="M12" s="42"/>
      <c r="N12" s="42"/>
      <c r="O12" s="42"/>
      <c r="P12" s="42"/>
      <c r="Q12" s="42"/>
      <c r="R12" s="42"/>
      <c r="S12" s="49"/>
      <c r="T12" s="56"/>
      <c r="U12" s="22"/>
    </row>
    <row r="13" spans="1:22" ht="15" customHeight="1" x14ac:dyDescent="0.35">
      <c r="A13" s="42"/>
      <c r="B13" s="42"/>
      <c r="C13" s="42"/>
      <c r="D13" s="42"/>
      <c r="E13" s="42"/>
      <c r="F13" s="42"/>
      <c r="G13" s="42"/>
      <c r="H13" s="42"/>
      <c r="I13" s="42"/>
      <c r="J13" s="42"/>
      <c r="K13" s="42"/>
      <c r="L13" s="42"/>
      <c r="M13" s="42"/>
      <c r="N13" s="42"/>
      <c r="O13" s="42"/>
      <c r="P13" s="42"/>
      <c r="Q13" s="42"/>
      <c r="R13" s="42"/>
      <c r="S13" s="49"/>
      <c r="T13" s="56"/>
      <c r="U13" s="22"/>
    </row>
    <row r="14" spans="1:22" ht="15" customHeight="1" x14ac:dyDescent="0.35">
      <c r="A14" s="42"/>
      <c r="B14" s="42"/>
      <c r="C14" s="42"/>
      <c r="D14" s="42"/>
      <c r="E14" s="42"/>
      <c r="F14" s="42"/>
      <c r="G14" s="42"/>
      <c r="H14" s="42"/>
      <c r="I14" s="42"/>
      <c r="J14" s="42"/>
      <c r="K14" s="42"/>
      <c r="L14" s="42"/>
      <c r="M14" s="42"/>
      <c r="N14" s="42"/>
      <c r="O14" s="42"/>
      <c r="P14" s="42"/>
      <c r="Q14" s="42"/>
      <c r="R14" s="42"/>
      <c r="S14" s="49"/>
      <c r="T14" s="56"/>
      <c r="U14" s="22"/>
    </row>
    <row r="15" spans="1:22" x14ac:dyDescent="0.35">
      <c r="A15" s="23"/>
      <c r="B15" s="23"/>
      <c r="C15" s="23"/>
      <c r="D15" s="23"/>
      <c r="E15" s="23"/>
      <c r="F15" s="23"/>
      <c r="G15" s="23"/>
      <c r="H15" s="23"/>
      <c r="I15" s="23"/>
      <c r="J15" s="23"/>
      <c r="K15" s="23"/>
      <c r="L15" s="23"/>
      <c r="M15" s="23"/>
      <c r="N15" s="23"/>
      <c r="O15" s="23"/>
      <c r="P15" s="23"/>
      <c r="Q15" s="23"/>
      <c r="R15" s="23"/>
      <c r="S15" s="23"/>
      <c r="T15" s="22"/>
      <c r="U15" s="22"/>
    </row>
    <row r="16" spans="1:22" x14ac:dyDescent="0.35">
      <c r="A16" s="23"/>
      <c r="B16" s="23"/>
      <c r="C16" s="23"/>
      <c r="D16" s="23"/>
      <c r="E16" s="23"/>
      <c r="F16" s="23"/>
      <c r="G16" s="23"/>
      <c r="H16" s="23"/>
      <c r="I16" s="23"/>
      <c r="J16" s="23"/>
      <c r="K16" s="23"/>
      <c r="L16" s="23"/>
      <c r="M16" s="23"/>
      <c r="N16" s="23"/>
      <c r="O16" s="23"/>
      <c r="P16" s="23"/>
      <c r="Q16" s="23"/>
      <c r="R16" s="23"/>
      <c r="S16" s="23"/>
      <c r="T16" s="22"/>
      <c r="U16" s="22"/>
    </row>
    <row r="17" spans="1:21" x14ac:dyDescent="0.35">
      <c r="A17" s="23"/>
      <c r="B17" s="23"/>
      <c r="C17" s="23"/>
      <c r="D17" s="23"/>
      <c r="E17" s="23"/>
      <c r="F17" s="23"/>
      <c r="G17" s="23"/>
      <c r="H17" s="23"/>
      <c r="I17" s="23"/>
      <c r="J17" s="23"/>
      <c r="K17" s="23"/>
      <c r="L17" s="23"/>
      <c r="M17" s="23"/>
      <c r="N17" s="23"/>
      <c r="O17" s="23"/>
      <c r="P17" s="23"/>
      <c r="Q17" s="23"/>
      <c r="R17" s="23"/>
      <c r="S17" s="23"/>
      <c r="T17" s="22"/>
      <c r="U17" s="22"/>
    </row>
    <row r="18" spans="1:21" x14ac:dyDescent="0.35">
      <c r="A18" s="23"/>
      <c r="B18" s="23"/>
      <c r="C18" s="23"/>
      <c r="D18" s="23"/>
      <c r="E18" s="23"/>
      <c r="F18" s="23"/>
      <c r="G18" s="23"/>
      <c r="H18" s="23"/>
      <c r="I18" s="23"/>
      <c r="J18" s="23"/>
      <c r="K18" s="23"/>
      <c r="L18" s="23"/>
      <c r="M18" s="23"/>
      <c r="N18" s="23"/>
      <c r="O18" s="23"/>
      <c r="P18" s="23"/>
      <c r="Q18" s="23"/>
      <c r="R18" s="23"/>
      <c r="S18" s="23"/>
      <c r="T18" s="22"/>
      <c r="U18" s="22"/>
    </row>
    <row r="19" spans="1:21" x14ac:dyDescent="0.35">
      <c r="A19" s="23"/>
      <c r="B19" s="23"/>
      <c r="C19" s="23"/>
      <c r="D19" s="23"/>
      <c r="E19" s="23"/>
      <c r="F19" s="23"/>
      <c r="G19" s="23"/>
      <c r="H19" s="23"/>
      <c r="I19" s="23"/>
      <c r="J19" s="23"/>
      <c r="K19" s="23"/>
      <c r="L19" s="23"/>
      <c r="M19" s="23"/>
      <c r="N19" s="23"/>
      <c r="O19" s="23"/>
      <c r="P19" s="23"/>
      <c r="Q19" s="23"/>
      <c r="R19" s="23"/>
      <c r="S19" s="23"/>
      <c r="T19" s="22"/>
      <c r="U19" s="22"/>
    </row>
    <row r="20" spans="1:21" x14ac:dyDescent="0.35">
      <c r="A20" s="23"/>
      <c r="B20" s="23"/>
      <c r="C20" s="23"/>
      <c r="D20" s="23"/>
      <c r="E20" s="23"/>
      <c r="F20" s="23"/>
      <c r="G20" s="23"/>
      <c r="H20" s="23"/>
      <c r="I20" s="23"/>
      <c r="J20" s="23"/>
      <c r="K20" s="23"/>
      <c r="L20" s="23"/>
      <c r="M20" s="23"/>
      <c r="N20" s="23"/>
      <c r="O20" s="23"/>
      <c r="P20" s="23"/>
      <c r="Q20" s="23"/>
      <c r="R20" s="23"/>
      <c r="S20" s="23"/>
      <c r="T20" s="22"/>
      <c r="U20" s="22"/>
    </row>
    <row r="21" spans="1:21" x14ac:dyDescent="0.35">
      <c r="A21" s="23"/>
      <c r="B21" s="23"/>
      <c r="C21" s="23"/>
      <c r="D21" s="23"/>
      <c r="E21" s="23"/>
      <c r="F21" s="23"/>
      <c r="G21" s="23"/>
      <c r="H21" s="23"/>
      <c r="I21" s="23"/>
      <c r="J21" s="23"/>
      <c r="K21" s="23"/>
      <c r="L21" s="23"/>
      <c r="M21" s="23"/>
      <c r="N21" s="23"/>
      <c r="O21" s="23"/>
      <c r="P21" s="23"/>
      <c r="Q21" s="23"/>
      <c r="R21" s="23"/>
      <c r="S21" s="23"/>
      <c r="T21" s="22"/>
      <c r="U21" s="22"/>
    </row>
    <row r="22" spans="1:21" x14ac:dyDescent="0.35">
      <c r="A22" s="23"/>
      <c r="B22" s="23"/>
      <c r="C22" s="23"/>
      <c r="D22" s="23"/>
      <c r="E22" s="23"/>
      <c r="F22" s="23"/>
      <c r="G22" s="23"/>
      <c r="H22" s="23"/>
      <c r="I22" s="23"/>
      <c r="J22" s="23"/>
      <c r="K22" s="23"/>
      <c r="L22" s="23"/>
      <c r="M22" s="23"/>
      <c r="N22" s="23"/>
      <c r="O22" s="23"/>
      <c r="P22" s="23"/>
      <c r="Q22" s="23"/>
      <c r="R22" s="23"/>
      <c r="S22" s="23"/>
      <c r="T22" s="22"/>
      <c r="U22" s="22"/>
    </row>
    <row r="23" spans="1:21" x14ac:dyDescent="0.35">
      <c r="A23" s="23"/>
      <c r="B23" s="23"/>
      <c r="C23" s="23"/>
      <c r="D23" s="23"/>
      <c r="E23" s="23"/>
      <c r="F23" s="23"/>
      <c r="G23" s="23"/>
      <c r="H23" s="23"/>
      <c r="I23" s="23"/>
      <c r="J23" s="23"/>
      <c r="K23" s="23"/>
      <c r="L23" s="23"/>
      <c r="M23" s="23"/>
      <c r="N23" s="23"/>
      <c r="O23" s="23"/>
      <c r="P23" s="23"/>
      <c r="Q23" s="23"/>
      <c r="R23" s="23"/>
      <c r="S23" s="23"/>
      <c r="T23" s="22"/>
      <c r="U23" s="22"/>
    </row>
    <row r="24" spans="1:21" x14ac:dyDescent="0.35">
      <c r="A24" s="23"/>
      <c r="B24" s="23"/>
      <c r="C24" s="23"/>
      <c r="D24" s="23"/>
      <c r="E24" s="23"/>
      <c r="F24" s="23"/>
      <c r="G24" s="23"/>
      <c r="H24" s="23"/>
      <c r="I24" s="23"/>
      <c r="J24" s="23"/>
      <c r="K24" s="23"/>
      <c r="L24" s="23"/>
      <c r="M24" s="23"/>
      <c r="N24" s="23"/>
      <c r="O24" s="23"/>
      <c r="P24" s="23"/>
      <c r="Q24" s="23"/>
      <c r="R24" s="23"/>
      <c r="S24" s="23"/>
      <c r="T24" s="22"/>
      <c r="U24" s="22"/>
    </row>
    <row r="25" spans="1:21" x14ac:dyDescent="0.35">
      <c r="A25" s="23"/>
      <c r="B25" s="23"/>
      <c r="C25" s="23"/>
      <c r="D25" s="23"/>
      <c r="E25" s="23"/>
      <c r="F25" s="23"/>
      <c r="G25" s="23"/>
      <c r="H25" s="23"/>
      <c r="I25" s="23"/>
      <c r="J25" s="23"/>
      <c r="K25" s="23"/>
      <c r="L25" s="23"/>
      <c r="M25" s="23"/>
      <c r="N25" s="23"/>
      <c r="O25" s="23"/>
      <c r="P25" s="23"/>
      <c r="Q25" s="23"/>
      <c r="R25" s="23"/>
      <c r="S25" s="23"/>
      <c r="T25" s="22"/>
      <c r="U25" s="22"/>
    </row>
    <row r="26" spans="1:21" x14ac:dyDescent="0.35">
      <c r="A26" s="23"/>
      <c r="B26" s="23"/>
      <c r="C26" s="23"/>
      <c r="D26" s="23"/>
      <c r="E26" s="23"/>
      <c r="F26" s="23"/>
      <c r="G26" s="23"/>
      <c r="H26" s="23"/>
      <c r="I26" s="23"/>
      <c r="J26" s="23"/>
      <c r="K26" s="23"/>
      <c r="L26" s="23"/>
      <c r="M26" s="23"/>
      <c r="N26" s="23"/>
      <c r="O26" s="23"/>
      <c r="P26" s="23"/>
      <c r="Q26" s="23"/>
      <c r="R26" s="23"/>
      <c r="S26" s="23"/>
      <c r="T26" s="22"/>
      <c r="U26" s="22"/>
    </row>
    <row r="27" spans="1:21" x14ac:dyDescent="0.35">
      <c r="A27" s="23"/>
      <c r="B27" s="23"/>
      <c r="C27" s="23"/>
      <c r="D27" s="23"/>
      <c r="E27" s="23"/>
      <c r="F27" s="23"/>
      <c r="G27" s="23"/>
      <c r="H27" s="23"/>
      <c r="I27" s="23"/>
      <c r="J27" s="23"/>
      <c r="K27" s="23"/>
      <c r="L27" s="23"/>
      <c r="M27" s="23"/>
      <c r="N27" s="23"/>
      <c r="O27" s="23"/>
      <c r="P27" s="23"/>
      <c r="Q27" s="23"/>
      <c r="R27" s="23"/>
      <c r="S27" s="23"/>
      <c r="T27" s="22"/>
      <c r="U27" s="22"/>
    </row>
    <row r="28" spans="1:21" x14ac:dyDescent="0.35">
      <c r="A28" s="23"/>
      <c r="B28" s="23"/>
      <c r="C28" s="23"/>
      <c r="D28" s="23"/>
      <c r="E28" s="23"/>
      <c r="F28" s="23"/>
      <c r="G28" s="23"/>
      <c r="H28" s="23"/>
      <c r="I28" s="23"/>
      <c r="J28" s="23"/>
      <c r="K28" s="23"/>
      <c r="L28" s="23"/>
      <c r="M28" s="23"/>
      <c r="N28" s="23"/>
      <c r="O28" s="23"/>
      <c r="P28" s="23"/>
      <c r="Q28" s="23"/>
      <c r="R28" s="23"/>
      <c r="S28" s="23"/>
      <c r="T28" s="22"/>
      <c r="U28" s="22"/>
    </row>
    <row r="29" spans="1:21" x14ac:dyDescent="0.35">
      <c r="A29" s="23"/>
      <c r="B29" s="23"/>
      <c r="C29" s="23"/>
      <c r="D29" s="23"/>
      <c r="E29" s="23"/>
      <c r="F29" s="23"/>
      <c r="G29" s="23"/>
      <c r="H29" s="23"/>
      <c r="I29" s="23"/>
      <c r="J29" s="23"/>
      <c r="K29" s="23"/>
      <c r="L29" s="23"/>
      <c r="M29" s="23"/>
      <c r="N29" s="23"/>
      <c r="O29" s="23"/>
      <c r="P29" s="23"/>
      <c r="Q29" s="23"/>
      <c r="R29" s="23"/>
      <c r="S29" s="23"/>
      <c r="T29" s="22"/>
      <c r="U29" s="22"/>
    </row>
    <row r="30" spans="1:21" x14ac:dyDescent="0.35">
      <c r="A30" s="23"/>
      <c r="B30" s="23"/>
      <c r="C30" s="23"/>
      <c r="D30" s="23"/>
      <c r="E30" s="23"/>
      <c r="F30" s="23"/>
      <c r="G30" s="23"/>
      <c r="H30" s="23"/>
      <c r="I30" s="23"/>
      <c r="J30" s="23"/>
      <c r="K30" s="23"/>
      <c r="L30" s="23"/>
      <c r="M30" s="23"/>
      <c r="N30" s="23"/>
      <c r="O30" s="23"/>
      <c r="P30" s="23"/>
      <c r="Q30" s="23"/>
      <c r="R30" s="23"/>
      <c r="S30" s="23"/>
      <c r="T30" s="22"/>
      <c r="U30" s="22"/>
    </row>
    <row r="31" spans="1:21" x14ac:dyDescent="0.35">
      <c r="A31" s="23"/>
      <c r="B31" s="23"/>
      <c r="C31" s="23"/>
      <c r="D31" s="23"/>
      <c r="E31" s="23"/>
      <c r="F31" s="23"/>
      <c r="G31" s="23"/>
      <c r="H31" s="23"/>
      <c r="I31" s="23"/>
      <c r="J31" s="23"/>
      <c r="K31" s="23"/>
      <c r="L31" s="23"/>
      <c r="M31" s="23"/>
      <c r="N31" s="23"/>
      <c r="O31" s="23"/>
      <c r="P31" s="23"/>
      <c r="Q31" s="23"/>
      <c r="R31" s="23"/>
      <c r="S31" s="23"/>
      <c r="T31" s="22"/>
      <c r="U31" s="22"/>
    </row>
    <row r="32" spans="1:21" x14ac:dyDescent="0.35">
      <c r="A32" s="23"/>
      <c r="B32" s="23"/>
      <c r="C32" s="23"/>
      <c r="D32" s="23"/>
      <c r="E32" s="23"/>
      <c r="F32" s="23"/>
      <c r="G32" s="23"/>
      <c r="H32" s="23"/>
      <c r="I32" s="23"/>
      <c r="J32" s="23"/>
      <c r="K32" s="23"/>
      <c r="L32" s="23"/>
      <c r="M32" s="23"/>
      <c r="N32" s="23"/>
      <c r="O32" s="23"/>
      <c r="P32" s="23"/>
      <c r="Q32" s="23"/>
      <c r="R32" s="23"/>
      <c r="S32" s="23"/>
      <c r="T32" s="22"/>
      <c r="U32" s="22"/>
    </row>
    <row r="33" spans="1:21" x14ac:dyDescent="0.35">
      <c r="A33" s="23"/>
      <c r="B33" s="23"/>
      <c r="C33" s="23"/>
      <c r="D33" s="23"/>
      <c r="E33" s="23"/>
      <c r="F33" s="23"/>
      <c r="G33" s="23"/>
      <c r="H33" s="23"/>
      <c r="I33" s="23"/>
      <c r="J33" s="23"/>
      <c r="K33" s="23"/>
      <c r="L33" s="23"/>
      <c r="M33" s="23"/>
      <c r="N33" s="23"/>
      <c r="O33" s="23"/>
      <c r="P33" s="23"/>
      <c r="Q33" s="23"/>
      <c r="R33" s="23"/>
      <c r="S33" s="23"/>
      <c r="T33" s="22"/>
      <c r="U33" s="22"/>
    </row>
    <row r="34" spans="1:21" x14ac:dyDescent="0.35">
      <c r="A34" s="23"/>
      <c r="B34" s="23"/>
      <c r="C34" s="23"/>
      <c r="D34" s="23"/>
      <c r="E34" s="23"/>
      <c r="F34" s="23"/>
      <c r="G34" s="23"/>
      <c r="H34" s="23"/>
      <c r="I34" s="23"/>
      <c r="J34" s="23"/>
      <c r="K34" s="23"/>
      <c r="L34" s="23"/>
      <c r="M34" s="23"/>
      <c r="N34" s="23"/>
      <c r="O34" s="23"/>
      <c r="P34" s="23"/>
      <c r="Q34" s="23"/>
      <c r="R34" s="23"/>
      <c r="S34" s="23"/>
      <c r="T34" s="22"/>
      <c r="U34" s="22"/>
    </row>
    <row r="35" spans="1:21" x14ac:dyDescent="0.35">
      <c r="A35" s="23"/>
      <c r="B35" s="23"/>
      <c r="C35" s="23"/>
      <c r="D35" s="23"/>
      <c r="E35" s="23"/>
      <c r="F35" s="23"/>
      <c r="G35" s="23"/>
      <c r="H35" s="23"/>
      <c r="I35" s="23"/>
      <c r="J35" s="23"/>
      <c r="K35" s="23"/>
      <c r="L35" s="23"/>
      <c r="M35" s="23"/>
      <c r="N35" s="23"/>
      <c r="O35" s="23"/>
      <c r="P35" s="23"/>
      <c r="Q35" s="23"/>
      <c r="R35" s="23"/>
      <c r="S35" s="23"/>
      <c r="T35" s="22"/>
      <c r="U35" s="22"/>
    </row>
    <row r="36" spans="1:21" x14ac:dyDescent="0.35">
      <c r="A36" s="23"/>
      <c r="B36" s="23"/>
      <c r="C36" s="23"/>
      <c r="D36" s="23"/>
      <c r="E36" s="23"/>
      <c r="F36" s="23"/>
      <c r="G36" s="23"/>
      <c r="H36" s="23"/>
      <c r="I36" s="23"/>
      <c r="J36" s="23"/>
      <c r="K36" s="23"/>
      <c r="L36" s="23"/>
      <c r="M36" s="23"/>
      <c r="N36" s="23"/>
      <c r="O36" s="23"/>
      <c r="P36" s="23"/>
      <c r="Q36" s="23"/>
      <c r="R36" s="23"/>
      <c r="S36" s="23"/>
      <c r="T36" s="22"/>
      <c r="U36" s="22"/>
    </row>
    <row r="37" spans="1:21" x14ac:dyDescent="0.35">
      <c r="A37" s="23"/>
      <c r="B37" s="23"/>
      <c r="C37" s="23"/>
      <c r="D37" s="23"/>
      <c r="E37" s="23"/>
      <c r="F37" s="23"/>
      <c r="G37" s="23"/>
      <c r="H37" s="23"/>
      <c r="I37" s="23"/>
      <c r="J37" s="23"/>
      <c r="K37" s="23"/>
      <c r="L37" s="23"/>
      <c r="M37" s="23"/>
      <c r="N37" s="23"/>
      <c r="O37" s="23"/>
      <c r="P37" s="23"/>
      <c r="Q37" s="23"/>
      <c r="R37" s="23"/>
      <c r="S37" s="23"/>
      <c r="T37" s="22"/>
      <c r="U37" s="22"/>
    </row>
    <row r="38" spans="1:21" x14ac:dyDescent="0.35">
      <c r="A38" s="23"/>
      <c r="B38" s="23"/>
      <c r="C38" s="23"/>
      <c r="D38" s="23"/>
      <c r="E38" s="23"/>
      <c r="F38" s="23"/>
      <c r="G38" s="23"/>
      <c r="H38" s="23"/>
      <c r="I38" s="23"/>
      <c r="J38" s="23"/>
      <c r="K38" s="23"/>
      <c r="L38" s="23"/>
      <c r="M38" s="23"/>
      <c r="N38" s="23"/>
      <c r="O38" s="23"/>
      <c r="P38" s="23"/>
      <c r="Q38" s="23"/>
      <c r="R38" s="23"/>
      <c r="S38" s="23"/>
      <c r="T38" s="22"/>
      <c r="U38" s="22"/>
    </row>
    <row r="39" spans="1:21" x14ac:dyDescent="0.35">
      <c r="A39" s="23"/>
      <c r="B39" s="23"/>
      <c r="C39" s="23"/>
      <c r="D39" s="23"/>
      <c r="E39" s="23"/>
      <c r="F39" s="23"/>
      <c r="G39" s="23"/>
      <c r="H39" s="23"/>
      <c r="I39" s="23"/>
      <c r="J39" s="23"/>
      <c r="K39" s="23"/>
      <c r="L39" s="23"/>
      <c r="M39" s="23"/>
      <c r="N39" s="23"/>
      <c r="O39" s="23"/>
      <c r="P39" s="23"/>
      <c r="Q39" s="23"/>
      <c r="R39" s="23"/>
      <c r="S39" s="23"/>
    </row>
    <row r="40" spans="1:21" x14ac:dyDescent="0.35">
      <c r="A40" s="23"/>
      <c r="B40" s="23"/>
      <c r="C40" s="23"/>
      <c r="D40" s="23"/>
      <c r="E40" s="23"/>
      <c r="F40" s="23"/>
      <c r="G40" s="23"/>
      <c r="H40" s="23"/>
      <c r="I40" s="23"/>
      <c r="J40" s="23"/>
      <c r="K40" s="23"/>
      <c r="L40" s="23"/>
      <c r="M40" s="23"/>
      <c r="N40" s="23"/>
      <c r="O40" s="23"/>
      <c r="P40" s="23"/>
      <c r="Q40" s="23"/>
      <c r="R40" s="23"/>
      <c r="S40" s="23"/>
    </row>
    <row r="41" spans="1:21" x14ac:dyDescent="0.35">
      <c r="A41" s="23"/>
      <c r="B41" s="23"/>
      <c r="C41" s="23"/>
      <c r="D41" s="23"/>
      <c r="E41" s="23"/>
      <c r="F41" s="23"/>
      <c r="G41" s="23"/>
      <c r="H41" s="23"/>
      <c r="I41" s="23"/>
      <c r="J41" s="23"/>
      <c r="K41" s="23"/>
      <c r="L41" s="23"/>
      <c r="M41" s="23"/>
      <c r="N41" s="23"/>
      <c r="O41" s="23"/>
      <c r="P41" s="23"/>
      <c r="Q41" s="23"/>
      <c r="R41" s="23"/>
      <c r="S41" s="23"/>
    </row>
    <row r="42" spans="1:21" x14ac:dyDescent="0.35">
      <c r="A42" s="23"/>
      <c r="B42" s="23"/>
      <c r="C42" s="23"/>
      <c r="D42" s="23"/>
      <c r="E42" s="23"/>
      <c r="F42" s="23"/>
      <c r="G42" s="23"/>
      <c r="H42" s="23"/>
      <c r="I42" s="23"/>
      <c r="J42" s="23"/>
      <c r="K42" s="23"/>
      <c r="L42" s="23"/>
      <c r="M42" s="23"/>
      <c r="N42" s="23"/>
      <c r="O42" s="23"/>
      <c r="P42" s="23"/>
      <c r="Q42" s="23"/>
      <c r="R42" s="23"/>
      <c r="S42" s="23"/>
    </row>
    <row r="43" spans="1:21" x14ac:dyDescent="0.35">
      <c r="A43" s="23"/>
      <c r="B43" s="23"/>
      <c r="C43" s="23"/>
      <c r="D43" s="23"/>
      <c r="E43" s="23"/>
      <c r="F43" s="23"/>
      <c r="G43" s="23"/>
      <c r="H43" s="23"/>
      <c r="I43" s="23"/>
      <c r="J43" s="23"/>
      <c r="K43" s="23"/>
      <c r="L43" s="23"/>
      <c r="M43" s="23"/>
      <c r="N43" s="23"/>
      <c r="O43" s="23"/>
      <c r="P43" s="23"/>
      <c r="Q43" s="23"/>
      <c r="R43" s="23"/>
      <c r="S43" s="23"/>
    </row>
  </sheetData>
  <mergeCells count="1">
    <mergeCell ref="A1:R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ECD80-759B-40EE-97C4-21DA1DBA1AFE}">
  <sheetPr>
    <tabColor rgb="FF31498F"/>
    <pageSetUpPr autoPageBreaks="0"/>
  </sheetPr>
  <dimension ref="A1:V47"/>
  <sheetViews>
    <sheetView showGridLines="0" showRowColHeaders="0" zoomScale="64" zoomScaleNormal="64" workbookViewId="0">
      <selection activeCell="X39" sqref="X39"/>
    </sheetView>
  </sheetViews>
  <sheetFormatPr defaultRowHeight="14.5" x14ac:dyDescent="0.35"/>
  <cols>
    <col min="1" max="1" width="0.90625" customWidth="1"/>
    <col min="20" max="20" width="8.7265625" style="22"/>
    <col min="21" max="21" width="23.08984375" hidden="1" customWidth="1"/>
    <col min="22" max="22" width="19.7265625" hidden="1" customWidth="1"/>
    <col min="23" max="23" width="19.7265625" customWidth="1"/>
  </cols>
  <sheetData>
    <row r="1" spans="1:22" ht="15" customHeight="1" x14ac:dyDescent="0.35">
      <c r="A1" s="58" t="s">
        <v>896</v>
      </c>
      <c r="B1" s="59"/>
      <c r="C1" s="59"/>
      <c r="D1" s="59"/>
      <c r="E1" s="59"/>
      <c r="F1" s="59"/>
      <c r="G1" s="59"/>
      <c r="H1" s="59"/>
      <c r="I1" s="59"/>
      <c r="J1" s="59"/>
      <c r="K1" s="59"/>
      <c r="L1" s="59"/>
      <c r="M1" s="59"/>
      <c r="N1" s="59"/>
      <c r="O1" s="59"/>
      <c r="P1" s="59"/>
      <c r="Q1" s="59"/>
      <c r="R1" s="59"/>
      <c r="S1" s="59"/>
      <c r="T1" s="56"/>
      <c r="U1" s="22" t="s">
        <v>892</v>
      </c>
      <c r="V1" t="s">
        <v>893</v>
      </c>
    </row>
    <row r="2" spans="1:22" ht="15" customHeight="1" x14ac:dyDescent="0.35">
      <c r="A2" s="60"/>
      <c r="B2" s="59"/>
      <c r="C2" s="59"/>
      <c r="D2" s="59"/>
      <c r="E2" s="59"/>
      <c r="F2" s="59"/>
      <c r="G2" s="59"/>
      <c r="H2" s="59"/>
      <c r="I2" s="59"/>
      <c r="J2" s="59"/>
      <c r="K2" s="59"/>
      <c r="L2" s="59"/>
      <c r="M2" s="59"/>
      <c r="N2" s="59"/>
      <c r="O2" s="59"/>
      <c r="P2" s="59"/>
      <c r="Q2" s="59"/>
      <c r="R2" s="59"/>
      <c r="S2" s="59"/>
      <c r="T2" s="56"/>
      <c r="U2" s="22" t="s">
        <v>894</v>
      </c>
      <c r="V2" s="51">
        <f>SUM(Analysis!G1:G801)</f>
        <v>2065390.5300000005</v>
      </c>
    </row>
    <row r="3" spans="1:22" ht="15" customHeight="1" x14ac:dyDescent="0.35">
      <c r="A3" s="60"/>
      <c r="B3" s="59"/>
      <c r="C3" s="59"/>
      <c r="D3" s="59"/>
      <c r="E3" s="59"/>
      <c r="F3" s="59"/>
      <c r="G3" s="59"/>
      <c r="H3" s="59"/>
      <c r="I3" s="59"/>
      <c r="J3" s="59"/>
      <c r="K3" s="59"/>
      <c r="L3" s="59"/>
      <c r="M3" s="59"/>
      <c r="N3" s="59"/>
      <c r="O3" s="59"/>
      <c r="P3" s="59"/>
      <c r="Q3" s="59"/>
      <c r="R3" s="59"/>
      <c r="S3" s="59"/>
      <c r="T3" s="56"/>
      <c r="U3" s="24" t="s">
        <v>844</v>
      </c>
      <c r="V3" s="50">
        <f>SUM(Analysis!J2:J801)</f>
        <v>669639.13999999978</v>
      </c>
    </row>
    <row r="4" spans="1:22" ht="15" customHeight="1" thickBot="1" x14ac:dyDescent="0.4">
      <c r="A4" s="61"/>
      <c r="B4" s="62"/>
      <c r="C4" s="62"/>
      <c r="D4" s="62"/>
      <c r="E4" s="62"/>
      <c r="F4" s="62"/>
      <c r="G4" s="62"/>
      <c r="H4" s="62"/>
      <c r="I4" s="62"/>
      <c r="J4" s="62"/>
      <c r="K4" s="62"/>
      <c r="L4" s="62"/>
      <c r="M4" s="62"/>
      <c r="N4" s="62"/>
      <c r="O4" s="62"/>
      <c r="P4" s="62"/>
      <c r="Q4" s="62"/>
      <c r="R4" s="62"/>
      <c r="S4" s="62"/>
      <c r="T4" s="56"/>
      <c r="U4" s="24"/>
      <c r="V4" s="25"/>
    </row>
    <row r="5" spans="1:22" ht="15" customHeight="1" thickTop="1" x14ac:dyDescent="0.35">
      <c r="A5" s="49"/>
      <c r="B5" s="49"/>
      <c r="C5" s="49"/>
      <c r="D5" s="49"/>
      <c r="E5" s="49"/>
      <c r="F5" s="49"/>
      <c r="G5" s="49"/>
      <c r="H5" s="49"/>
      <c r="I5" s="49"/>
      <c r="J5" s="49"/>
      <c r="K5" s="49"/>
      <c r="L5" s="49"/>
      <c r="M5" s="49"/>
      <c r="N5" s="49"/>
      <c r="O5" s="49"/>
      <c r="P5" s="49"/>
      <c r="Q5" s="49"/>
      <c r="R5" s="49"/>
      <c r="S5" s="49"/>
      <c r="T5" s="56"/>
      <c r="U5" s="24"/>
      <c r="V5" s="25"/>
    </row>
    <row r="6" spans="1:22" ht="15" customHeight="1" x14ac:dyDescent="0.35">
      <c r="A6" s="49"/>
      <c r="B6" s="49"/>
      <c r="C6" s="49"/>
      <c r="D6" s="49"/>
      <c r="E6" s="49"/>
      <c r="F6" s="49"/>
      <c r="G6" s="49"/>
      <c r="H6" s="49"/>
      <c r="I6" s="49"/>
      <c r="J6" s="49"/>
      <c r="K6" s="49"/>
      <c r="L6" s="49"/>
      <c r="M6" s="49"/>
      <c r="N6" s="49"/>
      <c r="O6" s="49"/>
      <c r="P6" s="49"/>
      <c r="Q6" s="49"/>
      <c r="R6" s="49"/>
      <c r="S6" s="49"/>
      <c r="T6" s="56"/>
      <c r="U6" s="24"/>
      <c r="V6" s="25"/>
    </row>
    <row r="7" spans="1:22" ht="15" customHeight="1" x14ac:dyDescent="0.35">
      <c r="A7" s="49"/>
      <c r="B7" s="49"/>
      <c r="C7" s="49"/>
      <c r="D7" s="49"/>
      <c r="E7" s="49"/>
      <c r="F7" s="49"/>
      <c r="G7" s="49"/>
      <c r="H7" s="49"/>
      <c r="I7" s="49"/>
      <c r="J7" s="49"/>
      <c r="K7" s="49"/>
      <c r="L7" s="49"/>
      <c r="M7" s="49"/>
      <c r="N7" s="49"/>
      <c r="O7" s="49"/>
      <c r="P7" s="49"/>
      <c r="Q7" s="49"/>
      <c r="R7" s="49"/>
      <c r="S7" s="49"/>
      <c r="T7" s="56"/>
      <c r="U7" s="24"/>
      <c r="V7" s="25"/>
    </row>
    <row r="8" spans="1:22" ht="15" customHeight="1" x14ac:dyDescent="0.35">
      <c r="A8" s="49"/>
      <c r="B8" s="49"/>
      <c r="C8" s="49"/>
      <c r="D8" s="49"/>
      <c r="E8" s="49"/>
      <c r="F8" s="49"/>
      <c r="G8" s="49"/>
      <c r="H8" s="49"/>
      <c r="I8" s="49"/>
      <c r="J8" s="49"/>
      <c r="K8" s="49"/>
      <c r="L8" s="49"/>
      <c r="M8" s="49"/>
      <c r="N8" s="49"/>
      <c r="O8" s="49"/>
      <c r="P8" s="49"/>
      <c r="Q8" s="49"/>
      <c r="R8" s="49"/>
      <c r="S8" s="49"/>
      <c r="T8" s="56"/>
      <c r="U8" s="55" t="s">
        <v>895</v>
      </c>
      <c r="V8" s="48">
        <f>V3/V2</f>
        <v>0.32421913932180157</v>
      </c>
    </row>
    <row r="9" spans="1:22" ht="15" customHeight="1" x14ac:dyDescent="0.35">
      <c r="A9" s="49"/>
      <c r="B9" s="49"/>
      <c r="C9" s="49"/>
      <c r="D9" s="49"/>
      <c r="E9" s="49"/>
      <c r="F9" s="49"/>
      <c r="G9" s="49"/>
      <c r="H9" s="49"/>
      <c r="I9" s="49"/>
      <c r="J9" s="49"/>
      <c r="K9" s="49"/>
      <c r="L9" s="49"/>
      <c r="M9" s="49"/>
      <c r="N9" s="49"/>
      <c r="O9" s="49"/>
      <c r="P9" s="49"/>
      <c r="Q9" s="49"/>
      <c r="R9" s="49"/>
      <c r="S9" s="49"/>
      <c r="T9" s="56"/>
      <c r="U9" s="22" t="s">
        <v>897</v>
      </c>
      <c r="V9">
        <f>IFERROR(AVERAGEIFS(Analysis!L2:L801,Analysis!H2:H801,"Paid"),0)</f>
        <v>30</v>
      </c>
    </row>
    <row r="10" spans="1:22" ht="15" customHeight="1" x14ac:dyDescent="0.35">
      <c r="A10" s="49"/>
      <c r="B10" s="49"/>
      <c r="C10" s="49"/>
      <c r="D10" s="49"/>
      <c r="E10" s="49"/>
      <c r="F10" s="49"/>
      <c r="G10" s="49"/>
      <c r="H10" s="49"/>
      <c r="I10" s="49"/>
      <c r="J10" s="49"/>
      <c r="K10" s="49"/>
      <c r="L10" s="49"/>
      <c r="M10" s="49"/>
      <c r="N10" s="49"/>
      <c r="O10" s="49"/>
      <c r="P10" s="49"/>
      <c r="Q10" s="49"/>
      <c r="R10" s="49"/>
      <c r="S10" s="49"/>
      <c r="T10" s="56"/>
      <c r="U10" s="22"/>
    </row>
    <row r="11" spans="1:22" ht="15" customHeight="1" x14ac:dyDescent="0.35">
      <c r="A11" s="49"/>
      <c r="B11" s="49"/>
      <c r="C11" s="49"/>
      <c r="D11" s="49"/>
      <c r="E11" s="49"/>
      <c r="F11" s="49"/>
      <c r="G11" s="49"/>
      <c r="H11" s="49"/>
      <c r="I11" s="49"/>
      <c r="J11" s="49"/>
      <c r="K11" s="49"/>
      <c r="L11" s="49"/>
      <c r="M11" s="49"/>
      <c r="N11" s="49"/>
      <c r="O11" s="49"/>
      <c r="P11" s="49"/>
      <c r="Q11" s="49"/>
      <c r="R11" s="49"/>
      <c r="S11" s="49"/>
      <c r="T11" s="56"/>
      <c r="U11" s="22"/>
    </row>
    <row r="12" spans="1:22" ht="15" customHeight="1" x14ac:dyDescent="0.35">
      <c r="A12" s="49"/>
      <c r="B12" s="49"/>
      <c r="C12" s="49"/>
      <c r="D12" s="49"/>
      <c r="E12" s="49"/>
      <c r="F12" s="49"/>
      <c r="G12" s="49"/>
      <c r="H12" s="49"/>
      <c r="I12" s="49"/>
      <c r="J12" s="49"/>
      <c r="K12" s="49"/>
      <c r="L12" s="49"/>
      <c r="M12" s="49"/>
      <c r="N12" s="49"/>
      <c r="O12" s="49"/>
      <c r="P12" s="49"/>
      <c r="Q12" s="49"/>
      <c r="R12" s="49"/>
      <c r="S12" s="49"/>
      <c r="T12" s="56"/>
      <c r="U12" s="22"/>
    </row>
    <row r="13" spans="1:22" ht="15" customHeight="1" x14ac:dyDescent="0.35">
      <c r="A13" s="49"/>
      <c r="B13" s="49"/>
      <c r="C13" s="49"/>
      <c r="D13" s="49"/>
      <c r="E13" s="49"/>
      <c r="F13" s="49"/>
      <c r="G13" s="49"/>
      <c r="H13" s="49"/>
      <c r="I13" s="49"/>
      <c r="J13" s="49"/>
      <c r="K13" s="49"/>
      <c r="L13" s="49"/>
      <c r="M13" s="49"/>
      <c r="N13" s="49"/>
      <c r="O13" s="49"/>
      <c r="P13" s="49"/>
      <c r="Q13" s="49"/>
      <c r="R13" s="49"/>
      <c r="S13" s="49"/>
      <c r="T13" s="56"/>
      <c r="U13" s="22"/>
    </row>
    <row r="14" spans="1:22" ht="15" customHeight="1" x14ac:dyDescent="0.35">
      <c r="A14" s="49"/>
      <c r="B14" s="49"/>
      <c r="C14" s="49"/>
      <c r="D14" s="49"/>
      <c r="E14" s="49"/>
      <c r="F14" s="49"/>
      <c r="G14" s="49"/>
      <c r="H14" s="49"/>
      <c r="I14" s="49"/>
      <c r="J14" s="49"/>
      <c r="K14" s="49"/>
      <c r="L14" s="49"/>
      <c r="M14" s="49"/>
      <c r="N14" s="49"/>
      <c r="O14" s="49"/>
      <c r="P14" s="49"/>
      <c r="Q14" s="49"/>
      <c r="R14" s="49"/>
      <c r="S14" s="49"/>
      <c r="T14" s="56"/>
      <c r="U14" s="22"/>
    </row>
    <row r="15" spans="1:22" x14ac:dyDescent="0.35">
      <c r="A15" s="23"/>
      <c r="B15" s="23"/>
      <c r="C15" s="23"/>
      <c r="D15" s="23"/>
      <c r="E15" s="23"/>
      <c r="F15" s="23"/>
      <c r="G15" s="23"/>
      <c r="H15" s="23"/>
      <c r="I15" s="23"/>
      <c r="J15" s="23"/>
      <c r="K15" s="23"/>
      <c r="L15" s="23"/>
      <c r="M15" s="23"/>
      <c r="N15" s="23"/>
      <c r="O15" s="23"/>
      <c r="P15" s="23"/>
      <c r="Q15" s="23"/>
      <c r="R15" s="23"/>
      <c r="S15" s="23"/>
      <c r="U15" s="22"/>
    </row>
    <row r="16" spans="1:22" x14ac:dyDescent="0.35">
      <c r="A16" s="23"/>
      <c r="B16" s="23"/>
      <c r="C16" s="23"/>
      <c r="D16" s="23"/>
      <c r="E16" s="23"/>
      <c r="F16" s="23"/>
      <c r="G16" s="23"/>
      <c r="H16" s="23"/>
      <c r="I16" s="23"/>
      <c r="J16" s="23"/>
      <c r="K16" s="23"/>
      <c r="L16" s="23"/>
      <c r="M16" s="23"/>
      <c r="N16" s="23"/>
      <c r="O16" s="23"/>
      <c r="P16" s="23"/>
      <c r="Q16" s="23"/>
      <c r="R16" s="23"/>
      <c r="S16" s="23"/>
      <c r="U16" s="22"/>
    </row>
    <row r="17" spans="1:21" x14ac:dyDescent="0.35">
      <c r="A17" s="23"/>
      <c r="B17" s="23"/>
      <c r="C17" s="23"/>
      <c r="D17" s="23"/>
      <c r="E17" s="23"/>
      <c r="F17" s="23"/>
      <c r="G17" s="23"/>
      <c r="H17" s="23"/>
      <c r="I17" s="23"/>
      <c r="J17" s="23"/>
      <c r="K17" s="23"/>
      <c r="L17" s="23"/>
      <c r="M17" s="23"/>
      <c r="N17" s="23"/>
      <c r="O17" s="23"/>
      <c r="P17" s="23"/>
      <c r="Q17" s="23"/>
      <c r="R17" s="23"/>
      <c r="S17" s="23"/>
      <c r="U17" s="22"/>
    </row>
    <row r="18" spans="1:21" x14ac:dyDescent="0.35">
      <c r="A18" s="23"/>
      <c r="B18" s="23"/>
      <c r="C18" s="23"/>
      <c r="D18" s="23"/>
      <c r="E18" s="23"/>
      <c r="F18" s="23"/>
      <c r="G18" s="23"/>
      <c r="H18" s="23"/>
      <c r="I18" s="23"/>
      <c r="J18" s="23"/>
      <c r="K18" s="23"/>
      <c r="L18" s="23"/>
      <c r="M18" s="23"/>
      <c r="N18" s="23"/>
      <c r="O18" s="23"/>
      <c r="P18" s="23"/>
      <c r="Q18" s="23"/>
      <c r="R18" s="23"/>
      <c r="S18" s="23"/>
      <c r="U18" s="22"/>
    </row>
    <row r="19" spans="1:21" x14ac:dyDescent="0.35">
      <c r="A19" s="23"/>
      <c r="B19" s="23"/>
      <c r="C19" s="23"/>
      <c r="D19" s="23"/>
      <c r="E19" s="23"/>
      <c r="F19" s="23"/>
      <c r="G19" s="23"/>
      <c r="H19" s="23"/>
      <c r="I19" s="23"/>
      <c r="J19" s="23"/>
      <c r="K19" s="23"/>
      <c r="L19" s="23"/>
      <c r="M19" s="23"/>
      <c r="N19" s="23"/>
      <c r="O19" s="23"/>
      <c r="P19" s="23"/>
      <c r="Q19" s="23"/>
      <c r="R19" s="23"/>
      <c r="S19" s="23"/>
      <c r="U19" s="22"/>
    </row>
    <row r="20" spans="1:21" x14ac:dyDescent="0.35">
      <c r="A20" s="23"/>
      <c r="B20" s="23"/>
      <c r="C20" s="23"/>
      <c r="D20" s="23"/>
      <c r="E20" s="23"/>
      <c r="F20" s="23"/>
      <c r="G20" s="23"/>
      <c r="H20" s="23"/>
      <c r="I20" s="23"/>
      <c r="J20" s="23"/>
      <c r="K20" s="23"/>
      <c r="L20" s="23"/>
      <c r="M20" s="23"/>
      <c r="N20" s="23"/>
      <c r="O20" s="23"/>
      <c r="P20" s="23"/>
      <c r="Q20" s="23"/>
      <c r="R20" s="23"/>
      <c r="S20" s="23"/>
      <c r="U20" s="22"/>
    </row>
    <row r="21" spans="1:21" x14ac:dyDescent="0.35">
      <c r="A21" s="23"/>
      <c r="B21" s="23"/>
      <c r="C21" s="23"/>
      <c r="D21" s="23"/>
      <c r="E21" s="23"/>
      <c r="F21" s="23"/>
      <c r="G21" s="23"/>
      <c r="H21" s="23"/>
      <c r="I21" s="23"/>
      <c r="J21" s="23"/>
      <c r="K21" s="23"/>
      <c r="L21" s="23"/>
      <c r="M21" s="23"/>
      <c r="N21" s="23"/>
      <c r="O21" s="23"/>
      <c r="P21" s="23"/>
      <c r="Q21" s="23"/>
      <c r="R21" s="23"/>
      <c r="S21" s="23"/>
      <c r="U21" s="22"/>
    </row>
    <row r="22" spans="1:21" x14ac:dyDescent="0.35">
      <c r="A22" s="23"/>
      <c r="B22" s="23"/>
      <c r="C22" s="23"/>
      <c r="D22" s="23"/>
      <c r="E22" s="23"/>
      <c r="F22" s="23"/>
      <c r="G22" s="23"/>
      <c r="H22" s="23"/>
      <c r="I22" s="23"/>
      <c r="J22" s="23"/>
      <c r="K22" s="23"/>
      <c r="L22" s="23"/>
      <c r="M22" s="23"/>
      <c r="N22" s="23"/>
      <c r="O22" s="23"/>
      <c r="P22" s="23"/>
      <c r="Q22" s="23"/>
      <c r="R22" s="23"/>
      <c r="S22" s="23"/>
      <c r="U22" s="22"/>
    </row>
    <row r="23" spans="1:21" x14ac:dyDescent="0.35">
      <c r="A23" s="23"/>
      <c r="B23" s="23"/>
      <c r="C23" s="23"/>
      <c r="D23" s="23"/>
      <c r="E23" s="23"/>
      <c r="F23" s="23"/>
      <c r="G23" s="23"/>
      <c r="H23" s="23"/>
      <c r="I23" s="23"/>
      <c r="J23" s="23"/>
      <c r="K23" s="23"/>
      <c r="L23" s="23"/>
      <c r="M23" s="23"/>
      <c r="N23" s="23"/>
      <c r="O23" s="23"/>
      <c r="P23" s="23"/>
      <c r="Q23" s="23"/>
      <c r="R23" s="23"/>
      <c r="S23" s="23"/>
      <c r="U23" s="22"/>
    </row>
    <row r="24" spans="1:21" x14ac:dyDescent="0.35">
      <c r="A24" s="23"/>
      <c r="B24" s="23"/>
      <c r="C24" s="23"/>
      <c r="D24" s="23"/>
      <c r="E24" s="23"/>
      <c r="F24" s="23"/>
      <c r="G24" s="23"/>
      <c r="H24" s="23"/>
      <c r="I24" s="23"/>
      <c r="J24" s="23"/>
      <c r="K24" s="23"/>
      <c r="L24" s="23"/>
      <c r="M24" s="23"/>
      <c r="N24" s="23"/>
      <c r="O24" s="23"/>
      <c r="P24" s="23"/>
      <c r="Q24" s="23"/>
      <c r="R24" s="23"/>
      <c r="S24" s="23"/>
      <c r="U24" s="22"/>
    </row>
    <row r="25" spans="1:21" x14ac:dyDescent="0.35">
      <c r="A25" s="23"/>
      <c r="B25" s="23"/>
      <c r="C25" s="23"/>
      <c r="D25" s="23"/>
      <c r="E25" s="23"/>
      <c r="F25" s="23"/>
      <c r="G25" s="23"/>
      <c r="H25" s="23"/>
      <c r="I25" s="23"/>
      <c r="J25" s="23"/>
      <c r="K25" s="23"/>
      <c r="L25" s="23"/>
      <c r="M25" s="23"/>
      <c r="N25" s="23"/>
      <c r="O25" s="23"/>
      <c r="P25" s="23"/>
      <c r="Q25" s="23"/>
      <c r="R25" s="23"/>
      <c r="S25" s="23"/>
      <c r="U25" s="22"/>
    </row>
    <row r="26" spans="1:21" x14ac:dyDescent="0.35">
      <c r="A26" s="23"/>
      <c r="B26" s="23"/>
      <c r="C26" s="23"/>
      <c r="D26" s="23"/>
      <c r="E26" s="23"/>
      <c r="F26" s="23"/>
      <c r="G26" s="23"/>
      <c r="H26" s="23"/>
      <c r="I26" s="23"/>
      <c r="J26" s="23"/>
      <c r="K26" s="23"/>
      <c r="L26" s="23"/>
      <c r="M26" s="23"/>
      <c r="N26" s="23"/>
      <c r="O26" s="23"/>
      <c r="P26" s="23"/>
      <c r="Q26" s="23"/>
      <c r="R26" s="23"/>
      <c r="S26" s="23"/>
      <c r="U26" s="22"/>
    </row>
    <row r="27" spans="1:21" x14ac:dyDescent="0.35">
      <c r="A27" s="23"/>
      <c r="B27" s="23"/>
      <c r="C27" s="23"/>
      <c r="D27" s="23"/>
      <c r="E27" s="23"/>
      <c r="F27" s="23"/>
      <c r="G27" s="23"/>
      <c r="H27" s="23"/>
      <c r="I27" s="23"/>
      <c r="J27" s="23"/>
      <c r="K27" s="23"/>
      <c r="L27" s="23"/>
      <c r="M27" s="23"/>
      <c r="N27" s="23"/>
      <c r="O27" s="23"/>
      <c r="P27" s="23"/>
      <c r="Q27" s="23"/>
      <c r="R27" s="23"/>
      <c r="S27" s="23"/>
      <c r="U27" s="22"/>
    </row>
    <row r="28" spans="1:21" x14ac:dyDescent="0.35">
      <c r="A28" s="23"/>
      <c r="B28" s="23"/>
      <c r="C28" s="23"/>
      <c r="D28" s="23"/>
      <c r="E28" s="23"/>
      <c r="F28" s="23"/>
      <c r="G28" s="23"/>
      <c r="H28" s="23"/>
      <c r="I28" s="23"/>
      <c r="J28" s="23"/>
      <c r="K28" s="23"/>
      <c r="L28" s="23"/>
      <c r="M28" s="23"/>
      <c r="N28" s="23"/>
      <c r="O28" s="23"/>
      <c r="P28" s="23"/>
      <c r="Q28" s="23"/>
      <c r="R28" s="23"/>
      <c r="S28" s="23"/>
      <c r="U28" s="22"/>
    </row>
    <row r="29" spans="1:21" x14ac:dyDescent="0.35">
      <c r="A29" s="23"/>
      <c r="B29" s="23"/>
      <c r="C29" s="23"/>
      <c r="D29" s="23"/>
      <c r="E29" s="23"/>
      <c r="F29" s="23"/>
      <c r="G29" s="23"/>
      <c r="H29" s="23"/>
      <c r="I29" s="23"/>
      <c r="J29" s="23"/>
      <c r="K29" s="23"/>
      <c r="L29" s="23"/>
      <c r="M29" s="23"/>
      <c r="N29" s="23"/>
      <c r="O29" s="23"/>
      <c r="P29" s="23"/>
      <c r="Q29" s="23"/>
      <c r="R29" s="23"/>
      <c r="S29" s="23"/>
      <c r="U29" s="22"/>
    </row>
    <row r="30" spans="1:21" x14ac:dyDescent="0.35">
      <c r="A30" s="23"/>
      <c r="B30" s="23"/>
      <c r="C30" s="23"/>
      <c r="D30" s="23"/>
      <c r="E30" s="23"/>
      <c r="F30" s="23"/>
      <c r="G30" s="23"/>
      <c r="H30" s="23"/>
      <c r="I30" s="23"/>
      <c r="J30" s="23"/>
      <c r="K30" s="23"/>
      <c r="L30" s="23"/>
      <c r="M30" s="23"/>
      <c r="N30" s="23"/>
      <c r="O30" s="23"/>
      <c r="P30" s="23"/>
      <c r="Q30" s="23"/>
      <c r="R30" s="23"/>
      <c r="S30" s="23"/>
      <c r="U30" s="22"/>
    </row>
    <row r="31" spans="1:21" x14ac:dyDescent="0.35">
      <c r="A31" s="23"/>
      <c r="B31" s="23"/>
      <c r="C31" s="23"/>
      <c r="D31" s="23"/>
      <c r="E31" s="23"/>
      <c r="F31" s="23"/>
      <c r="G31" s="23"/>
      <c r="H31" s="23"/>
      <c r="I31" s="23"/>
      <c r="J31" s="23"/>
      <c r="K31" s="23"/>
      <c r="L31" s="23"/>
      <c r="M31" s="23"/>
      <c r="N31" s="23"/>
      <c r="O31" s="23"/>
      <c r="P31" s="23"/>
      <c r="Q31" s="23"/>
      <c r="R31" s="23"/>
      <c r="S31" s="23"/>
      <c r="U31" s="22"/>
    </row>
    <row r="32" spans="1:21" x14ac:dyDescent="0.35">
      <c r="A32" s="23"/>
      <c r="B32" s="23"/>
      <c r="C32" s="23"/>
      <c r="D32" s="23"/>
      <c r="E32" s="23"/>
      <c r="F32" s="23"/>
      <c r="G32" s="23"/>
      <c r="H32" s="23"/>
      <c r="I32" s="23"/>
      <c r="J32" s="23"/>
      <c r="K32" s="23"/>
      <c r="L32" s="23"/>
      <c r="M32" s="23"/>
      <c r="N32" s="23"/>
      <c r="O32" s="23"/>
      <c r="P32" s="23"/>
      <c r="Q32" s="23"/>
      <c r="R32" s="23"/>
      <c r="S32" s="23"/>
      <c r="U32" s="22"/>
    </row>
    <row r="33" spans="1:21" x14ac:dyDescent="0.35">
      <c r="A33" s="23"/>
      <c r="B33" s="23"/>
      <c r="C33" s="23"/>
      <c r="D33" s="23"/>
      <c r="E33" s="23"/>
      <c r="F33" s="23"/>
      <c r="G33" s="23"/>
      <c r="H33" s="23"/>
      <c r="I33" s="23"/>
      <c r="J33" s="23"/>
      <c r="K33" s="23"/>
      <c r="L33" s="23"/>
      <c r="M33" s="23"/>
      <c r="N33" s="23"/>
      <c r="O33" s="23"/>
      <c r="P33" s="23"/>
      <c r="Q33" s="23"/>
      <c r="R33" s="23"/>
      <c r="S33" s="23"/>
      <c r="U33" s="22"/>
    </row>
    <row r="34" spans="1:21" x14ac:dyDescent="0.35">
      <c r="A34" s="23"/>
      <c r="B34" s="23"/>
      <c r="C34" s="23"/>
      <c r="D34" s="23"/>
      <c r="E34" s="23"/>
      <c r="F34" s="23"/>
      <c r="G34" s="23"/>
      <c r="H34" s="23"/>
      <c r="I34" s="23"/>
      <c r="J34" s="23"/>
      <c r="K34" s="23"/>
      <c r="L34" s="23"/>
      <c r="M34" s="23"/>
      <c r="N34" s="23"/>
      <c r="O34" s="23"/>
      <c r="P34" s="23"/>
      <c r="Q34" s="23"/>
      <c r="R34" s="23"/>
      <c r="S34" s="23"/>
      <c r="U34" s="22"/>
    </row>
    <row r="35" spans="1:21" x14ac:dyDescent="0.35">
      <c r="A35" s="23"/>
      <c r="B35" s="23"/>
      <c r="C35" s="23"/>
      <c r="D35" s="23"/>
      <c r="E35" s="23"/>
      <c r="F35" s="23"/>
      <c r="G35" s="23"/>
      <c r="H35" s="23"/>
      <c r="I35" s="23"/>
      <c r="J35" s="23"/>
      <c r="K35" s="23"/>
      <c r="L35" s="23"/>
      <c r="M35" s="23"/>
      <c r="N35" s="23"/>
      <c r="O35" s="23"/>
      <c r="P35" s="23"/>
      <c r="Q35" s="23"/>
      <c r="R35" s="23"/>
      <c r="S35" s="23"/>
      <c r="U35" s="22"/>
    </row>
    <row r="36" spans="1:21" x14ac:dyDescent="0.35">
      <c r="A36" s="23"/>
      <c r="B36" s="23"/>
      <c r="C36" s="23"/>
      <c r="D36" s="23"/>
      <c r="E36" s="23"/>
      <c r="F36" s="23"/>
      <c r="G36" s="23"/>
      <c r="H36" s="23"/>
      <c r="I36" s="23"/>
      <c r="J36" s="23"/>
      <c r="K36" s="23"/>
      <c r="L36" s="23"/>
      <c r="M36" s="23"/>
      <c r="N36" s="23"/>
      <c r="O36" s="23"/>
      <c r="P36" s="23"/>
      <c r="Q36" s="23"/>
      <c r="R36" s="23"/>
      <c r="S36" s="23"/>
      <c r="U36" s="22"/>
    </row>
    <row r="37" spans="1:21" x14ac:dyDescent="0.35">
      <c r="A37" s="23"/>
      <c r="B37" s="23"/>
      <c r="C37" s="23"/>
      <c r="D37" s="23"/>
      <c r="E37" s="23"/>
      <c r="F37" s="23"/>
      <c r="G37" s="23"/>
      <c r="H37" s="23"/>
      <c r="I37" s="23"/>
      <c r="J37" s="23"/>
      <c r="K37" s="23"/>
      <c r="L37" s="23"/>
      <c r="M37" s="23"/>
      <c r="N37" s="23"/>
      <c r="O37" s="23"/>
      <c r="P37" s="23"/>
      <c r="Q37" s="23"/>
      <c r="R37" s="23"/>
      <c r="S37" s="23"/>
      <c r="U37" s="22"/>
    </row>
    <row r="38" spans="1:21" x14ac:dyDescent="0.35">
      <c r="A38" s="23"/>
      <c r="B38" s="23"/>
      <c r="C38" s="23"/>
      <c r="D38" s="23"/>
      <c r="E38" s="23"/>
      <c r="F38" s="23"/>
      <c r="G38" s="23"/>
      <c r="H38" s="23"/>
      <c r="I38" s="23"/>
      <c r="J38" s="23"/>
      <c r="K38" s="23"/>
      <c r="L38" s="23"/>
      <c r="M38" s="23"/>
      <c r="N38" s="23"/>
      <c r="O38" s="23"/>
      <c r="P38" s="23"/>
      <c r="Q38" s="23"/>
      <c r="R38" s="23"/>
      <c r="S38" s="23"/>
      <c r="U38" s="22"/>
    </row>
    <row r="39" spans="1:21" x14ac:dyDescent="0.35">
      <c r="A39" s="23"/>
      <c r="B39" s="23"/>
      <c r="C39" s="23"/>
      <c r="D39" s="23"/>
      <c r="E39" s="23"/>
      <c r="F39" s="23"/>
      <c r="G39" s="23"/>
      <c r="H39" s="23"/>
      <c r="I39" s="23"/>
      <c r="J39" s="23"/>
      <c r="K39" s="23"/>
      <c r="L39" s="23"/>
      <c r="M39" s="23"/>
      <c r="N39" s="23"/>
      <c r="O39" s="23"/>
      <c r="P39" s="23"/>
      <c r="Q39" s="23"/>
      <c r="R39" s="23"/>
      <c r="S39" s="23"/>
      <c r="U39" s="22"/>
    </row>
    <row r="40" spans="1:21" x14ac:dyDescent="0.35">
      <c r="A40" s="23"/>
      <c r="B40" s="23"/>
      <c r="C40" s="23"/>
      <c r="D40" s="23"/>
      <c r="E40" s="23"/>
      <c r="F40" s="23"/>
      <c r="G40" s="23"/>
      <c r="H40" s="23"/>
      <c r="I40" s="23"/>
      <c r="J40" s="23"/>
      <c r="K40" s="23"/>
      <c r="L40" s="23"/>
      <c r="M40" s="23"/>
      <c r="N40" s="23"/>
      <c r="O40" s="23"/>
      <c r="P40" s="23"/>
      <c r="Q40" s="23"/>
      <c r="R40" s="23"/>
      <c r="S40" s="23"/>
      <c r="U40" s="22"/>
    </row>
    <row r="41" spans="1:21" x14ac:dyDescent="0.35">
      <c r="A41" s="23"/>
      <c r="B41" s="23"/>
      <c r="C41" s="23"/>
      <c r="D41" s="23"/>
      <c r="E41" s="23"/>
      <c r="F41" s="23"/>
      <c r="G41" s="23"/>
      <c r="H41" s="23"/>
      <c r="I41" s="23"/>
      <c r="J41" s="23"/>
      <c r="K41" s="23"/>
      <c r="L41" s="23"/>
      <c r="M41" s="23"/>
      <c r="N41" s="23"/>
      <c r="O41" s="23"/>
      <c r="P41" s="23"/>
      <c r="Q41" s="23"/>
      <c r="R41" s="23"/>
      <c r="S41" s="23"/>
      <c r="U41" s="22"/>
    </row>
    <row r="42" spans="1:21" x14ac:dyDescent="0.35">
      <c r="A42" s="23"/>
      <c r="B42" s="23"/>
      <c r="C42" s="23"/>
      <c r="D42" s="23"/>
      <c r="E42" s="23"/>
      <c r="F42" s="23"/>
      <c r="G42" s="23"/>
      <c r="H42" s="23"/>
      <c r="I42" s="23"/>
      <c r="J42" s="23"/>
      <c r="K42" s="23"/>
      <c r="L42" s="23"/>
      <c r="M42" s="23"/>
      <c r="N42" s="23"/>
      <c r="O42" s="23"/>
      <c r="P42" s="23"/>
      <c r="Q42" s="23"/>
      <c r="R42" s="23"/>
      <c r="S42" s="23"/>
      <c r="U42" s="22"/>
    </row>
    <row r="43" spans="1:21" x14ac:dyDescent="0.35">
      <c r="A43" s="23"/>
      <c r="B43" s="23"/>
      <c r="C43" s="23"/>
      <c r="D43" s="23"/>
      <c r="E43" s="23"/>
      <c r="F43" s="23"/>
      <c r="G43" s="23"/>
      <c r="H43" s="23"/>
      <c r="I43" s="23"/>
      <c r="J43" s="23"/>
      <c r="K43" s="23"/>
      <c r="L43" s="23"/>
      <c r="M43" s="23"/>
      <c r="N43" s="23"/>
      <c r="O43" s="23"/>
      <c r="P43" s="23"/>
      <c r="Q43" s="23"/>
      <c r="R43" s="23"/>
      <c r="S43" s="23"/>
      <c r="U43" s="22"/>
    </row>
    <row r="44" spans="1:21" x14ac:dyDescent="0.35">
      <c r="A44" s="23"/>
      <c r="B44" s="23"/>
      <c r="C44" s="23"/>
      <c r="D44" s="23"/>
      <c r="E44" s="23"/>
      <c r="F44" s="23"/>
      <c r="G44" s="23"/>
      <c r="H44" s="23"/>
      <c r="I44" s="23"/>
      <c r="J44" s="23"/>
      <c r="K44" s="23"/>
      <c r="L44" s="23"/>
      <c r="M44" s="23"/>
      <c r="N44" s="23"/>
      <c r="O44" s="23"/>
      <c r="P44" s="23"/>
      <c r="Q44" s="23"/>
      <c r="R44" s="23"/>
      <c r="S44" s="23"/>
      <c r="U44" s="22"/>
    </row>
    <row r="45" spans="1:21" x14ac:dyDescent="0.35">
      <c r="A45" s="23"/>
      <c r="B45" s="23"/>
      <c r="C45" s="23"/>
      <c r="D45" s="23"/>
      <c r="E45" s="23"/>
      <c r="F45" s="23"/>
      <c r="G45" s="23"/>
      <c r="H45" s="23"/>
      <c r="I45" s="23"/>
      <c r="J45" s="23"/>
      <c r="K45" s="23"/>
      <c r="L45" s="23"/>
      <c r="M45" s="23"/>
      <c r="N45" s="23"/>
      <c r="O45" s="23"/>
      <c r="P45" s="23"/>
      <c r="Q45" s="23"/>
      <c r="R45" s="23"/>
      <c r="S45" s="23"/>
      <c r="U45" s="22"/>
    </row>
    <row r="46" spans="1:21" x14ac:dyDescent="0.35">
      <c r="A46" s="23"/>
      <c r="B46" s="23"/>
      <c r="C46" s="23"/>
      <c r="D46" s="23"/>
      <c r="E46" s="23"/>
      <c r="F46" s="23"/>
      <c r="G46" s="23"/>
      <c r="H46" s="23"/>
      <c r="I46" s="23"/>
      <c r="J46" s="23"/>
      <c r="K46" s="23"/>
      <c r="L46" s="23"/>
      <c r="M46" s="23"/>
      <c r="N46" s="23"/>
      <c r="O46" s="23"/>
      <c r="P46" s="23"/>
      <c r="Q46" s="23"/>
      <c r="R46" s="23"/>
      <c r="S46" s="23"/>
      <c r="U46" s="22"/>
    </row>
    <row r="47" spans="1:21" x14ac:dyDescent="0.35">
      <c r="A47" s="23"/>
      <c r="B47" s="23"/>
      <c r="C47" s="23"/>
      <c r="D47" s="23"/>
      <c r="E47" s="23"/>
      <c r="F47" s="23"/>
      <c r="G47" s="23"/>
      <c r="H47" s="23"/>
      <c r="I47" s="23"/>
      <c r="J47" s="23"/>
      <c r="K47" s="23"/>
      <c r="L47" s="23"/>
      <c r="M47" s="23"/>
      <c r="N47" s="23"/>
      <c r="O47" s="23"/>
      <c r="P47" s="23"/>
      <c r="Q47" s="23"/>
      <c r="R47" s="23"/>
      <c r="S47" s="23"/>
      <c r="U47" s="22"/>
    </row>
  </sheetData>
  <mergeCells count="1">
    <mergeCell ref="A1:S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44DF1-8509-4663-9A6F-8B5FCBE6A766}">
  <dimension ref="A1:AG285"/>
  <sheetViews>
    <sheetView showGridLines="0" workbookViewId="0">
      <selection activeCell="B3" sqref="B3:E8"/>
    </sheetView>
  </sheetViews>
  <sheetFormatPr defaultRowHeight="14.5" x14ac:dyDescent="0.35"/>
  <cols>
    <col min="1" max="1" width="0.453125" style="22" customWidth="1"/>
    <col min="2" max="2" width="11.54296875" style="22" bestFit="1" customWidth="1"/>
    <col min="3" max="3" width="18.90625" style="22" customWidth="1"/>
    <col min="4" max="4" width="16.54296875" style="22" bestFit="1" customWidth="1"/>
    <col min="5" max="5" width="24.08984375" style="22" customWidth="1"/>
    <col min="6" max="6" width="2.7265625" style="22" customWidth="1"/>
    <col min="7" max="7" width="26.453125" style="22" bestFit="1" customWidth="1"/>
    <col min="8" max="8" width="13.6328125" style="22" bestFit="1" customWidth="1"/>
    <col min="9" max="10" width="5.453125" style="22" bestFit="1" customWidth="1"/>
    <col min="11" max="11" width="3.81640625" style="22" bestFit="1" customWidth="1"/>
    <col min="12" max="12" width="3.7265625" style="22" customWidth="1"/>
    <col min="13" max="13" width="6.81640625" style="22" bestFit="1" customWidth="1"/>
    <col min="14" max="14" width="18.7265625" style="22" bestFit="1" customWidth="1"/>
    <col min="15" max="15" width="16.7265625" style="22" bestFit="1" customWidth="1"/>
    <col min="16" max="16" width="23.08984375" style="22" bestFit="1" customWidth="1"/>
    <col min="17" max="17" width="3.08984375" style="22" customWidth="1"/>
    <col min="18" max="18" width="15.1796875" style="22" bestFit="1" customWidth="1"/>
    <col min="19" max="19" width="18.7265625" style="22" bestFit="1" customWidth="1"/>
    <col min="20" max="20" width="16.26953125" style="22" bestFit="1" customWidth="1"/>
    <col min="21" max="21" width="2.7265625" style="22" customWidth="1"/>
    <col min="22" max="22" width="13.36328125" style="22" bestFit="1" customWidth="1"/>
    <col min="23" max="23" width="14.54296875" style="22" bestFit="1" customWidth="1"/>
    <col min="24" max="24" width="4.36328125" style="22" bestFit="1" customWidth="1"/>
    <col min="25" max="25" width="6.08984375" style="22" bestFit="1" customWidth="1"/>
    <col min="26" max="26" width="2.453125" style="22" customWidth="1"/>
    <col min="27" max="27" width="11.54296875" style="22" bestFit="1" customWidth="1"/>
    <col min="28" max="28" width="16" style="22" bestFit="1" customWidth="1"/>
    <col min="29" max="29" width="3.1796875" style="22" customWidth="1"/>
    <col min="30" max="30" width="10.54296875" style="22" bestFit="1" customWidth="1"/>
    <col min="31" max="31" width="28.36328125" style="22" bestFit="1" customWidth="1"/>
    <col min="32" max="32" width="24" style="22" bestFit="1" customWidth="1"/>
    <col min="33" max="16384" width="8.7265625" style="22"/>
  </cols>
  <sheetData>
    <row r="1" spans="1:33" ht="15" thickTop="1" x14ac:dyDescent="0.35">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30"/>
    </row>
    <row r="2" spans="1:33" x14ac:dyDescent="0.35">
      <c r="M2" s="24"/>
    </row>
    <row r="3" spans="1:33" x14ac:dyDescent="0.35">
      <c r="A3" s="32"/>
      <c r="B3" s="52" t="s">
        <v>1</v>
      </c>
      <c r="C3" t="s">
        <v>842</v>
      </c>
      <c r="D3" t="s">
        <v>843</v>
      </c>
      <c r="E3" t="s">
        <v>844</v>
      </c>
      <c r="G3" s="31" t="s">
        <v>858</v>
      </c>
      <c r="H3" s="31" t="s">
        <v>853</v>
      </c>
      <c r="I3" s="31"/>
      <c r="J3" s="31"/>
      <c r="K3" s="31"/>
      <c r="M3" s="32" t="s">
        <v>841</v>
      </c>
      <c r="N3" s="32" t="s">
        <v>842</v>
      </c>
      <c r="O3" s="32" t="s">
        <v>845</v>
      </c>
      <c r="P3" s="32" t="s">
        <v>844</v>
      </c>
      <c r="R3" s="32" t="s">
        <v>856</v>
      </c>
      <c r="S3" s="32" t="s">
        <v>842</v>
      </c>
      <c r="T3" s="32" t="s">
        <v>843</v>
      </c>
      <c r="V3" s="32" t="s">
        <v>854</v>
      </c>
      <c r="W3" s="32" t="s">
        <v>840</v>
      </c>
      <c r="X3" s="32"/>
      <c r="Y3" s="32"/>
      <c r="AA3" s="31" t="s">
        <v>1</v>
      </c>
      <c r="AB3" s="31" t="s">
        <v>857</v>
      </c>
      <c r="AD3" s="31" t="s">
        <v>5</v>
      </c>
      <c r="AE3" s="31" t="s">
        <v>891</v>
      </c>
      <c r="AF3" s="31" t="s">
        <v>890</v>
      </c>
    </row>
    <row r="4" spans="1:33" x14ac:dyDescent="0.35">
      <c r="B4" s="53" t="s">
        <v>809</v>
      </c>
      <c r="C4" s="54">
        <v>482597.74999999971</v>
      </c>
      <c r="D4" s="54">
        <v>143243.37999999998</v>
      </c>
      <c r="E4" s="15">
        <v>145870.60000000003</v>
      </c>
      <c r="G4" s="31" t="s">
        <v>1</v>
      </c>
      <c r="H4" s="31" t="s">
        <v>847</v>
      </c>
      <c r="I4" s="31" t="s">
        <v>848</v>
      </c>
      <c r="J4" s="31" t="s">
        <v>849</v>
      </c>
      <c r="K4" s="31" t="s">
        <v>850</v>
      </c>
      <c r="M4" s="37" t="s">
        <v>831</v>
      </c>
      <c r="N4" s="39">
        <v>883740.25000000023</v>
      </c>
      <c r="O4" s="38">
        <v>312998.3899999999</v>
      </c>
      <c r="P4" s="38">
        <v>240239.86999999997</v>
      </c>
      <c r="R4" s="37" t="s">
        <v>881</v>
      </c>
      <c r="S4" s="38">
        <v>50751.98</v>
      </c>
      <c r="T4" s="38">
        <v>9831.2099999999991</v>
      </c>
      <c r="V4" s="32" t="s">
        <v>855</v>
      </c>
      <c r="W4" s="32" t="s">
        <v>819</v>
      </c>
      <c r="X4" s="32" t="s">
        <v>821</v>
      </c>
      <c r="Y4" s="32" t="s">
        <v>820</v>
      </c>
      <c r="AA4" s="43" t="s">
        <v>810</v>
      </c>
      <c r="AB4" s="44">
        <v>287.25899280575538</v>
      </c>
      <c r="AC4" s="26"/>
      <c r="AD4" s="40" t="s">
        <v>815</v>
      </c>
      <c r="AE4" s="41">
        <v>99397.52</v>
      </c>
      <c r="AF4" s="41">
        <v>280889.17999999982</v>
      </c>
    </row>
    <row r="5" spans="1:33" x14ac:dyDescent="0.35">
      <c r="B5" s="53" t="s">
        <v>811</v>
      </c>
      <c r="C5" s="54">
        <v>416980.13999999978</v>
      </c>
      <c r="D5" s="54">
        <v>119856.74</v>
      </c>
      <c r="E5" s="15">
        <v>151717.55000000005</v>
      </c>
      <c r="G5" s="40" t="s">
        <v>809</v>
      </c>
      <c r="H5" s="41">
        <v>3</v>
      </c>
      <c r="I5" s="41">
        <v>5</v>
      </c>
      <c r="J5" s="41">
        <v>2</v>
      </c>
      <c r="K5" s="41">
        <v>115</v>
      </c>
      <c r="M5" s="37" t="s">
        <v>832</v>
      </c>
      <c r="N5" s="39">
        <v>807803.00000000023</v>
      </c>
      <c r="O5" s="38">
        <v>218500.03999999992</v>
      </c>
      <c r="P5" s="38">
        <v>301256.35000000003</v>
      </c>
      <c r="R5" s="37" t="s">
        <v>883</v>
      </c>
      <c r="S5" s="38">
        <v>70146.05</v>
      </c>
      <c r="T5" s="38">
        <v>23156.799999999996</v>
      </c>
      <c r="V5" s="37" t="s">
        <v>831</v>
      </c>
      <c r="W5" s="38">
        <v>93</v>
      </c>
      <c r="X5" s="38">
        <v>117</v>
      </c>
      <c r="Y5" s="38">
        <v>114</v>
      </c>
      <c r="AA5" s="45" t="s">
        <v>813</v>
      </c>
      <c r="AB5" s="46">
        <v>289.54777070063693</v>
      </c>
      <c r="AC5" s="26"/>
      <c r="AD5" s="40" t="s">
        <v>818</v>
      </c>
      <c r="AE5" s="41">
        <v>87917.81</v>
      </c>
      <c r="AF5" s="41">
        <v>340277.87999999995</v>
      </c>
    </row>
    <row r="6" spans="1:33" x14ac:dyDescent="0.35">
      <c r="B6" s="53" t="s">
        <v>812</v>
      </c>
      <c r="C6" s="54">
        <v>404254.30000000016</v>
      </c>
      <c r="D6" s="54">
        <v>137555.19999999998</v>
      </c>
      <c r="E6" s="15">
        <v>129187.87000000001</v>
      </c>
      <c r="G6" s="40" t="s">
        <v>812</v>
      </c>
      <c r="H6" s="41">
        <v>4</v>
      </c>
      <c r="I6" s="41">
        <v>5</v>
      </c>
      <c r="J6" s="41">
        <v>1</v>
      </c>
      <c r="K6" s="41">
        <v>100</v>
      </c>
      <c r="M6" s="37" t="s">
        <v>833</v>
      </c>
      <c r="N6" s="39">
        <v>373847.2799999998</v>
      </c>
      <c r="O6" s="38">
        <v>120688.80000000002</v>
      </c>
      <c r="P6" s="38">
        <v>128142.91999999997</v>
      </c>
      <c r="R6" s="37" t="s">
        <v>876</v>
      </c>
      <c r="S6" s="38">
        <v>95504.770000000019</v>
      </c>
      <c r="T6" s="38">
        <v>30014.770000000004</v>
      </c>
      <c r="V6" s="37" t="s">
        <v>832</v>
      </c>
      <c r="W6" s="38">
        <v>123</v>
      </c>
      <c r="X6" s="38">
        <v>94</v>
      </c>
      <c r="Y6" s="38">
        <v>108</v>
      </c>
      <c r="AA6" s="45" t="s">
        <v>812</v>
      </c>
      <c r="AB6" s="46">
        <v>301.28484848484851</v>
      </c>
      <c r="AC6" s="26"/>
      <c r="AD6" s="40" t="s">
        <v>814</v>
      </c>
      <c r="AE6" s="41">
        <v>129863.13000000002</v>
      </c>
      <c r="AF6" s="41">
        <v>401129.51999999996</v>
      </c>
    </row>
    <row r="7" spans="1:33" x14ac:dyDescent="0.35">
      <c r="B7" s="53" t="s">
        <v>813</v>
      </c>
      <c r="C7" s="54">
        <v>381739.68999999989</v>
      </c>
      <c r="D7" s="54">
        <v>116472.76999999996</v>
      </c>
      <c r="E7" s="15">
        <v>124440.23000000004</v>
      </c>
      <c r="G7" s="40" t="s">
        <v>811</v>
      </c>
      <c r="H7" s="41">
        <v>5</v>
      </c>
      <c r="I7" s="41"/>
      <c r="J7" s="41">
        <v>7</v>
      </c>
      <c r="K7" s="41">
        <v>98</v>
      </c>
      <c r="R7" s="37" t="s">
        <v>880</v>
      </c>
      <c r="S7" s="38">
        <v>38272.159999999996</v>
      </c>
      <c r="T7" s="38">
        <v>15663.530000000002</v>
      </c>
      <c r="V7" s="37" t="s">
        <v>833</v>
      </c>
      <c r="W7" s="38">
        <v>51</v>
      </c>
      <c r="X7" s="38">
        <v>46</v>
      </c>
      <c r="Y7" s="38">
        <v>54</v>
      </c>
      <c r="AA7" s="45" t="s">
        <v>809</v>
      </c>
      <c r="AB7" s="46">
        <v>309.13736263736263</v>
      </c>
      <c r="AC7" s="26"/>
      <c r="AD7" s="40" t="s">
        <v>817</v>
      </c>
      <c r="AE7" s="41">
        <v>142766.68999999997</v>
      </c>
      <c r="AF7" s="41">
        <v>429911.86000000016</v>
      </c>
    </row>
    <row r="8" spans="1:33" x14ac:dyDescent="0.35">
      <c r="B8" s="53" t="s">
        <v>810</v>
      </c>
      <c r="C8" s="54">
        <v>379818.64999999997</v>
      </c>
      <c r="D8" s="54">
        <v>135059.13999999998</v>
      </c>
      <c r="E8" s="15">
        <v>118422.88999999998</v>
      </c>
      <c r="G8" s="40" t="s">
        <v>813</v>
      </c>
      <c r="H8" s="41">
        <v>7</v>
      </c>
      <c r="I8" s="41">
        <v>3</v>
      </c>
      <c r="J8" s="41">
        <v>5</v>
      </c>
      <c r="K8" s="41">
        <v>93</v>
      </c>
      <c r="R8" s="33" t="s">
        <v>869</v>
      </c>
      <c r="S8" s="34">
        <v>90959.29</v>
      </c>
      <c r="T8" s="34">
        <v>30566.21</v>
      </c>
      <c r="V8"/>
      <c r="W8"/>
      <c r="X8"/>
      <c r="Y8"/>
      <c r="AA8" s="40" t="s">
        <v>811</v>
      </c>
      <c r="AB8" s="46">
        <v>325.86624203821657</v>
      </c>
      <c r="AC8" s="26"/>
      <c r="AD8" s="40" t="s">
        <v>816</v>
      </c>
      <c r="AE8" s="41">
        <v>209693.99000000002</v>
      </c>
      <c r="AF8" s="41">
        <v>613182.08999999985</v>
      </c>
    </row>
    <row r="9" spans="1:33" x14ac:dyDescent="0.35">
      <c r="B9" s="36"/>
      <c r="C9" s="36"/>
      <c r="D9" s="36"/>
      <c r="E9" s="36"/>
      <c r="G9" s="40" t="s">
        <v>810</v>
      </c>
      <c r="H9" s="41">
        <v>2</v>
      </c>
      <c r="I9" s="41">
        <v>3</v>
      </c>
      <c r="J9" s="41">
        <v>5</v>
      </c>
      <c r="K9" s="41">
        <v>78</v>
      </c>
      <c r="R9" s="33" t="s">
        <v>871</v>
      </c>
      <c r="S9" s="34">
        <v>80925.049999999988</v>
      </c>
      <c r="T9" s="34">
        <v>25616.77</v>
      </c>
      <c r="V9"/>
      <c r="W9"/>
      <c r="X9"/>
      <c r="Y9"/>
      <c r="AA9" s="40" t="s">
        <v>859</v>
      </c>
      <c r="AB9" s="41">
        <v>303.15499999999997</v>
      </c>
    </row>
    <row r="10" spans="1:33" x14ac:dyDescent="0.35">
      <c r="R10" s="33" t="s">
        <v>874</v>
      </c>
      <c r="S10" s="34">
        <v>75158.729999999981</v>
      </c>
      <c r="T10" s="34">
        <v>19646.23</v>
      </c>
      <c r="V10"/>
      <c r="W10"/>
      <c r="X10"/>
      <c r="Y10"/>
    </row>
    <row r="11" spans="1:33" x14ac:dyDescent="0.35">
      <c r="R11" s="33" t="s">
        <v>885</v>
      </c>
      <c r="S11" s="34">
        <v>77060.44</v>
      </c>
      <c r="T11" s="34">
        <v>34691.470000000008</v>
      </c>
      <c r="V11"/>
      <c r="W11"/>
      <c r="X11"/>
      <c r="Y11"/>
    </row>
    <row r="12" spans="1:33" x14ac:dyDescent="0.35">
      <c r="C12" s="35"/>
      <c r="R12" s="33" t="s">
        <v>875</v>
      </c>
      <c r="S12" s="34">
        <v>65525.110000000015</v>
      </c>
      <c r="T12" s="34">
        <v>28480.899999999998</v>
      </c>
      <c r="V12"/>
      <c r="W12"/>
      <c r="X12"/>
      <c r="Y12"/>
    </row>
    <row r="13" spans="1:33" x14ac:dyDescent="0.35">
      <c r="R13" s="33" t="s">
        <v>877</v>
      </c>
      <c r="S13" s="34">
        <v>57424.700000000004</v>
      </c>
      <c r="T13" s="34">
        <v>30990.590000000004</v>
      </c>
      <c r="V13"/>
      <c r="W13"/>
      <c r="X13"/>
      <c r="Y13"/>
    </row>
    <row r="14" spans="1:33" x14ac:dyDescent="0.35">
      <c r="R14" s="33" t="s">
        <v>870</v>
      </c>
      <c r="S14" s="34">
        <v>75046.399999999994</v>
      </c>
      <c r="T14" s="34">
        <v>40187.670000000013</v>
      </c>
      <c r="V14"/>
      <c r="W14"/>
      <c r="X14"/>
      <c r="Y14"/>
    </row>
    <row r="15" spans="1:33" x14ac:dyDescent="0.35">
      <c r="R15" s="33" t="s">
        <v>872</v>
      </c>
      <c r="S15" s="34">
        <v>106965.56999999999</v>
      </c>
      <c r="T15" s="34">
        <v>24152.240000000002</v>
      </c>
    </row>
    <row r="16" spans="1:33" x14ac:dyDescent="0.35">
      <c r="R16" s="33" t="s">
        <v>863</v>
      </c>
      <c r="S16" s="34">
        <v>72194.01999999999</v>
      </c>
      <c r="T16" s="34">
        <v>19268.36</v>
      </c>
    </row>
    <row r="17" spans="18:20" x14ac:dyDescent="0.35">
      <c r="R17" s="33" t="s">
        <v>862</v>
      </c>
      <c r="S17" s="34">
        <v>51605.53</v>
      </c>
      <c r="T17" s="34">
        <v>16902.189999999999</v>
      </c>
    </row>
    <row r="18" spans="18:20" x14ac:dyDescent="0.35">
      <c r="R18" s="33" t="s">
        <v>867</v>
      </c>
      <c r="S18" s="34">
        <v>57985.35</v>
      </c>
      <c r="T18" s="34">
        <v>23778.559999999998</v>
      </c>
    </row>
    <row r="19" spans="18:20" x14ac:dyDescent="0.35">
      <c r="R19" s="33" t="s">
        <v>886</v>
      </c>
      <c r="S19" s="34">
        <v>87390.349999999991</v>
      </c>
      <c r="T19" s="34">
        <v>15071.730000000001</v>
      </c>
    </row>
    <row r="20" spans="18:20" x14ac:dyDescent="0.35">
      <c r="R20" s="33" t="s">
        <v>861</v>
      </c>
      <c r="S20" s="34">
        <v>69819.44</v>
      </c>
      <c r="T20" s="34">
        <v>19885.370000000003</v>
      </c>
    </row>
    <row r="21" spans="18:20" x14ac:dyDescent="0.35">
      <c r="R21" s="33" t="s">
        <v>866</v>
      </c>
      <c r="S21" s="34">
        <v>94852.230000000025</v>
      </c>
      <c r="T21" s="34">
        <v>40788.829999999994</v>
      </c>
    </row>
    <row r="22" spans="18:20" x14ac:dyDescent="0.35">
      <c r="R22" s="33" t="s">
        <v>864</v>
      </c>
      <c r="S22" s="34">
        <v>67650.880000000005</v>
      </c>
      <c r="T22" s="34">
        <v>18691.14</v>
      </c>
    </row>
    <row r="23" spans="18:20" x14ac:dyDescent="0.35">
      <c r="R23" s="33" t="s">
        <v>889</v>
      </c>
      <c r="S23" s="34">
        <v>47140.22</v>
      </c>
      <c r="T23" s="34">
        <v>2878.58</v>
      </c>
    </row>
    <row r="24" spans="18:20" x14ac:dyDescent="0.35">
      <c r="R24" s="33" t="s">
        <v>865</v>
      </c>
      <c r="S24" s="34">
        <v>49178.639999999992</v>
      </c>
      <c r="T24" s="34">
        <v>11051.400000000003</v>
      </c>
    </row>
    <row r="25" spans="18:20" x14ac:dyDescent="0.35">
      <c r="R25" s="33" t="s">
        <v>868</v>
      </c>
      <c r="S25" s="34">
        <v>46251.85</v>
      </c>
      <c r="T25" s="34">
        <v>12184.35</v>
      </c>
    </row>
    <row r="26" spans="18:20" x14ac:dyDescent="0.35">
      <c r="R26" s="33" t="s">
        <v>878</v>
      </c>
      <c r="S26" s="34">
        <v>67696.97</v>
      </c>
      <c r="T26" s="34">
        <v>17264.289999999997</v>
      </c>
    </row>
    <row r="27" spans="18:20" x14ac:dyDescent="0.35">
      <c r="R27" s="33" t="s">
        <v>860</v>
      </c>
      <c r="S27" s="34">
        <v>96037.51999999999</v>
      </c>
      <c r="T27" s="34">
        <v>20735.239999999998</v>
      </c>
    </row>
    <row r="28" spans="18:20" x14ac:dyDescent="0.35">
      <c r="R28" s="33" t="s">
        <v>879</v>
      </c>
      <c r="S28" s="34">
        <v>55649.260000000009</v>
      </c>
      <c r="T28" s="34">
        <v>18544.080000000002</v>
      </c>
    </row>
    <row r="29" spans="18:20" x14ac:dyDescent="0.35">
      <c r="R29" s="33" t="s">
        <v>887</v>
      </c>
      <c r="S29" s="34">
        <v>69458.660000000018</v>
      </c>
      <c r="T29" s="34">
        <v>24439.55</v>
      </c>
    </row>
    <row r="30" spans="18:20" x14ac:dyDescent="0.35">
      <c r="R30" s="33" t="s">
        <v>873</v>
      </c>
      <c r="S30" s="34">
        <v>51298.68</v>
      </c>
      <c r="T30" s="34">
        <v>16235.37</v>
      </c>
    </row>
    <row r="31" spans="18:20" x14ac:dyDescent="0.35">
      <c r="R31" s="33" t="s">
        <v>888</v>
      </c>
      <c r="S31" s="34">
        <v>64222.299999999996</v>
      </c>
      <c r="T31" s="34">
        <v>18813.57</v>
      </c>
    </row>
    <row r="32" spans="18:20" x14ac:dyDescent="0.35">
      <c r="R32" s="33" t="s">
        <v>882</v>
      </c>
      <c r="S32" s="34">
        <v>66025.72</v>
      </c>
      <c r="T32" s="34">
        <v>22650.18</v>
      </c>
    </row>
    <row r="33" spans="1:20" x14ac:dyDescent="0.35">
      <c r="R33" s="33" t="s">
        <v>884</v>
      </c>
      <c r="S33" s="34">
        <v>67192.659999999989</v>
      </c>
      <c r="T33" s="34">
        <v>20006.049999999996</v>
      </c>
    </row>
    <row r="35" spans="1:20" x14ac:dyDescent="0.35">
      <c r="R35" s="32"/>
      <c r="S35" s="32"/>
      <c r="T35" s="32"/>
    </row>
    <row r="36" spans="1:20" x14ac:dyDescent="0.35">
      <c r="R36" s="32"/>
      <c r="S36" s="32"/>
      <c r="T36" s="32"/>
    </row>
    <row r="48" spans="1:20" x14ac:dyDescent="0.35">
      <c r="A48" s="23"/>
    </row>
    <row r="49" spans="1:1" x14ac:dyDescent="0.35">
      <c r="A49" s="23"/>
    </row>
    <row r="50" spans="1:1" x14ac:dyDescent="0.35">
      <c r="A50" s="23"/>
    </row>
    <row r="51" spans="1:1" x14ac:dyDescent="0.35">
      <c r="A51" s="23"/>
    </row>
    <row r="52" spans="1:1" x14ac:dyDescent="0.35">
      <c r="A52" s="23"/>
    </row>
    <row r="53" spans="1:1" x14ac:dyDescent="0.35">
      <c r="A53" s="23"/>
    </row>
    <row r="54" spans="1:1" x14ac:dyDescent="0.35">
      <c r="A54" s="23"/>
    </row>
    <row r="55" spans="1:1" x14ac:dyDescent="0.35">
      <c r="A55" s="23"/>
    </row>
    <row r="56" spans="1:1" x14ac:dyDescent="0.35">
      <c r="A56" s="23"/>
    </row>
    <row r="57" spans="1:1" x14ac:dyDescent="0.35">
      <c r="A57" s="23"/>
    </row>
    <row r="58" spans="1:1" x14ac:dyDescent="0.35">
      <c r="A58" s="23"/>
    </row>
    <row r="59" spans="1:1" x14ac:dyDescent="0.35">
      <c r="A59" s="23"/>
    </row>
    <row r="60" spans="1:1" x14ac:dyDescent="0.35">
      <c r="A60" s="23"/>
    </row>
    <row r="61" spans="1:1" x14ac:dyDescent="0.35">
      <c r="A61" s="23"/>
    </row>
    <row r="110" spans="30:31" x14ac:dyDescent="0.35">
      <c r="AD110"/>
      <c r="AE110"/>
    </row>
    <row r="111" spans="30:31" x14ac:dyDescent="0.35">
      <c r="AD111"/>
      <c r="AE111"/>
    </row>
    <row r="112" spans="30:31" x14ac:dyDescent="0.35">
      <c r="AD112"/>
      <c r="AE112"/>
    </row>
    <row r="113" spans="30:31" x14ac:dyDescent="0.35">
      <c r="AD113"/>
      <c r="AE113"/>
    </row>
    <row r="114" spans="30:31" x14ac:dyDescent="0.35">
      <c r="AD114"/>
      <c r="AE114"/>
    </row>
    <row r="115" spans="30:31" x14ac:dyDescent="0.35">
      <c r="AD115"/>
      <c r="AE115"/>
    </row>
    <row r="116" spans="30:31" x14ac:dyDescent="0.35">
      <c r="AD116"/>
      <c r="AE116"/>
    </row>
    <row r="117" spans="30:31" x14ac:dyDescent="0.35">
      <c r="AD117"/>
      <c r="AE117"/>
    </row>
    <row r="118" spans="30:31" x14ac:dyDescent="0.35">
      <c r="AD118"/>
      <c r="AE118"/>
    </row>
    <row r="119" spans="30:31" x14ac:dyDescent="0.35">
      <c r="AD119"/>
      <c r="AE119"/>
    </row>
    <row r="120" spans="30:31" x14ac:dyDescent="0.35">
      <c r="AD120"/>
      <c r="AE120"/>
    </row>
    <row r="121" spans="30:31" x14ac:dyDescent="0.35">
      <c r="AD121"/>
      <c r="AE121"/>
    </row>
    <row r="122" spans="30:31" x14ac:dyDescent="0.35">
      <c r="AD122"/>
      <c r="AE122"/>
    </row>
    <row r="123" spans="30:31" x14ac:dyDescent="0.35">
      <c r="AD123"/>
      <c r="AE123"/>
    </row>
    <row r="124" spans="30:31" x14ac:dyDescent="0.35">
      <c r="AD124"/>
      <c r="AE124"/>
    </row>
    <row r="125" spans="30:31" x14ac:dyDescent="0.35">
      <c r="AD125"/>
      <c r="AE125"/>
    </row>
    <row r="126" spans="30:31" x14ac:dyDescent="0.35">
      <c r="AD126"/>
      <c r="AE126"/>
    </row>
    <row r="127" spans="30:31" x14ac:dyDescent="0.35">
      <c r="AD127"/>
      <c r="AE127"/>
    </row>
    <row r="128" spans="30:31" x14ac:dyDescent="0.35">
      <c r="AD128"/>
      <c r="AE128"/>
    </row>
    <row r="129" spans="30:31" x14ac:dyDescent="0.35">
      <c r="AD129"/>
      <c r="AE129"/>
    </row>
    <row r="130" spans="30:31" x14ac:dyDescent="0.35">
      <c r="AD130"/>
      <c r="AE130"/>
    </row>
    <row r="131" spans="30:31" x14ac:dyDescent="0.35">
      <c r="AD131"/>
      <c r="AE131"/>
    </row>
    <row r="132" spans="30:31" x14ac:dyDescent="0.35">
      <c r="AD132"/>
      <c r="AE132"/>
    </row>
    <row r="133" spans="30:31" x14ac:dyDescent="0.35">
      <c r="AD133"/>
      <c r="AE133"/>
    </row>
    <row r="134" spans="30:31" x14ac:dyDescent="0.35">
      <c r="AD134"/>
      <c r="AE134"/>
    </row>
    <row r="135" spans="30:31" x14ac:dyDescent="0.35">
      <c r="AD135"/>
      <c r="AE135"/>
    </row>
    <row r="136" spans="30:31" x14ac:dyDescent="0.35">
      <c r="AD136"/>
      <c r="AE136"/>
    </row>
    <row r="137" spans="30:31" x14ac:dyDescent="0.35">
      <c r="AD137"/>
      <c r="AE137"/>
    </row>
    <row r="138" spans="30:31" x14ac:dyDescent="0.35">
      <c r="AD138"/>
      <c r="AE138"/>
    </row>
    <row r="139" spans="30:31" x14ac:dyDescent="0.35">
      <c r="AD139"/>
      <c r="AE139"/>
    </row>
    <row r="140" spans="30:31" x14ac:dyDescent="0.35">
      <c r="AD140"/>
      <c r="AE140"/>
    </row>
    <row r="141" spans="30:31" x14ac:dyDescent="0.35">
      <c r="AD141"/>
      <c r="AE141"/>
    </row>
    <row r="142" spans="30:31" x14ac:dyDescent="0.35">
      <c r="AD142"/>
      <c r="AE142"/>
    </row>
    <row r="143" spans="30:31" x14ac:dyDescent="0.35">
      <c r="AD143"/>
      <c r="AE143"/>
    </row>
    <row r="144" spans="30:31" x14ac:dyDescent="0.35">
      <c r="AD144"/>
      <c r="AE144"/>
    </row>
    <row r="145" spans="30:31" x14ac:dyDescent="0.35">
      <c r="AD145"/>
      <c r="AE145"/>
    </row>
    <row r="146" spans="30:31" x14ac:dyDescent="0.35">
      <c r="AD146"/>
      <c r="AE146"/>
    </row>
    <row r="147" spans="30:31" x14ac:dyDescent="0.35">
      <c r="AD147"/>
      <c r="AE147"/>
    </row>
    <row r="148" spans="30:31" x14ac:dyDescent="0.35">
      <c r="AD148"/>
      <c r="AE148"/>
    </row>
    <row r="149" spans="30:31" x14ac:dyDescent="0.35">
      <c r="AD149"/>
      <c r="AE149"/>
    </row>
    <row r="150" spans="30:31" x14ac:dyDescent="0.35">
      <c r="AD150"/>
      <c r="AE150"/>
    </row>
    <row r="151" spans="30:31" x14ac:dyDescent="0.35">
      <c r="AD151"/>
      <c r="AE151"/>
    </row>
    <row r="152" spans="30:31" x14ac:dyDescent="0.35">
      <c r="AD152"/>
      <c r="AE152"/>
    </row>
    <row r="153" spans="30:31" x14ac:dyDescent="0.35">
      <c r="AD153"/>
      <c r="AE153"/>
    </row>
    <row r="154" spans="30:31" x14ac:dyDescent="0.35">
      <c r="AD154"/>
      <c r="AE154"/>
    </row>
    <row r="155" spans="30:31" x14ac:dyDescent="0.35">
      <c r="AD155"/>
      <c r="AE155"/>
    </row>
    <row r="156" spans="30:31" x14ac:dyDescent="0.35">
      <c r="AD156"/>
      <c r="AE156"/>
    </row>
    <row r="157" spans="30:31" x14ac:dyDescent="0.35">
      <c r="AD157"/>
      <c r="AE157"/>
    </row>
    <row r="158" spans="30:31" x14ac:dyDescent="0.35">
      <c r="AD158"/>
      <c r="AE158"/>
    </row>
    <row r="159" spans="30:31" x14ac:dyDescent="0.35">
      <c r="AD159"/>
      <c r="AE159"/>
    </row>
    <row r="160" spans="30:31" x14ac:dyDescent="0.35">
      <c r="AD160"/>
      <c r="AE160"/>
    </row>
    <row r="161" spans="30:31" x14ac:dyDescent="0.35">
      <c r="AD161"/>
      <c r="AE161"/>
    </row>
    <row r="162" spans="30:31" x14ac:dyDescent="0.35">
      <c r="AD162"/>
      <c r="AE162"/>
    </row>
    <row r="163" spans="30:31" x14ac:dyDescent="0.35">
      <c r="AD163"/>
      <c r="AE163"/>
    </row>
    <row r="164" spans="30:31" x14ac:dyDescent="0.35">
      <c r="AD164"/>
      <c r="AE164"/>
    </row>
    <row r="165" spans="30:31" x14ac:dyDescent="0.35">
      <c r="AD165"/>
      <c r="AE165"/>
    </row>
    <row r="166" spans="30:31" x14ac:dyDescent="0.35">
      <c r="AD166"/>
      <c r="AE166"/>
    </row>
    <row r="167" spans="30:31" x14ac:dyDescent="0.35">
      <c r="AD167"/>
      <c r="AE167"/>
    </row>
    <row r="168" spans="30:31" x14ac:dyDescent="0.35">
      <c r="AD168"/>
      <c r="AE168"/>
    </row>
    <row r="169" spans="30:31" x14ac:dyDescent="0.35">
      <c r="AD169"/>
      <c r="AE169"/>
    </row>
    <row r="170" spans="30:31" x14ac:dyDescent="0.35">
      <c r="AD170"/>
      <c r="AE170"/>
    </row>
    <row r="171" spans="30:31" x14ac:dyDescent="0.35">
      <c r="AD171"/>
      <c r="AE171"/>
    </row>
    <row r="172" spans="30:31" x14ac:dyDescent="0.35">
      <c r="AD172"/>
      <c r="AE172"/>
    </row>
    <row r="173" spans="30:31" x14ac:dyDescent="0.35">
      <c r="AD173"/>
      <c r="AE173"/>
    </row>
    <row r="174" spans="30:31" x14ac:dyDescent="0.35">
      <c r="AD174"/>
      <c r="AE174"/>
    </row>
    <row r="175" spans="30:31" x14ac:dyDescent="0.35">
      <c r="AD175"/>
      <c r="AE175"/>
    </row>
    <row r="176" spans="30:31" x14ac:dyDescent="0.35">
      <c r="AD176"/>
      <c r="AE176"/>
    </row>
    <row r="177" spans="30:31" x14ac:dyDescent="0.35">
      <c r="AD177"/>
      <c r="AE177"/>
    </row>
    <row r="178" spans="30:31" x14ac:dyDescent="0.35">
      <c r="AD178"/>
      <c r="AE178"/>
    </row>
    <row r="179" spans="30:31" x14ac:dyDescent="0.35">
      <c r="AD179"/>
      <c r="AE179"/>
    </row>
    <row r="180" spans="30:31" x14ac:dyDescent="0.35">
      <c r="AD180"/>
      <c r="AE180"/>
    </row>
    <row r="181" spans="30:31" x14ac:dyDescent="0.35">
      <c r="AD181"/>
      <c r="AE181"/>
    </row>
    <row r="182" spans="30:31" x14ac:dyDescent="0.35">
      <c r="AD182"/>
      <c r="AE182"/>
    </row>
    <row r="183" spans="30:31" x14ac:dyDescent="0.35">
      <c r="AD183"/>
      <c r="AE183"/>
    </row>
    <row r="184" spans="30:31" x14ac:dyDescent="0.35">
      <c r="AD184"/>
      <c r="AE184"/>
    </row>
    <row r="185" spans="30:31" x14ac:dyDescent="0.35">
      <c r="AD185"/>
      <c r="AE185"/>
    </row>
    <row r="186" spans="30:31" x14ac:dyDescent="0.35">
      <c r="AD186"/>
      <c r="AE186"/>
    </row>
    <row r="187" spans="30:31" x14ac:dyDescent="0.35">
      <c r="AD187"/>
      <c r="AE187"/>
    </row>
    <row r="188" spans="30:31" x14ac:dyDescent="0.35">
      <c r="AD188"/>
      <c r="AE188"/>
    </row>
    <row r="189" spans="30:31" x14ac:dyDescent="0.35">
      <c r="AD189"/>
      <c r="AE189"/>
    </row>
    <row r="190" spans="30:31" x14ac:dyDescent="0.35">
      <c r="AD190"/>
      <c r="AE190"/>
    </row>
    <row r="191" spans="30:31" x14ac:dyDescent="0.35">
      <c r="AD191"/>
      <c r="AE191"/>
    </row>
    <row r="192" spans="30:31" x14ac:dyDescent="0.35">
      <c r="AD192"/>
      <c r="AE192"/>
    </row>
    <row r="193" spans="30:31" x14ac:dyDescent="0.35">
      <c r="AD193"/>
      <c r="AE193"/>
    </row>
    <row r="194" spans="30:31" x14ac:dyDescent="0.35">
      <c r="AD194"/>
      <c r="AE194"/>
    </row>
    <row r="195" spans="30:31" x14ac:dyDescent="0.35">
      <c r="AD195"/>
      <c r="AE195"/>
    </row>
    <row r="196" spans="30:31" x14ac:dyDescent="0.35">
      <c r="AD196"/>
      <c r="AE196"/>
    </row>
    <row r="197" spans="30:31" x14ac:dyDescent="0.35">
      <c r="AD197"/>
      <c r="AE197"/>
    </row>
    <row r="198" spans="30:31" x14ac:dyDescent="0.35">
      <c r="AD198"/>
      <c r="AE198"/>
    </row>
    <row r="199" spans="30:31" x14ac:dyDescent="0.35">
      <c r="AD199"/>
      <c r="AE199"/>
    </row>
    <row r="200" spans="30:31" x14ac:dyDescent="0.35">
      <c r="AD200"/>
      <c r="AE200"/>
    </row>
    <row r="201" spans="30:31" x14ac:dyDescent="0.35">
      <c r="AD201"/>
      <c r="AE201"/>
    </row>
    <row r="202" spans="30:31" x14ac:dyDescent="0.35">
      <c r="AD202"/>
      <c r="AE202"/>
    </row>
    <row r="203" spans="30:31" x14ac:dyDescent="0.35">
      <c r="AD203"/>
      <c r="AE203"/>
    </row>
    <row r="204" spans="30:31" x14ac:dyDescent="0.35">
      <c r="AD204"/>
      <c r="AE204"/>
    </row>
    <row r="205" spans="30:31" x14ac:dyDescent="0.35">
      <c r="AD205"/>
      <c r="AE205"/>
    </row>
    <row r="206" spans="30:31" x14ac:dyDescent="0.35">
      <c r="AD206"/>
      <c r="AE206"/>
    </row>
    <row r="207" spans="30:31" x14ac:dyDescent="0.35">
      <c r="AD207"/>
      <c r="AE207"/>
    </row>
    <row r="208" spans="30:31" x14ac:dyDescent="0.35">
      <c r="AD208"/>
      <c r="AE208"/>
    </row>
    <row r="209" spans="30:31" x14ac:dyDescent="0.35">
      <c r="AD209"/>
      <c r="AE209"/>
    </row>
    <row r="210" spans="30:31" x14ac:dyDescent="0.35">
      <c r="AD210"/>
      <c r="AE210"/>
    </row>
    <row r="211" spans="30:31" x14ac:dyDescent="0.35">
      <c r="AD211"/>
      <c r="AE211"/>
    </row>
    <row r="212" spans="30:31" x14ac:dyDescent="0.35">
      <c r="AD212"/>
      <c r="AE212"/>
    </row>
    <row r="213" spans="30:31" x14ac:dyDescent="0.35">
      <c r="AD213"/>
      <c r="AE213"/>
    </row>
    <row r="214" spans="30:31" x14ac:dyDescent="0.35">
      <c r="AD214"/>
      <c r="AE214"/>
    </row>
    <row r="215" spans="30:31" x14ac:dyDescent="0.35">
      <c r="AD215"/>
      <c r="AE215"/>
    </row>
    <row r="216" spans="30:31" x14ac:dyDescent="0.35">
      <c r="AD216"/>
      <c r="AE216"/>
    </row>
    <row r="217" spans="30:31" x14ac:dyDescent="0.35">
      <c r="AD217"/>
      <c r="AE217"/>
    </row>
    <row r="218" spans="30:31" x14ac:dyDescent="0.35">
      <c r="AD218"/>
      <c r="AE218"/>
    </row>
    <row r="219" spans="30:31" x14ac:dyDescent="0.35">
      <c r="AD219"/>
      <c r="AE219"/>
    </row>
    <row r="220" spans="30:31" x14ac:dyDescent="0.35">
      <c r="AD220"/>
      <c r="AE220"/>
    </row>
    <row r="221" spans="30:31" x14ac:dyDescent="0.35">
      <c r="AD221"/>
      <c r="AE221"/>
    </row>
    <row r="222" spans="30:31" x14ac:dyDescent="0.35">
      <c r="AD222"/>
      <c r="AE222"/>
    </row>
    <row r="223" spans="30:31" x14ac:dyDescent="0.35">
      <c r="AD223"/>
      <c r="AE223"/>
    </row>
    <row r="224" spans="30:31" x14ac:dyDescent="0.35">
      <c r="AD224"/>
      <c r="AE224"/>
    </row>
    <row r="225" spans="30:31" x14ac:dyDescent="0.35">
      <c r="AD225"/>
      <c r="AE225"/>
    </row>
    <row r="226" spans="30:31" x14ac:dyDescent="0.35">
      <c r="AD226"/>
      <c r="AE226"/>
    </row>
    <row r="227" spans="30:31" x14ac:dyDescent="0.35">
      <c r="AD227"/>
      <c r="AE227"/>
    </row>
    <row r="228" spans="30:31" x14ac:dyDescent="0.35">
      <c r="AD228"/>
      <c r="AE228"/>
    </row>
    <row r="229" spans="30:31" x14ac:dyDescent="0.35">
      <c r="AD229"/>
      <c r="AE229"/>
    </row>
    <row r="230" spans="30:31" x14ac:dyDescent="0.35">
      <c r="AD230"/>
      <c r="AE230"/>
    </row>
    <row r="231" spans="30:31" x14ac:dyDescent="0.35">
      <c r="AD231"/>
      <c r="AE231"/>
    </row>
    <row r="232" spans="30:31" x14ac:dyDescent="0.35">
      <c r="AD232"/>
      <c r="AE232"/>
    </row>
    <row r="233" spans="30:31" x14ac:dyDescent="0.35">
      <c r="AD233"/>
      <c r="AE233"/>
    </row>
    <row r="234" spans="30:31" x14ac:dyDescent="0.35">
      <c r="AD234"/>
      <c r="AE234"/>
    </row>
    <row r="235" spans="30:31" x14ac:dyDescent="0.35">
      <c r="AD235"/>
      <c r="AE235"/>
    </row>
    <row r="236" spans="30:31" x14ac:dyDescent="0.35">
      <c r="AD236"/>
      <c r="AE236"/>
    </row>
    <row r="237" spans="30:31" x14ac:dyDescent="0.35">
      <c r="AD237"/>
      <c r="AE237"/>
    </row>
    <row r="238" spans="30:31" x14ac:dyDescent="0.35">
      <c r="AD238"/>
      <c r="AE238"/>
    </row>
    <row r="239" spans="30:31" x14ac:dyDescent="0.35">
      <c r="AD239"/>
      <c r="AE239"/>
    </row>
    <row r="240" spans="30:31" x14ac:dyDescent="0.35">
      <c r="AD240"/>
      <c r="AE240"/>
    </row>
    <row r="241" spans="30:31" x14ac:dyDescent="0.35">
      <c r="AD241"/>
      <c r="AE241"/>
    </row>
    <row r="242" spans="30:31" x14ac:dyDescent="0.35">
      <c r="AD242"/>
      <c r="AE242"/>
    </row>
    <row r="243" spans="30:31" x14ac:dyDescent="0.35">
      <c r="AD243"/>
      <c r="AE243"/>
    </row>
    <row r="244" spans="30:31" x14ac:dyDescent="0.35">
      <c r="AD244"/>
      <c r="AE244"/>
    </row>
    <row r="245" spans="30:31" x14ac:dyDescent="0.35">
      <c r="AD245"/>
      <c r="AE245"/>
    </row>
    <row r="246" spans="30:31" x14ac:dyDescent="0.35">
      <c r="AD246"/>
      <c r="AE246"/>
    </row>
    <row r="247" spans="30:31" x14ac:dyDescent="0.35">
      <c r="AD247"/>
      <c r="AE247"/>
    </row>
    <row r="248" spans="30:31" x14ac:dyDescent="0.35">
      <c r="AD248"/>
      <c r="AE248"/>
    </row>
    <row r="249" spans="30:31" x14ac:dyDescent="0.35">
      <c r="AD249"/>
      <c r="AE249"/>
    </row>
    <row r="250" spans="30:31" x14ac:dyDescent="0.35">
      <c r="AD250"/>
      <c r="AE250"/>
    </row>
    <row r="251" spans="30:31" x14ac:dyDescent="0.35">
      <c r="AD251"/>
      <c r="AE251"/>
    </row>
    <row r="252" spans="30:31" x14ac:dyDescent="0.35">
      <c r="AD252"/>
      <c r="AE252"/>
    </row>
    <row r="253" spans="30:31" x14ac:dyDescent="0.35">
      <c r="AD253"/>
      <c r="AE253"/>
    </row>
    <row r="254" spans="30:31" x14ac:dyDescent="0.35">
      <c r="AD254"/>
      <c r="AE254"/>
    </row>
    <row r="255" spans="30:31" x14ac:dyDescent="0.35">
      <c r="AD255"/>
      <c r="AE255"/>
    </row>
    <row r="256" spans="30:31" x14ac:dyDescent="0.35">
      <c r="AD256"/>
      <c r="AE256"/>
    </row>
    <row r="257" spans="30:31" x14ac:dyDescent="0.35">
      <c r="AD257"/>
      <c r="AE257"/>
    </row>
    <row r="258" spans="30:31" x14ac:dyDescent="0.35">
      <c r="AD258"/>
      <c r="AE258"/>
    </row>
    <row r="259" spans="30:31" x14ac:dyDescent="0.35">
      <c r="AD259"/>
      <c r="AE259"/>
    </row>
    <row r="260" spans="30:31" x14ac:dyDescent="0.35">
      <c r="AD260"/>
      <c r="AE260"/>
    </row>
    <row r="261" spans="30:31" x14ac:dyDescent="0.35">
      <c r="AD261"/>
      <c r="AE261"/>
    </row>
    <row r="262" spans="30:31" x14ac:dyDescent="0.35">
      <c r="AD262"/>
      <c r="AE262"/>
    </row>
    <row r="263" spans="30:31" x14ac:dyDescent="0.35">
      <c r="AD263"/>
      <c r="AE263"/>
    </row>
    <row r="264" spans="30:31" x14ac:dyDescent="0.35">
      <c r="AD264"/>
      <c r="AE264"/>
    </row>
    <row r="265" spans="30:31" x14ac:dyDescent="0.35">
      <c r="AD265"/>
      <c r="AE265"/>
    </row>
    <row r="266" spans="30:31" x14ac:dyDescent="0.35">
      <c r="AD266"/>
      <c r="AE266"/>
    </row>
    <row r="267" spans="30:31" x14ac:dyDescent="0.35">
      <c r="AD267"/>
      <c r="AE267"/>
    </row>
    <row r="268" spans="30:31" x14ac:dyDescent="0.35">
      <c r="AD268"/>
      <c r="AE268"/>
    </row>
    <row r="269" spans="30:31" x14ac:dyDescent="0.35">
      <c r="AD269"/>
      <c r="AE269"/>
    </row>
    <row r="270" spans="30:31" x14ac:dyDescent="0.35">
      <c r="AD270"/>
      <c r="AE270"/>
    </row>
    <row r="271" spans="30:31" x14ac:dyDescent="0.35">
      <c r="AD271"/>
      <c r="AE271"/>
    </row>
    <row r="272" spans="30:31" x14ac:dyDescent="0.35">
      <c r="AD272"/>
      <c r="AE272"/>
    </row>
    <row r="273" spans="30:31" x14ac:dyDescent="0.35">
      <c r="AD273"/>
      <c r="AE273"/>
    </row>
    <row r="274" spans="30:31" x14ac:dyDescent="0.35">
      <c r="AD274"/>
      <c r="AE274"/>
    </row>
    <row r="275" spans="30:31" x14ac:dyDescent="0.35">
      <c r="AD275"/>
      <c r="AE275"/>
    </row>
    <row r="276" spans="30:31" x14ac:dyDescent="0.35">
      <c r="AD276"/>
      <c r="AE276"/>
    </row>
    <row r="277" spans="30:31" x14ac:dyDescent="0.35">
      <c r="AD277"/>
      <c r="AE277"/>
    </row>
    <row r="278" spans="30:31" x14ac:dyDescent="0.35">
      <c r="AD278"/>
      <c r="AE278"/>
    </row>
    <row r="279" spans="30:31" x14ac:dyDescent="0.35">
      <c r="AD279"/>
      <c r="AE279"/>
    </row>
    <row r="280" spans="30:31" x14ac:dyDescent="0.35">
      <c r="AD280"/>
      <c r="AE280"/>
    </row>
    <row r="281" spans="30:31" x14ac:dyDescent="0.35">
      <c r="AD281"/>
      <c r="AE281"/>
    </row>
    <row r="282" spans="30:31" x14ac:dyDescent="0.35">
      <c r="AD282"/>
      <c r="AE282"/>
    </row>
    <row r="283" spans="30:31" x14ac:dyDescent="0.35">
      <c r="AD283"/>
      <c r="AE283"/>
    </row>
    <row r="284" spans="30:31" x14ac:dyDescent="0.35">
      <c r="AD284"/>
      <c r="AE284"/>
    </row>
    <row r="285" spans="30:31" x14ac:dyDescent="0.35">
      <c r="AD285"/>
      <c r="AE285"/>
    </row>
  </sheetData>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389C1-326B-4A32-9334-052D34607336}">
  <dimension ref="A1:V801"/>
  <sheetViews>
    <sheetView topLeftCell="H1" zoomScaleNormal="100" workbookViewId="0">
      <selection activeCell="P2" sqref="P2"/>
    </sheetView>
  </sheetViews>
  <sheetFormatPr defaultRowHeight="14.5" x14ac:dyDescent="0.35"/>
  <cols>
    <col min="1" max="1" width="9.453125" bestFit="1" customWidth="1"/>
    <col min="2" max="2" width="19.453125" customWidth="1"/>
    <col min="3" max="3" width="19.54296875" style="9" customWidth="1"/>
    <col min="4" max="4" width="19.54296875" style="28" customWidth="1"/>
    <col min="5" max="6" width="16" style="9" customWidth="1"/>
    <col min="7" max="7" width="22.54296875" customWidth="1"/>
    <col min="8" max="8" width="16.08984375" customWidth="1"/>
    <col min="9" max="9" width="19.6328125" style="15" customWidth="1"/>
    <col min="10" max="10" width="29.90625" style="18" customWidth="1"/>
    <col min="11" max="11" width="15.26953125" style="9" customWidth="1"/>
    <col min="12" max="12" width="15.26953125" style="54" customWidth="1"/>
    <col min="13" max="13" width="15.26953125" style="9" customWidth="1"/>
    <col min="14" max="14" width="16.7265625" customWidth="1"/>
    <col min="15" max="15" width="19.453125" style="17" customWidth="1"/>
    <col min="16" max="16" width="18.7265625" style="25" customWidth="1"/>
    <col min="17" max="17" width="18.7265625" customWidth="1"/>
    <col min="18" max="20" width="17.54296875" customWidth="1"/>
    <col min="21" max="21" width="9.6328125" customWidth="1"/>
    <col min="22" max="22" width="12.90625" customWidth="1"/>
  </cols>
  <sheetData>
    <row r="1" spans="1:22" x14ac:dyDescent="0.35">
      <c r="A1" s="1" t="s">
        <v>0</v>
      </c>
      <c r="B1" s="1" t="s">
        <v>1</v>
      </c>
      <c r="C1" s="8" t="s">
        <v>2</v>
      </c>
      <c r="D1" s="27" t="s">
        <v>851</v>
      </c>
      <c r="E1" s="8" t="s">
        <v>3</v>
      </c>
      <c r="F1" s="1" t="s">
        <v>5</v>
      </c>
      <c r="G1" s="1" t="s">
        <v>835</v>
      </c>
      <c r="H1" s="1" t="s">
        <v>6</v>
      </c>
      <c r="I1" s="19" t="s">
        <v>839</v>
      </c>
      <c r="J1" s="19" t="s">
        <v>834</v>
      </c>
      <c r="K1" s="8" t="s">
        <v>7</v>
      </c>
      <c r="L1" s="57" t="s">
        <v>898</v>
      </c>
      <c r="M1" s="8" t="s">
        <v>852</v>
      </c>
      <c r="N1" s="1" t="s">
        <v>8</v>
      </c>
      <c r="O1" s="8" t="s">
        <v>838</v>
      </c>
      <c r="P1" s="47" t="s">
        <v>823</v>
      </c>
      <c r="Q1" s="5" t="s">
        <v>846</v>
      </c>
      <c r="R1" s="21" t="s">
        <v>837</v>
      </c>
      <c r="S1" s="20"/>
      <c r="T1" s="20"/>
    </row>
    <row r="2" spans="1:22" x14ac:dyDescent="0.35">
      <c r="A2" t="s">
        <v>9</v>
      </c>
      <c r="B2" t="s">
        <v>809</v>
      </c>
      <c r="C2" s="9">
        <v>45642</v>
      </c>
      <c r="D2" s="28" t="str">
        <f>TEXT(C2,"MMM YYYY")</f>
        <v>Dec 2024</v>
      </c>
      <c r="E2" s="9">
        <v>45672</v>
      </c>
      <c r="F2" t="s">
        <v>814</v>
      </c>
      <c r="G2">
        <v>400.84</v>
      </c>
      <c r="H2" t="s">
        <v>819</v>
      </c>
      <c r="I2" s="15">
        <f>IF(H2="Paid",G2,0)</f>
        <v>0</v>
      </c>
      <c r="J2" s="18">
        <f>IF(H2="Open",G2,IF(H2="Paid",0,K3/"A"))</f>
        <v>400.84</v>
      </c>
      <c r="L2" s="54" t="str">
        <f>IF(H2="Paid",K2-C2,"")</f>
        <v/>
      </c>
      <c r="M2" s="9" t="str">
        <f>IF(K2="","",TEXT(K2, "YYYY-MMM"))</f>
        <v/>
      </c>
      <c r="N2" t="s">
        <v>822</v>
      </c>
      <c r="O2" s="17">
        <f>MAX(MAX($C$2:$C$801), MAX($E$2:$E$801))</f>
        <v>45868</v>
      </c>
      <c r="P2" s="25">
        <f>IF(K2="", O2-E2,0)</f>
        <v>196</v>
      </c>
      <c r="Q2" t="str">
        <f>IF(H2="Paid","Paid",
   IF(P2&lt;=0,"Current",
      IF(P2&lt;=30,"1-30",
         IF(P2&lt;=60,"31-60",
            IF(P2&lt;=90,"61-90","90+")))))</f>
        <v>90+</v>
      </c>
      <c r="R2" t="str">
        <f>IF(P2=0, "Not Due","Due")</f>
        <v>Due</v>
      </c>
    </row>
    <row r="3" spans="1:22" x14ac:dyDescent="0.35">
      <c r="A3" t="s">
        <v>10</v>
      </c>
      <c r="B3" t="s">
        <v>809</v>
      </c>
      <c r="C3" s="9">
        <v>45430</v>
      </c>
      <c r="D3" s="28" t="str">
        <f t="shared" ref="D3:D66" si="0">TEXT(C3,"MMM YYYY")</f>
        <v>May 2024</v>
      </c>
      <c r="E3" s="9">
        <v>45460</v>
      </c>
      <c r="F3" t="s">
        <v>815</v>
      </c>
      <c r="G3">
        <v>2381.4299999999998</v>
      </c>
      <c r="H3" t="s">
        <v>820</v>
      </c>
      <c r="I3" s="15">
        <f t="shared" ref="I3:I66" si="1">IF(H3="Paid",G3,0)</f>
        <v>0</v>
      </c>
      <c r="J3" s="18" t="str">
        <f t="shared" ref="J3:J66" si="2">IF(H3="Open",G3,IF(H3="Paid",0,"N/A"))</f>
        <v>N/A</v>
      </c>
      <c r="L3" s="54" t="str">
        <f t="shared" ref="L3:L66" si="3">IF(H3="Paid",K3-C3,"")</f>
        <v/>
      </c>
      <c r="M3" s="9" t="str">
        <f t="shared" ref="M3:M66" si="4">IF(K3="","",TEXT(K3, "YYYY-MMM"))</f>
        <v/>
      </c>
      <c r="N3" t="s">
        <v>822</v>
      </c>
      <c r="O3" s="17">
        <f t="shared" ref="O3:O66" si="5">MAX(MAX($C$2:$C$801), MAX($E$2:$E$801))</f>
        <v>45868</v>
      </c>
      <c r="P3" s="25">
        <f t="shared" ref="P3:P66" si="6">IF(K3="", O3-E3,0)</f>
        <v>408</v>
      </c>
      <c r="Q3" t="str">
        <f t="shared" ref="Q3:Q66" si="7">IF(H3="Paid","Paid",
   IF(P3&lt;=0,"Current",
      IF(P3&lt;=30,"1-30",
         IF(P3&lt;=60,"31-60",
            IF(P3&lt;=90,"61-90","90+")))))</f>
        <v>90+</v>
      </c>
      <c r="R3" t="str">
        <f t="shared" ref="R3:R66" si="8">IF(P3=0, "Not Due","Due")</f>
        <v>Due</v>
      </c>
    </row>
    <row r="4" spans="1:22" x14ac:dyDescent="0.35">
      <c r="A4" t="s">
        <v>11</v>
      </c>
      <c r="B4" t="s">
        <v>810</v>
      </c>
      <c r="C4" s="9">
        <v>45347</v>
      </c>
      <c r="D4" s="28" t="str">
        <f t="shared" si="0"/>
        <v>Feb 2024</v>
      </c>
      <c r="E4" s="9">
        <v>45377</v>
      </c>
      <c r="F4" t="s">
        <v>816</v>
      </c>
      <c r="G4">
        <v>1390.64</v>
      </c>
      <c r="H4" t="s">
        <v>819</v>
      </c>
      <c r="I4" s="15">
        <f t="shared" si="1"/>
        <v>0</v>
      </c>
      <c r="J4" s="18">
        <f t="shared" si="2"/>
        <v>1390.64</v>
      </c>
      <c r="L4" s="54" t="str">
        <f t="shared" si="3"/>
        <v/>
      </c>
      <c r="M4" s="9" t="str">
        <f t="shared" si="4"/>
        <v/>
      </c>
      <c r="N4" t="s">
        <v>822</v>
      </c>
      <c r="O4" s="17">
        <f t="shared" si="5"/>
        <v>45868</v>
      </c>
      <c r="P4" s="25">
        <f t="shared" si="6"/>
        <v>491</v>
      </c>
      <c r="Q4" t="str">
        <f t="shared" si="7"/>
        <v>90+</v>
      </c>
      <c r="R4" t="str">
        <f t="shared" si="8"/>
        <v>Due</v>
      </c>
    </row>
    <row r="5" spans="1:22" x14ac:dyDescent="0.35">
      <c r="A5" t="s">
        <v>12</v>
      </c>
      <c r="B5" t="s">
        <v>811</v>
      </c>
      <c r="C5" s="9">
        <v>45299</v>
      </c>
      <c r="D5" s="28" t="str">
        <f t="shared" si="0"/>
        <v>Jan 2024</v>
      </c>
      <c r="E5" s="9">
        <v>45329</v>
      </c>
      <c r="F5" t="s">
        <v>817</v>
      </c>
      <c r="G5">
        <v>4433.05</v>
      </c>
      <c r="H5" t="s">
        <v>820</v>
      </c>
      <c r="I5" s="15">
        <f t="shared" si="1"/>
        <v>0</v>
      </c>
      <c r="J5" s="18" t="str">
        <f t="shared" si="2"/>
        <v>N/A</v>
      </c>
      <c r="L5" s="54" t="str">
        <f t="shared" si="3"/>
        <v/>
      </c>
      <c r="M5" s="9" t="str">
        <f t="shared" si="4"/>
        <v/>
      </c>
      <c r="N5" t="s">
        <v>822</v>
      </c>
      <c r="O5" s="17">
        <f t="shared" si="5"/>
        <v>45868</v>
      </c>
      <c r="P5" s="25">
        <f t="shared" si="6"/>
        <v>539</v>
      </c>
      <c r="Q5" t="str">
        <f t="shared" si="7"/>
        <v>90+</v>
      </c>
      <c r="R5" t="str">
        <f t="shared" si="8"/>
        <v>Due</v>
      </c>
    </row>
    <row r="6" spans="1:22" x14ac:dyDescent="0.35">
      <c r="A6" t="s">
        <v>13</v>
      </c>
      <c r="B6" t="s">
        <v>811</v>
      </c>
      <c r="C6" s="9">
        <v>45435</v>
      </c>
      <c r="D6" s="28" t="str">
        <f t="shared" si="0"/>
        <v>May 2024</v>
      </c>
      <c r="E6" s="9">
        <v>45465</v>
      </c>
      <c r="F6" t="s">
        <v>816</v>
      </c>
      <c r="G6">
        <v>5904.18</v>
      </c>
      <c r="H6" t="s">
        <v>820</v>
      </c>
      <c r="I6" s="15">
        <f t="shared" si="1"/>
        <v>0</v>
      </c>
      <c r="J6" s="18" t="str">
        <f t="shared" si="2"/>
        <v>N/A</v>
      </c>
      <c r="L6" s="54" t="str">
        <f t="shared" si="3"/>
        <v/>
      </c>
      <c r="M6" s="9" t="str">
        <f t="shared" si="4"/>
        <v/>
      </c>
      <c r="N6" t="s">
        <v>822</v>
      </c>
      <c r="O6" s="17">
        <f t="shared" si="5"/>
        <v>45868</v>
      </c>
      <c r="P6" s="25">
        <f t="shared" si="6"/>
        <v>403</v>
      </c>
      <c r="Q6" t="str">
        <f t="shared" si="7"/>
        <v>90+</v>
      </c>
      <c r="R6" t="str">
        <f t="shared" si="8"/>
        <v>Due</v>
      </c>
      <c r="U6" s="7" t="s">
        <v>824</v>
      </c>
      <c r="V6" s="7" t="s">
        <v>825</v>
      </c>
    </row>
    <row r="7" spans="1:22" x14ac:dyDescent="0.35">
      <c r="A7" t="s">
        <v>14</v>
      </c>
      <c r="B7" t="s">
        <v>810</v>
      </c>
      <c r="C7" s="9">
        <v>45482</v>
      </c>
      <c r="D7" s="28" t="str">
        <f t="shared" si="0"/>
        <v>Jul 2024</v>
      </c>
      <c r="E7" s="9">
        <v>45512</v>
      </c>
      <c r="F7" t="s">
        <v>818</v>
      </c>
      <c r="G7">
        <v>1150.93</v>
      </c>
      <c r="H7" t="s">
        <v>819</v>
      </c>
      <c r="I7" s="15">
        <f t="shared" si="1"/>
        <v>0</v>
      </c>
      <c r="J7" s="18">
        <f t="shared" si="2"/>
        <v>1150.93</v>
      </c>
      <c r="L7" s="54" t="str">
        <f t="shared" si="3"/>
        <v/>
      </c>
      <c r="M7" s="9" t="str">
        <f t="shared" si="4"/>
        <v/>
      </c>
      <c r="N7" t="s">
        <v>822</v>
      </c>
      <c r="O7" s="17">
        <f t="shared" si="5"/>
        <v>45868</v>
      </c>
      <c r="P7" s="25">
        <f t="shared" si="6"/>
        <v>356</v>
      </c>
      <c r="Q7" t="str">
        <f t="shared" si="7"/>
        <v>90+</v>
      </c>
      <c r="R7" t="str">
        <f t="shared" si="8"/>
        <v>Due</v>
      </c>
      <c r="U7" s="6" t="s">
        <v>826</v>
      </c>
      <c r="V7" s="6">
        <v>1.1599999999999999</v>
      </c>
    </row>
    <row r="8" spans="1:22" x14ac:dyDescent="0.35">
      <c r="A8" t="s">
        <v>15</v>
      </c>
      <c r="B8" t="s">
        <v>809</v>
      </c>
      <c r="C8" s="9">
        <v>45646</v>
      </c>
      <c r="D8" s="28" t="str">
        <f t="shared" si="0"/>
        <v>Dec 2024</v>
      </c>
      <c r="E8" s="9">
        <v>45676</v>
      </c>
      <c r="F8" t="s">
        <v>817</v>
      </c>
      <c r="G8">
        <v>894.13</v>
      </c>
      <c r="H8" t="s">
        <v>819</v>
      </c>
      <c r="I8" s="15">
        <f t="shared" si="1"/>
        <v>0</v>
      </c>
      <c r="J8" s="18">
        <f t="shared" si="2"/>
        <v>894.13</v>
      </c>
      <c r="L8" s="54" t="str">
        <f t="shared" si="3"/>
        <v/>
      </c>
      <c r="M8" s="9" t="str">
        <f t="shared" si="4"/>
        <v/>
      </c>
      <c r="N8" t="s">
        <v>822</v>
      </c>
      <c r="O8" s="17">
        <f t="shared" si="5"/>
        <v>45868</v>
      </c>
      <c r="P8" s="25">
        <f t="shared" si="6"/>
        <v>192</v>
      </c>
      <c r="Q8" t="str">
        <f t="shared" si="7"/>
        <v>90+</v>
      </c>
      <c r="R8" t="str">
        <f t="shared" si="8"/>
        <v>Due</v>
      </c>
      <c r="U8" s="6" t="s">
        <v>827</v>
      </c>
      <c r="V8" s="6">
        <v>0.72</v>
      </c>
    </row>
    <row r="9" spans="1:22" x14ac:dyDescent="0.35">
      <c r="A9" t="s">
        <v>16</v>
      </c>
      <c r="B9" t="s">
        <v>810</v>
      </c>
      <c r="C9" s="9">
        <v>45560</v>
      </c>
      <c r="D9" s="28" t="str">
        <f t="shared" si="0"/>
        <v>Sep 2024</v>
      </c>
      <c r="E9" s="9">
        <v>45590</v>
      </c>
      <c r="F9" t="s">
        <v>816</v>
      </c>
      <c r="G9">
        <v>1770.6</v>
      </c>
      <c r="H9" t="s">
        <v>821</v>
      </c>
      <c r="I9" s="15">
        <f t="shared" si="1"/>
        <v>1770.6</v>
      </c>
      <c r="J9" s="18">
        <f t="shared" si="2"/>
        <v>0</v>
      </c>
      <c r="K9" s="9">
        <v>45590</v>
      </c>
      <c r="L9" s="54">
        <f>IF(H9="Paid",K9-C9,"")</f>
        <v>30</v>
      </c>
      <c r="M9" s="9" t="str">
        <f t="shared" si="4"/>
        <v>2024-Oct</v>
      </c>
      <c r="N9" t="s">
        <v>822</v>
      </c>
      <c r="O9" s="17">
        <f t="shared" si="5"/>
        <v>45868</v>
      </c>
      <c r="P9" s="25">
        <f t="shared" si="6"/>
        <v>0</v>
      </c>
      <c r="Q9" t="str">
        <f t="shared" si="7"/>
        <v>Paid</v>
      </c>
      <c r="R9" t="str">
        <f t="shared" si="8"/>
        <v>Not Due</v>
      </c>
      <c r="U9" s="6" t="s">
        <v>828</v>
      </c>
      <c r="V9" s="6">
        <v>1.36</v>
      </c>
    </row>
    <row r="10" spans="1:22" x14ac:dyDescent="0.35">
      <c r="A10" t="s">
        <v>17</v>
      </c>
      <c r="B10" t="s">
        <v>811</v>
      </c>
      <c r="C10" s="9">
        <v>45334</v>
      </c>
      <c r="D10" s="28" t="str">
        <f t="shared" si="0"/>
        <v>Feb 2024</v>
      </c>
      <c r="E10" s="9">
        <v>45364</v>
      </c>
      <c r="F10" t="s">
        <v>815</v>
      </c>
      <c r="G10">
        <v>2513.86</v>
      </c>
      <c r="H10" t="s">
        <v>821</v>
      </c>
      <c r="I10" s="15">
        <f t="shared" si="1"/>
        <v>2513.86</v>
      </c>
      <c r="J10" s="18">
        <f t="shared" si="2"/>
        <v>0</v>
      </c>
      <c r="K10" s="9">
        <v>45364</v>
      </c>
      <c r="L10" s="54">
        <f t="shared" si="3"/>
        <v>30</v>
      </c>
      <c r="M10" s="9" t="str">
        <f t="shared" si="4"/>
        <v>2024-Mar</v>
      </c>
      <c r="N10" t="s">
        <v>822</v>
      </c>
      <c r="O10" s="17">
        <f t="shared" si="5"/>
        <v>45868</v>
      </c>
      <c r="P10" s="25">
        <f t="shared" si="6"/>
        <v>0</v>
      </c>
      <c r="Q10" t="str">
        <f t="shared" si="7"/>
        <v>Paid</v>
      </c>
      <c r="R10" t="str">
        <f t="shared" si="8"/>
        <v>Not Due</v>
      </c>
      <c r="U10" s="6" t="s">
        <v>829</v>
      </c>
      <c r="V10" s="6">
        <v>0.72</v>
      </c>
    </row>
    <row r="11" spans="1:22" x14ac:dyDescent="0.35">
      <c r="A11" t="s">
        <v>18</v>
      </c>
      <c r="B11" t="s">
        <v>811</v>
      </c>
      <c r="C11" s="9">
        <v>45470</v>
      </c>
      <c r="D11" s="28" t="str">
        <f t="shared" si="0"/>
        <v>Jun 2024</v>
      </c>
      <c r="E11" s="9">
        <v>45500</v>
      </c>
      <c r="F11" t="s">
        <v>817</v>
      </c>
      <c r="G11">
        <v>217.97</v>
      </c>
      <c r="H11" t="s">
        <v>819</v>
      </c>
      <c r="I11" s="15">
        <f t="shared" si="1"/>
        <v>0</v>
      </c>
      <c r="J11" s="18">
        <f t="shared" si="2"/>
        <v>217.97</v>
      </c>
      <c r="L11" s="54" t="str">
        <f t="shared" si="3"/>
        <v/>
      </c>
      <c r="M11" s="9" t="str">
        <f t="shared" si="4"/>
        <v/>
      </c>
      <c r="N11" t="s">
        <v>822</v>
      </c>
      <c r="O11" s="17">
        <f t="shared" si="5"/>
        <v>45868</v>
      </c>
      <c r="P11" s="25">
        <f t="shared" si="6"/>
        <v>368</v>
      </c>
      <c r="Q11" t="str">
        <f t="shared" si="7"/>
        <v>90+</v>
      </c>
      <c r="R11" t="str">
        <f t="shared" si="8"/>
        <v>Due</v>
      </c>
    </row>
    <row r="12" spans="1:22" x14ac:dyDescent="0.35">
      <c r="A12" t="s">
        <v>19</v>
      </c>
      <c r="B12" t="s">
        <v>809</v>
      </c>
      <c r="C12" s="9">
        <v>45360</v>
      </c>
      <c r="D12" s="28" t="str">
        <f t="shared" si="0"/>
        <v>Mar 2024</v>
      </c>
      <c r="E12" s="9">
        <v>45390</v>
      </c>
      <c r="F12" t="s">
        <v>814</v>
      </c>
      <c r="G12">
        <v>2106.48</v>
      </c>
      <c r="H12" t="s">
        <v>820</v>
      </c>
      <c r="I12" s="15">
        <f t="shared" si="1"/>
        <v>0</v>
      </c>
      <c r="J12" s="18" t="str">
        <f t="shared" si="2"/>
        <v>N/A</v>
      </c>
      <c r="L12" s="54" t="str">
        <f t="shared" si="3"/>
        <v/>
      </c>
      <c r="M12" s="9" t="str">
        <f t="shared" si="4"/>
        <v/>
      </c>
      <c r="N12" t="s">
        <v>822</v>
      </c>
      <c r="O12" s="17">
        <f t="shared" si="5"/>
        <v>45868</v>
      </c>
      <c r="P12" s="25">
        <f t="shared" si="6"/>
        <v>478</v>
      </c>
      <c r="Q12" t="str">
        <f t="shared" si="7"/>
        <v>90+</v>
      </c>
      <c r="R12" t="str">
        <f t="shared" si="8"/>
        <v>Due</v>
      </c>
    </row>
    <row r="13" spans="1:22" x14ac:dyDescent="0.35">
      <c r="A13" t="s">
        <v>20</v>
      </c>
      <c r="B13" t="s">
        <v>809</v>
      </c>
      <c r="C13" s="9">
        <v>45575</v>
      </c>
      <c r="D13" s="28" t="str">
        <f t="shared" si="0"/>
        <v>Oct 2024</v>
      </c>
      <c r="E13" s="9">
        <v>45605</v>
      </c>
      <c r="F13" t="s">
        <v>817</v>
      </c>
      <c r="G13">
        <v>884.1</v>
      </c>
      <c r="H13" t="s">
        <v>819</v>
      </c>
      <c r="I13" s="15">
        <f t="shared" si="1"/>
        <v>0</v>
      </c>
      <c r="J13" s="18">
        <f t="shared" si="2"/>
        <v>884.1</v>
      </c>
      <c r="L13" s="54" t="str">
        <f t="shared" si="3"/>
        <v/>
      </c>
      <c r="M13" s="9" t="str">
        <f t="shared" si="4"/>
        <v/>
      </c>
      <c r="N13" t="s">
        <v>822</v>
      </c>
      <c r="O13" s="17">
        <f t="shared" si="5"/>
        <v>45868</v>
      </c>
      <c r="P13" s="25">
        <f t="shared" si="6"/>
        <v>263</v>
      </c>
      <c r="Q13" t="str">
        <f t="shared" si="7"/>
        <v>90+</v>
      </c>
      <c r="R13" t="str">
        <f t="shared" si="8"/>
        <v>Due</v>
      </c>
    </row>
    <row r="14" spans="1:22" x14ac:dyDescent="0.35">
      <c r="A14" t="s">
        <v>21</v>
      </c>
      <c r="B14" t="s">
        <v>811</v>
      </c>
      <c r="C14" s="9">
        <v>45065</v>
      </c>
      <c r="D14" s="28" t="str">
        <f t="shared" si="0"/>
        <v>May 2023</v>
      </c>
      <c r="E14" s="9">
        <v>45095</v>
      </c>
      <c r="F14" t="s">
        <v>816</v>
      </c>
      <c r="G14">
        <v>2026.92</v>
      </c>
      <c r="H14" t="s">
        <v>819</v>
      </c>
      <c r="I14" s="15">
        <f t="shared" si="1"/>
        <v>0</v>
      </c>
      <c r="J14" s="18">
        <f t="shared" si="2"/>
        <v>2026.92</v>
      </c>
      <c r="L14" s="54" t="str">
        <f t="shared" si="3"/>
        <v/>
      </c>
      <c r="M14" s="9" t="str">
        <f t="shared" si="4"/>
        <v/>
      </c>
      <c r="N14" t="s">
        <v>822</v>
      </c>
      <c r="O14" s="17">
        <f t="shared" si="5"/>
        <v>45868</v>
      </c>
      <c r="P14" s="25">
        <f t="shared" si="6"/>
        <v>773</v>
      </c>
      <c r="Q14" t="str">
        <f t="shared" si="7"/>
        <v>90+</v>
      </c>
      <c r="R14" t="str">
        <f t="shared" si="8"/>
        <v>Due</v>
      </c>
    </row>
    <row r="15" spans="1:22" x14ac:dyDescent="0.35">
      <c r="A15" t="s">
        <v>22</v>
      </c>
      <c r="B15" t="s">
        <v>811</v>
      </c>
      <c r="C15" s="9">
        <v>45249</v>
      </c>
      <c r="D15" s="28" t="str">
        <f t="shared" si="0"/>
        <v>Nov 2023</v>
      </c>
      <c r="E15" s="9">
        <v>45279</v>
      </c>
      <c r="F15" t="s">
        <v>818</v>
      </c>
      <c r="G15">
        <v>3031.5</v>
      </c>
      <c r="H15" t="s">
        <v>821</v>
      </c>
      <c r="I15" s="15">
        <f t="shared" si="1"/>
        <v>3031.5</v>
      </c>
      <c r="J15" s="18">
        <f t="shared" si="2"/>
        <v>0</v>
      </c>
      <c r="K15" s="9">
        <v>45279</v>
      </c>
      <c r="L15" s="54">
        <f t="shared" si="3"/>
        <v>30</v>
      </c>
      <c r="M15" s="9" t="str">
        <f t="shared" si="4"/>
        <v>2023-Dec</v>
      </c>
      <c r="N15" t="s">
        <v>822</v>
      </c>
      <c r="O15" s="17">
        <f t="shared" si="5"/>
        <v>45868</v>
      </c>
      <c r="P15" s="25">
        <f t="shared" si="6"/>
        <v>0</v>
      </c>
      <c r="Q15" t="str">
        <f t="shared" si="7"/>
        <v>Paid</v>
      </c>
      <c r="R15" t="str">
        <f t="shared" si="8"/>
        <v>Not Due</v>
      </c>
    </row>
    <row r="16" spans="1:22" x14ac:dyDescent="0.35">
      <c r="A16" t="s">
        <v>23</v>
      </c>
      <c r="B16" t="s">
        <v>809</v>
      </c>
      <c r="C16" s="9">
        <v>45417</v>
      </c>
      <c r="D16" s="28" t="str">
        <f t="shared" si="0"/>
        <v>May 2024</v>
      </c>
      <c r="E16" s="9">
        <v>45447</v>
      </c>
      <c r="F16" t="s">
        <v>816</v>
      </c>
      <c r="G16">
        <v>2218.6799999999998</v>
      </c>
      <c r="H16" t="s">
        <v>819</v>
      </c>
      <c r="I16" s="15">
        <f t="shared" si="1"/>
        <v>0</v>
      </c>
      <c r="J16" s="18">
        <f t="shared" si="2"/>
        <v>2218.6799999999998</v>
      </c>
      <c r="L16" s="54" t="str">
        <f t="shared" si="3"/>
        <v/>
      </c>
      <c r="M16" s="9" t="str">
        <f t="shared" si="4"/>
        <v/>
      </c>
      <c r="N16" t="s">
        <v>822</v>
      </c>
      <c r="O16" s="17">
        <f t="shared" si="5"/>
        <v>45868</v>
      </c>
      <c r="P16" s="25">
        <f t="shared" si="6"/>
        <v>421</v>
      </c>
      <c r="Q16" t="str">
        <f t="shared" si="7"/>
        <v>90+</v>
      </c>
      <c r="R16" t="str">
        <f t="shared" si="8"/>
        <v>Due</v>
      </c>
    </row>
    <row r="17" spans="1:18" x14ac:dyDescent="0.35">
      <c r="A17" t="s">
        <v>24</v>
      </c>
      <c r="B17" t="s">
        <v>809</v>
      </c>
      <c r="C17" s="9">
        <v>45081</v>
      </c>
      <c r="D17" s="28" t="str">
        <f t="shared" si="0"/>
        <v>Jun 2023</v>
      </c>
      <c r="E17" s="9">
        <v>45111</v>
      </c>
      <c r="F17" t="s">
        <v>814</v>
      </c>
      <c r="G17">
        <v>2198</v>
      </c>
      <c r="H17" t="s">
        <v>821</v>
      </c>
      <c r="I17" s="15">
        <f t="shared" si="1"/>
        <v>2198</v>
      </c>
      <c r="J17" s="18">
        <f t="shared" si="2"/>
        <v>0</v>
      </c>
      <c r="K17" s="9">
        <v>45111</v>
      </c>
      <c r="L17" s="54">
        <f t="shared" si="3"/>
        <v>30</v>
      </c>
      <c r="M17" s="9" t="str">
        <f t="shared" si="4"/>
        <v>2023-Jul</v>
      </c>
      <c r="N17" t="s">
        <v>822</v>
      </c>
      <c r="O17" s="17">
        <f t="shared" si="5"/>
        <v>45868</v>
      </c>
      <c r="P17" s="25">
        <f t="shared" si="6"/>
        <v>0</v>
      </c>
      <c r="Q17" t="str">
        <f t="shared" si="7"/>
        <v>Paid</v>
      </c>
      <c r="R17" t="str">
        <f t="shared" si="8"/>
        <v>Not Due</v>
      </c>
    </row>
    <row r="18" spans="1:18" x14ac:dyDescent="0.35">
      <c r="A18" t="s">
        <v>25</v>
      </c>
      <c r="B18" t="s">
        <v>809</v>
      </c>
      <c r="C18" s="9">
        <v>45270</v>
      </c>
      <c r="D18" s="28" t="str">
        <f t="shared" si="0"/>
        <v>Dec 2023</v>
      </c>
      <c r="E18" s="9">
        <v>45300</v>
      </c>
      <c r="F18" t="s">
        <v>816</v>
      </c>
      <c r="G18">
        <v>2339.0500000000002</v>
      </c>
      <c r="H18" t="s">
        <v>819</v>
      </c>
      <c r="I18" s="15">
        <f t="shared" si="1"/>
        <v>0</v>
      </c>
      <c r="J18" s="18">
        <f t="shared" si="2"/>
        <v>2339.0500000000002</v>
      </c>
      <c r="L18" s="54" t="str">
        <f t="shared" si="3"/>
        <v/>
      </c>
      <c r="M18" s="9" t="str">
        <f t="shared" si="4"/>
        <v/>
      </c>
      <c r="N18" t="s">
        <v>822</v>
      </c>
      <c r="O18" s="17">
        <f t="shared" si="5"/>
        <v>45868</v>
      </c>
      <c r="P18" s="25">
        <f t="shared" si="6"/>
        <v>568</v>
      </c>
      <c r="Q18" t="str">
        <f t="shared" si="7"/>
        <v>90+</v>
      </c>
      <c r="R18" t="str">
        <f t="shared" si="8"/>
        <v>Due</v>
      </c>
    </row>
    <row r="19" spans="1:18" x14ac:dyDescent="0.35">
      <c r="A19" t="s">
        <v>26</v>
      </c>
      <c r="B19" t="s">
        <v>812</v>
      </c>
      <c r="C19" s="9">
        <v>45656</v>
      </c>
      <c r="D19" s="28" t="str">
        <f t="shared" si="0"/>
        <v>Dec 2024</v>
      </c>
      <c r="E19" s="9">
        <v>45686</v>
      </c>
      <c r="F19" t="s">
        <v>817</v>
      </c>
      <c r="G19">
        <v>2941.63</v>
      </c>
      <c r="H19" t="s">
        <v>819</v>
      </c>
      <c r="I19" s="15">
        <f t="shared" si="1"/>
        <v>0</v>
      </c>
      <c r="J19" s="18">
        <f t="shared" si="2"/>
        <v>2941.63</v>
      </c>
      <c r="L19" s="54" t="str">
        <f t="shared" si="3"/>
        <v/>
      </c>
      <c r="M19" s="9" t="str">
        <f t="shared" si="4"/>
        <v/>
      </c>
      <c r="N19" t="s">
        <v>822</v>
      </c>
      <c r="O19" s="17">
        <f t="shared" si="5"/>
        <v>45868</v>
      </c>
      <c r="P19" s="25">
        <f t="shared" si="6"/>
        <v>182</v>
      </c>
      <c r="Q19" t="str">
        <f t="shared" si="7"/>
        <v>90+</v>
      </c>
      <c r="R19" t="str">
        <f t="shared" si="8"/>
        <v>Due</v>
      </c>
    </row>
    <row r="20" spans="1:18" x14ac:dyDescent="0.35">
      <c r="A20" t="s">
        <v>27</v>
      </c>
      <c r="B20" t="s">
        <v>810</v>
      </c>
      <c r="C20" s="9">
        <v>45470</v>
      </c>
      <c r="D20" s="28" t="str">
        <f t="shared" si="0"/>
        <v>Jun 2024</v>
      </c>
      <c r="E20" s="9">
        <v>45500</v>
      </c>
      <c r="F20" t="s">
        <v>817</v>
      </c>
      <c r="G20">
        <v>889.44</v>
      </c>
      <c r="H20" t="s">
        <v>821</v>
      </c>
      <c r="I20" s="15">
        <f t="shared" si="1"/>
        <v>889.44</v>
      </c>
      <c r="J20" s="18">
        <f t="shared" si="2"/>
        <v>0</v>
      </c>
      <c r="K20" s="9">
        <v>45500</v>
      </c>
      <c r="L20" s="54">
        <f t="shared" si="3"/>
        <v>30</v>
      </c>
      <c r="M20" s="9" t="str">
        <f t="shared" si="4"/>
        <v>2024-Jul</v>
      </c>
      <c r="N20" t="s">
        <v>822</v>
      </c>
      <c r="O20" s="17">
        <f t="shared" si="5"/>
        <v>45868</v>
      </c>
      <c r="P20" s="25">
        <f t="shared" si="6"/>
        <v>0</v>
      </c>
      <c r="Q20" t="str">
        <f t="shared" si="7"/>
        <v>Paid</v>
      </c>
      <c r="R20" t="str">
        <f t="shared" si="8"/>
        <v>Not Due</v>
      </c>
    </row>
    <row r="21" spans="1:18" x14ac:dyDescent="0.35">
      <c r="A21" t="s">
        <v>28</v>
      </c>
      <c r="B21" t="s">
        <v>810</v>
      </c>
      <c r="C21" s="9">
        <v>45744</v>
      </c>
      <c r="D21" s="28" t="str">
        <f t="shared" si="0"/>
        <v>Mar 2025</v>
      </c>
      <c r="E21" s="9">
        <v>45774</v>
      </c>
      <c r="F21" t="s">
        <v>818</v>
      </c>
      <c r="G21">
        <v>1108</v>
      </c>
      <c r="H21" t="s">
        <v>820</v>
      </c>
      <c r="I21" s="15">
        <f t="shared" si="1"/>
        <v>0</v>
      </c>
      <c r="J21" s="18" t="str">
        <f t="shared" si="2"/>
        <v>N/A</v>
      </c>
      <c r="L21" s="54" t="str">
        <f t="shared" si="3"/>
        <v/>
      </c>
      <c r="M21" s="9" t="str">
        <f t="shared" si="4"/>
        <v/>
      </c>
      <c r="N21" t="s">
        <v>822</v>
      </c>
      <c r="O21" s="17">
        <f t="shared" si="5"/>
        <v>45868</v>
      </c>
      <c r="P21" s="25">
        <f t="shared" si="6"/>
        <v>94</v>
      </c>
      <c r="Q21" t="str">
        <f t="shared" si="7"/>
        <v>90+</v>
      </c>
      <c r="R21" t="str">
        <f t="shared" si="8"/>
        <v>Due</v>
      </c>
    </row>
    <row r="22" spans="1:18" x14ac:dyDescent="0.35">
      <c r="A22" t="s">
        <v>29</v>
      </c>
      <c r="B22" t="s">
        <v>813</v>
      </c>
      <c r="C22" s="9">
        <v>45121</v>
      </c>
      <c r="D22" s="28" t="str">
        <f t="shared" si="0"/>
        <v>Jul 2023</v>
      </c>
      <c r="E22" s="9">
        <v>45151</v>
      </c>
      <c r="F22" t="s">
        <v>818</v>
      </c>
      <c r="G22">
        <v>717.02</v>
      </c>
      <c r="H22" t="s">
        <v>819</v>
      </c>
      <c r="I22" s="15">
        <f t="shared" si="1"/>
        <v>0</v>
      </c>
      <c r="J22" s="18">
        <f t="shared" si="2"/>
        <v>717.02</v>
      </c>
      <c r="L22" s="54" t="str">
        <f t="shared" si="3"/>
        <v/>
      </c>
      <c r="M22" s="9" t="str">
        <f t="shared" si="4"/>
        <v/>
      </c>
      <c r="N22" t="s">
        <v>822</v>
      </c>
      <c r="O22" s="17">
        <f t="shared" si="5"/>
        <v>45868</v>
      </c>
      <c r="P22" s="25">
        <f t="shared" si="6"/>
        <v>717</v>
      </c>
      <c r="Q22" t="str">
        <f t="shared" si="7"/>
        <v>90+</v>
      </c>
      <c r="R22" t="str">
        <f t="shared" si="8"/>
        <v>Due</v>
      </c>
    </row>
    <row r="23" spans="1:18" x14ac:dyDescent="0.35">
      <c r="A23" t="s">
        <v>30</v>
      </c>
      <c r="B23" t="s">
        <v>813</v>
      </c>
      <c r="C23" s="9">
        <v>45105</v>
      </c>
      <c r="D23" s="28" t="str">
        <f t="shared" si="0"/>
        <v>Jun 2023</v>
      </c>
      <c r="E23" s="9">
        <v>45135</v>
      </c>
      <c r="F23" t="s">
        <v>815</v>
      </c>
      <c r="G23">
        <v>1768.97</v>
      </c>
      <c r="H23" t="s">
        <v>820</v>
      </c>
      <c r="I23" s="15">
        <f t="shared" si="1"/>
        <v>0</v>
      </c>
      <c r="J23" s="18" t="str">
        <f t="shared" si="2"/>
        <v>N/A</v>
      </c>
      <c r="L23" s="54" t="str">
        <f t="shared" si="3"/>
        <v/>
      </c>
      <c r="M23" s="9" t="str">
        <f t="shared" si="4"/>
        <v/>
      </c>
      <c r="N23" t="s">
        <v>822</v>
      </c>
      <c r="O23" s="17">
        <f t="shared" si="5"/>
        <v>45868</v>
      </c>
      <c r="P23" s="25">
        <f t="shared" si="6"/>
        <v>733</v>
      </c>
      <c r="Q23" t="str">
        <f t="shared" si="7"/>
        <v>90+</v>
      </c>
      <c r="R23" t="str">
        <f t="shared" si="8"/>
        <v>Due</v>
      </c>
    </row>
    <row r="24" spans="1:18" x14ac:dyDescent="0.35">
      <c r="A24" t="s">
        <v>31</v>
      </c>
      <c r="B24" t="s">
        <v>812</v>
      </c>
      <c r="C24" s="9">
        <v>45653</v>
      </c>
      <c r="D24" s="28" t="str">
        <f t="shared" si="0"/>
        <v>Dec 2024</v>
      </c>
      <c r="E24" s="9">
        <v>45683</v>
      </c>
      <c r="F24" t="s">
        <v>815</v>
      </c>
      <c r="G24">
        <v>576.01</v>
      </c>
      <c r="H24" t="s">
        <v>819</v>
      </c>
      <c r="I24" s="15">
        <f t="shared" si="1"/>
        <v>0</v>
      </c>
      <c r="J24" s="18">
        <f t="shared" si="2"/>
        <v>576.01</v>
      </c>
      <c r="L24" s="54" t="str">
        <f t="shared" si="3"/>
        <v/>
      </c>
      <c r="M24" s="9" t="str">
        <f t="shared" si="4"/>
        <v/>
      </c>
      <c r="N24" t="s">
        <v>822</v>
      </c>
      <c r="O24" s="17">
        <f t="shared" si="5"/>
        <v>45868</v>
      </c>
      <c r="P24" s="25">
        <f t="shared" si="6"/>
        <v>185</v>
      </c>
      <c r="Q24" t="str">
        <f t="shared" si="7"/>
        <v>90+</v>
      </c>
      <c r="R24" t="str">
        <f t="shared" si="8"/>
        <v>Due</v>
      </c>
    </row>
    <row r="25" spans="1:18" x14ac:dyDescent="0.35">
      <c r="A25" t="s">
        <v>32</v>
      </c>
      <c r="B25" t="s">
        <v>809</v>
      </c>
      <c r="C25" s="9">
        <v>45062</v>
      </c>
      <c r="D25" s="28" t="str">
        <f t="shared" si="0"/>
        <v>May 2023</v>
      </c>
      <c r="E25" s="9">
        <v>45092</v>
      </c>
      <c r="F25" t="s">
        <v>816</v>
      </c>
      <c r="G25">
        <v>5758.12</v>
      </c>
      <c r="H25" t="s">
        <v>820</v>
      </c>
      <c r="I25" s="15">
        <f t="shared" si="1"/>
        <v>0</v>
      </c>
      <c r="J25" s="18" t="str">
        <f t="shared" si="2"/>
        <v>N/A</v>
      </c>
      <c r="L25" s="54" t="str">
        <f t="shared" si="3"/>
        <v/>
      </c>
      <c r="M25" s="9" t="str">
        <f t="shared" si="4"/>
        <v/>
      </c>
      <c r="N25" t="s">
        <v>822</v>
      </c>
      <c r="O25" s="17">
        <f t="shared" si="5"/>
        <v>45868</v>
      </c>
      <c r="P25" s="25">
        <f t="shared" si="6"/>
        <v>776</v>
      </c>
      <c r="Q25" t="str">
        <f t="shared" si="7"/>
        <v>90+</v>
      </c>
      <c r="R25" t="str">
        <f t="shared" si="8"/>
        <v>Due</v>
      </c>
    </row>
    <row r="26" spans="1:18" x14ac:dyDescent="0.35">
      <c r="A26" t="s">
        <v>33</v>
      </c>
      <c r="B26" t="s">
        <v>812</v>
      </c>
      <c r="C26" s="9">
        <v>45199</v>
      </c>
      <c r="D26" s="28" t="str">
        <f t="shared" si="0"/>
        <v>Sep 2023</v>
      </c>
      <c r="E26" s="9">
        <v>45229</v>
      </c>
      <c r="F26" t="s">
        <v>818</v>
      </c>
      <c r="G26">
        <v>478.64</v>
      </c>
      <c r="H26" t="s">
        <v>819</v>
      </c>
      <c r="I26" s="15">
        <f t="shared" si="1"/>
        <v>0</v>
      </c>
      <c r="J26" s="18">
        <f t="shared" si="2"/>
        <v>478.64</v>
      </c>
      <c r="L26" s="54" t="str">
        <f t="shared" si="3"/>
        <v/>
      </c>
      <c r="M26" s="9" t="str">
        <f t="shared" si="4"/>
        <v/>
      </c>
      <c r="N26" t="s">
        <v>822</v>
      </c>
      <c r="O26" s="17">
        <f t="shared" si="5"/>
        <v>45868</v>
      </c>
      <c r="P26" s="25">
        <f t="shared" si="6"/>
        <v>639</v>
      </c>
      <c r="Q26" t="str">
        <f t="shared" si="7"/>
        <v>90+</v>
      </c>
      <c r="R26" t="str">
        <f t="shared" si="8"/>
        <v>Due</v>
      </c>
    </row>
    <row r="27" spans="1:18" x14ac:dyDescent="0.35">
      <c r="A27" t="s">
        <v>34</v>
      </c>
      <c r="B27" t="s">
        <v>812</v>
      </c>
      <c r="C27" s="9">
        <v>45640</v>
      </c>
      <c r="D27" s="28" t="str">
        <f t="shared" si="0"/>
        <v>Dec 2024</v>
      </c>
      <c r="E27" s="9">
        <v>45670</v>
      </c>
      <c r="F27" t="s">
        <v>816</v>
      </c>
      <c r="G27">
        <v>5230.24</v>
      </c>
      <c r="H27" t="s">
        <v>820</v>
      </c>
      <c r="I27" s="15">
        <f t="shared" si="1"/>
        <v>0</v>
      </c>
      <c r="J27" s="18" t="str">
        <f t="shared" si="2"/>
        <v>N/A</v>
      </c>
      <c r="L27" s="54" t="str">
        <f t="shared" si="3"/>
        <v/>
      </c>
      <c r="M27" s="9" t="str">
        <f t="shared" si="4"/>
        <v/>
      </c>
      <c r="N27" t="s">
        <v>822</v>
      </c>
      <c r="O27" s="17">
        <f t="shared" si="5"/>
        <v>45868</v>
      </c>
      <c r="P27" s="25">
        <f t="shared" si="6"/>
        <v>198</v>
      </c>
      <c r="Q27" t="str">
        <f t="shared" si="7"/>
        <v>90+</v>
      </c>
      <c r="R27" t="str">
        <f t="shared" si="8"/>
        <v>Due</v>
      </c>
    </row>
    <row r="28" spans="1:18" x14ac:dyDescent="0.35">
      <c r="A28" t="s">
        <v>35</v>
      </c>
      <c r="B28" t="s">
        <v>809</v>
      </c>
      <c r="C28" s="9">
        <v>45124</v>
      </c>
      <c r="D28" s="28" t="str">
        <f t="shared" si="0"/>
        <v>Jul 2023</v>
      </c>
      <c r="E28" s="9">
        <v>45154</v>
      </c>
      <c r="F28" t="s">
        <v>815</v>
      </c>
      <c r="G28">
        <v>3185.38</v>
      </c>
      <c r="H28" t="s">
        <v>821</v>
      </c>
      <c r="I28" s="15">
        <f t="shared" si="1"/>
        <v>3185.38</v>
      </c>
      <c r="J28" s="18">
        <f t="shared" si="2"/>
        <v>0</v>
      </c>
      <c r="K28" s="9">
        <v>45154</v>
      </c>
      <c r="L28" s="54">
        <f t="shared" si="3"/>
        <v>30</v>
      </c>
      <c r="M28" s="9" t="str">
        <f t="shared" si="4"/>
        <v>2023-Aug</v>
      </c>
      <c r="N28" t="s">
        <v>822</v>
      </c>
      <c r="O28" s="17">
        <f t="shared" si="5"/>
        <v>45868</v>
      </c>
      <c r="P28" s="25">
        <f t="shared" si="6"/>
        <v>0</v>
      </c>
      <c r="Q28" t="str">
        <f t="shared" si="7"/>
        <v>Paid</v>
      </c>
      <c r="R28" t="str">
        <f t="shared" si="8"/>
        <v>Not Due</v>
      </c>
    </row>
    <row r="29" spans="1:18" x14ac:dyDescent="0.35">
      <c r="A29" t="s">
        <v>36</v>
      </c>
      <c r="B29" t="s">
        <v>810</v>
      </c>
      <c r="C29" s="9">
        <v>45376</v>
      </c>
      <c r="D29" s="28" t="str">
        <f t="shared" si="0"/>
        <v>Mar 2024</v>
      </c>
      <c r="E29" s="9">
        <v>45406</v>
      </c>
      <c r="F29" t="s">
        <v>817</v>
      </c>
      <c r="G29">
        <v>296.64999999999998</v>
      </c>
      <c r="H29" t="s">
        <v>821</v>
      </c>
      <c r="I29" s="15">
        <f t="shared" si="1"/>
        <v>296.64999999999998</v>
      </c>
      <c r="J29" s="18">
        <f t="shared" si="2"/>
        <v>0</v>
      </c>
      <c r="K29" s="9">
        <v>45406</v>
      </c>
      <c r="L29" s="54">
        <f t="shared" si="3"/>
        <v>30</v>
      </c>
      <c r="M29" s="9" t="str">
        <f t="shared" si="4"/>
        <v>2024-Apr</v>
      </c>
      <c r="N29" t="s">
        <v>822</v>
      </c>
      <c r="O29" s="17">
        <f t="shared" si="5"/>
        <v>45868</v>
      </c>
      <c r="P29" s="25">
        <f t="shared" si="6"/>
        <v>0</v>
      </c>
      <c r="Q29" t="str">
        <f t="shared" si="7"/>
        <v>Paid</v>
      </c>
      <c r="R29" t="str">
        <f t="shared" si="8"/>
        <v>Not Due</v>
      </c>
    </row>
    <row r="30" spans="1:18" x14ac:dyDescent="0.35">
      <c r="A30" t="s">
        <v>37</v>
      </c>
      <c r="B30" t="s">
        <v>813</v>
      </c>
      <c r="C30" s="9">
        <v>45593</v>
      </c>
      <c r="D30" s="28" t="str">
        <f t="shared" si="0"/>
        <v>Oct 2024</v>
      </c>
      <c r="E30" s="9">
        <v>45623</v>
      </c>
      <c r="F30" t="s">
        <v>816</v>
      </c>
      <c r="G30">
        <v>4212.01</v>
      </c>
      <c r="H30" t="s">
        <v>819</v>
      </c>
      <c r="I30" s="15">
        <f t="shared" si="1"/>
        <v>0</v>
      </c>
      <c r="J30" s="18">
        <f t="shared" si="2"/>
        <v>4212.01</v>
      </c>
      <c r="L30" s="54" t="str">
        <f t="shared" si="3"/>
        <v/>
      </c>
      <c r="M30" s="9" t="str">
        <f t="shared" si="4"/>
        <v/>
      </c>
      <c r="N30" t="s">
        <v>822</v>
      </c>
      <c r="O30" s="17">
        <f t="shared" si="5"/>
        <v>45868</v>
      </c>
      <c r="P30" s="25">
        <f t="shared" si="6"/>
        <v>245</v>
      </c>
      <c r="Q30" t="str">
        <f t="shared" si="7"/>
        <v>90+</v>
      </c>
      <c r="R30" t="str">
        <f t="shared" si="8"/>
        <v>Due</v>
      </c>
    </row>
    <row r="31" spans="1:18" x14ac:dyDescent="0.35">
      <c r="A31" t="s">
        <v>38</v>
      </c>
      <c r="B31" t="s">
        <v>812</v>
      </c>
      <c r="C31" s="9">
        <v>44991</v>
      </c>
      <c r="D31" s="28" t="str">
        <f t="shared" si="0"/>
        <v>Mar 2023</v>
      </c>
      <c r="E31" s="9">
        <v>45021</v>
      </c>
      <c r="F31" t="s">
        <v>815</v>
      </c>
      <c r="G31">
        <v>2893.26</v>
      </c>
      <c r="H31" t="s">
        <v>819</v>
      </c>
      <c r="I31" s="15">
        <f t="shared" si="1"/>
        <v>0</v>
      </c>
      <c r="J31" s="18">
        <f t="shared" si="2"/>
        <v>2893.26</v>
      </c>
      <c r="L31" s="54" t="str">
        <f t="shared" si="3"/>
        <v/>
      </c>
      <c r="M31" s="9" t="str">
        <f t="shared" si="4"/>
        <v/>
      </c>
      <c r="N31" t="s">
        <v>822</v>
      </c>
      <c r="O31" s="17">
        <f t="shared" si="5"/>
        <v>45868</v>
      </c>
      <c r="P31" s="25">
        <f t="shared" si="6"/>
        <v>847</v>
      </c>
      <c r="Q31" t="str">
        <f t="shared" si="7"/>
        <v>90+</v>
      </c>
      <c r="R31" t="str">
        <f t="shared" si="8"/>
        <v>Due</v>
      </c>
    </row>
    <row r="32" spans="1:18" x14ac:dyDescent="0.35">
      <c r="A32" t="s">
        <v>39</v>
      </c>
      <c r="B32" t="s">
        <v>810</v>
      </c>
      <c r="C32" s="9">
        <v>45335</v>
      </c>
      <c r="D32" s="28" t="str">
        <f t="shared" si="0"/>
        <v>Feb 2024</v>
      </c>
      <c r="E32" s="9">
        <v>45365</v>
      </c>
      <c r="F32" t="s">
        <v>815</v>
      </c>
      <c r="G32">
        <v>2082.48</v>
      </c>
      <c r="H32" t="s">
        <v>820</v>
      </c>
      <c r="I32" s="15">
        <f t="shared" si="1"/>
        <v>0</v>
      </c>
      <c r="J32" s="18" t="str">
        <f t="shared" si="2"/>
        <v>N/A</v>
      </c>
      <c r="L32" s="54" t="str">
        <f t="shared" si="3"/>
        <v/>
      </c>
      <c r="M32" s="9" t="str">
        <f t="shared" si="4"/>
        <v/>
      </c>
      <c r="N32" t="s">
        <v>822</v>
      </c>
      <c r="O32" s="17">
        <f t="shared" si="5"/>
        <v>45868</v>
      </c>
      <c r="P32" s="25">
        <f t="shared" si="6"/>
        <v>503</v>
      </c>
      <c r="Q32" t="str">
        <f t="shared" si="7"/>
        <v>90+</v>
      </c>
      <c r="R32" t="str">
        <f t="shared" si="8"/>
        <v>Due</v>
      </c>
    </row>
    <row r="33" spans="1:18" x14ac:dyDescent="0.35">
      <c r="A33" t="s">
        <v>40</v>
      </c>
      <c r="B33" t="s">
        <v>810</v>
      </c>
      <c r="C33" s="9">
        <v>45000</v>
      </c>
      <c r="D33" s="28" t="str">
        <f t="shared" si="0"/>
        <v>Mar 2023</v>
      </c>
      <c r="E33" s="9">
        <v>45030</v>
      </c>
      <c r="F33" t="s">
        <v>814</v>
      </c>
      <c r="G33">
        <v>5624.33</v>
      </c>
      <c r="H33" t="s">
        <v>821</v>
      </c>
      <c r="I33" s="15">
        <f t="shared" si="1"/>
        <v>5624.33</v>
      </c>
      <c r="J33" s="18">
        <f t="shared" si="2"/>
        <v>0</v>
      </c>
      <c r="K33" s="9">
        <v>45030</v>
      </c>
      <c r="L33" s="54">
        <f t="shared" si="3"/>
        <v>30</v>
      </c>
      <c r="M33" s="9" t="str">
        <f t="shared" si="4"/>
        <v>2023-Apr</v>
      </c>
      <c r="N33" t="s">
        <v>822</v>
      </c>
      <c r="O33" s="17">
        <f t="shared" si="5"/>
        <v>45868</v>
      </c>
      <c r="P33" s="25">
        <f t="shared" si="6"/>
        <v>0</v>
      </c>
      <c r="Q33" t="str">
        <f t="shared" si="7"/>
        <v>Paid</v>
      </c>
      <c r="R33" t="str">
        <f t="shared" si="8"/>
        <v>Not Due</v>
      </c>
    </row>
    <row r="34" spans="1:18" x14ac:dyDescent="0.35">
      <c r="A34" t="s">
        <v>41</v>
      </c>
      <c r="B34" t="s">
        <v>812</v>
      </c>
      <c r="C34" s="9">
        <v>45210</v>
      </c>
      <c r="D34" s="28" t="str">
        <f t="shared" si="0"/>
        <v>Oct 2023</v>
      </c>
      <c r="E34" s="9">
        <v>45240</v>
      </c>
      <c r="F34" t="s">
        <v>817</v>
      </c>
      <c r="G34">
        <v>4841.22</v>
      </c>
      <c r="H34" t="s">
        <v>821</v>
      </c>
      <c r="I34" s="15">
        <f t="shared" si="1"/>
        <v>4841.22</v>
      </c>
      <c r="J34" s="18">
        <f t="shared" si="2"/>
        <v>0</v>
      </c>
      <c r="K34" s="9">
        <v>45240</v>
      </c>
      <c r="L34" s="54">
        <f t="shared" si="3"/>
        <v>30</v>
      </c>
      <c r="M34" s="9" t="str">
        <f t="shared" si="4"/>
        <v>2023-Nov</v>
      </c>
      <c r="N34" t="s">
        <v>822</v>
      </c>
      <c r="O34" s="17">
        <f t="shared" si="5"/>
        <v>45868</v>
      </c>
      <c r="P34" s="25">
        <f t="shared" si="6"/>
        <v>0</v>
      </c>
      <c r="Q34" t="str">
        <f t="shared" si="7"/>
        <v>Paid</v>
      </c>
      <c r="R34" t="str">
        <f t="shared" si="8"/>
        <v>Not Due</v>
      </c>
    </row>
    <row r="35" spans="1:18" x14ac:dyDescent="0.35">
      <c r="A35" t="s">
        <v>42</v>
      </c>
      <c r="B35" t="s">
        <v>811</v>
      </c>
      <c r="C35" s="9">
        <v>45598</v>
      </c>
      <c r="D35" s="28" t="str">
        <f t="shared" si="0"/>
        <v>Nov 2024</v>
      </c>
      <c r="E35" s="9">
        <v>45628</v>
      </c>
      <c r="F35" t="s">
        <v>818</v>
      </c>
      <c r="G35">
        <v>2591.7600000000002</v>
      </c>
      <c r="H35" t="s">
        <v>819</v>
      </c>
      <c r="I35" s="15">
        <f t="shared" si="1"/>
        <v>0</v>
      </c>
      <c r="J35" s="18">
        <f t="shared" si="2"/>
        <v>2591.7600000000002</v>
      </c>
      <c r="L35" s="54" t="str">
        <f t="shared" si="3"/>
        <v/>
      </c>
      <c r="M35" s="9" t="str">
        <f t="shared" si="4"/>
        <v/>
      </c>
      <c r="N35" t="s">
        <v>822</v>
      </c>
      <c r="O35" s="17">
        <f t="shared" si="5"/>
        <v>45868</v>
      </c>
      <c r="P35" s="25">
        <f t="shared" si="6"/>
        <v>240</v>
      </c>
      <c r="Q35" t="str">
        <f t="shared" si="7"/>
        <v>90+</v>
      </c>
      <c r="R35" t="str">
        <f t="shared" si="8"/>
        <v>Due</v>
      </c>
    </row>
    <row r="36" spans="1:18" x14ac:dyDescent="0.35">
      <c r="A36" t="s">
        <v>43</v>
      </c>
      <c r="B36" t="s">
        <v>810</v>
      </c>
      <c r="C36" s="9">
        <v>45668</v>
      </c>
      <c r="D36" s="28" t="str">
        <f t="shared" si="0"/>
        <v>Jan 2025</v>
      </c>
      <c r="E36" s="9">
        <v>45698</v>
      </c>
      <c r="F36" t="s">
        <v>816</v>
      </c>
      <c r="G36">
        <v>5317.87</v>
      </c>
      <c r="H36" t="s">
        <v>821</v>
      </c>
      <c r="I36" s="15">
        <f t="shared" si="1"/>
        <v>5317.87</v>
      </c>
      <c r="J36" s="18">
        <f t="shared" si="2"/>
        <v>0</v>
      </c>
      <c r="K36" s="9">
        <v>45698</v>
      </c>
      <c r="L36" s="54">
        <f t="shared" si="3"/>
        <v>30</v>
      </c>
      <c r="M36" s="9" t="str">
        <f t="shared" si="4"/>
        <v>2025-Feb</v>
      </c>
      <c r="N36" t="s">
        <v>822</v>
      </c>
      <c r="O36" s="17">
        <f t="shared" si="5"/>
        <v>45868</v>
      </c>
      <c r="P36" s="25">
        <f t="shared" si="6"/>
        <v>0</v>
      </c>
      <c r="Q36" t="str">
        <f t="shared" si="7"/>
        <v>Paid</v>
      </c>
      <c r="R36" t="str">
        <f t="shared" si="8"/>
        <v>Not Due</v>
      </c>
    </row>
    <row r="37" spans="1:18" x14ac:dyDescent="0.35">
      <c r="A37" t="s">
        <v>44</v>
      </c>
      <c r="B37" t="s">
        <v>811</v>
      </c>
      <c r="C37" s="9">
        <v>45025</v>
      </c>
      <c r="D37" s="28" t="str">
        <f t="shared" si="0"/>
        <v>Apr 2023</v>
      </c>
      <c r="E37" s="9">
        <v>45055</v>
      </c>
      <c r="F37" t="s">
        <v>815</v>
      </c>
      <c r="G37">
        <v>806.85</v>
      </c>
      <c r="H37" t="s">
        <v>819</v>
      </c>
      <c r="I37" s="15">
        <f t="shared" si="1"/>
        <v>0</v>
      </c>
      <c r="J37" s="18">
        <f t="shared" si="2"/>
        <v>806.85</v>
      </c>
      <c r="L37" s="54" t="str">
        <f t="shared" si="3"/>
        <v/>
      </c>
      <c r="M37" s="9" t="str">
        <f t="shared" si="4"/>
        <v/>
      </c>
      <c r="N37" t="s">
        <v>822</v>
      </c>
      <c r="O37" s="17">
        <f t="shared" si="5"/>
        <v>45868</v>
      </c>
      <c r="P37" s="25">
        <f t="shared" si="6"/>
        <v>813</v>
      </c>
      <c r="Q37" t="str">
        <f t="shared" si="7"/>
        <v>90+</v>
      </c>
      <c r="R37" t="str">
        <f t="shared" si="8"/>
        <v>Due</v>
      </c>
    </row>
    <row r="38" spans="1:18" x14ac:dyDescent="0.35">
      <c r="A38" t="s">
        <v>45</v>
      </c>
      <c r="B38" t="s">
        <v>809</v>
      </c>
      <c r="C38" s="9">
        <v>45128</v>
      </c>
      <c r="D38" s="28" t="str">
        <f t="shared" si="0"/>
        <v>Jul 2023</v>
      </c>
      <c r="E38" s="9">
        <v>45158</v>
      </c>
      <c r="F38" t="s">
        <v>815</v>
      </c>
      <c r="G38">
        <v>3016.66</v>
      </c>
      <c r="H38" t="s">
        <v>820</v>
      </c>
      <c r="I38" s="15">
        <f t="shared" si="1"/>
        <v>0</v>
      </c>
      <c r="J38" s="18" t="str">
        <f t="shared" si="2"/>
        <v>N/A</v>
      </c>
      <c r="L38" s="54" t="str">
        <f t="shared" si="3"/>
        <v/>
      </c>
      <c r="M38" s="9" t="str">
        <f t="shared" si="4"/>
        <v/>
      </c>
      <c r="N38" t="s">
        <v>822</v>
      </c>
      <c r="O38" s="17">
        <f t="shared" si="5"/>
        <v>45868</v>
      </c>
      <c r="P38" s="25">
        <f t="shared" si="6"/>
        <v>710</v>
      </c>
      <c r="Q38" t="str">
        <f t="shared" si="7"/>
        <v>90+</v>
      </c>
      <c r="R38" t="str">
        <f t="shared" si="8"/>
        <v>Due</v>
      </c>
    </row>
    <row r="39" spans="1:18" x14ac:dyDescent="0.35">
      <c r="A39" t="s">
        <v>46</v>
      </c>
      <c r="B39" t="s">
        <v>812</v>
      </c>
      <c r="C39" s="9">
        <v>45504</v>
      </c>
      <c r="D39" s="28" t="str">
        <f t="shared" si="0"/>
        <v>Jul 2024</v>
      </c>
      <c r="E39" s="9">
        <v>45534</v>
      </c>
      <c r="F39" t="s">
        <v>817</v>
      </c>
      <c r="G39">
        <v>504.02</v>
      </c>
      <c r="H39" t="s">
        <v>820</v>
      </c>
      <c r="I39" s="15">
        <f t="shared" si="1"/>
        <v>0</v>
      </c>
      <c r="J39" s="18" t="str">
        <f t="shared" si="2"/>
        <v>N/A</v>
      </c>
      <c r="L39" s="54" t="str">
        <f t="shared" si="3"/>
        <v/>
      </c>
      <c r="M39" s="9" t="str">
        <f t="shared" si="4"/>
        <v/>
      </c>
      <c r="N39" t="s">
        <v>822</v>
      </c>
      <c r="O39" s="17">
        <f t="shared" si="5"/>
        <v>45868</v>
      </c>
      <c r="P39" s="25">
        <f t="shared" si="6"/>
        <v>334</v>
      </c>
      <c r="Q39" t="str">
        <f t="shared" si="7"/>
        <v>90+</v>
      </c>
      <c r="R39" t="str">
        <f t="shared" si="8"/>
        <v>Due</v>
      </c>
    </row>
    <row r="40" spans="1:18" x14ac:dyDescent="0.35">
      <c r="A40" t="s">
        <v>47</v>
      </c>
      <c r="B40" t="s">
        <v>809</v>
      </c>
      <c r="C40" s="9">
        <v>44934</v>
      </c>
      <c r="D40" s="28" t="str">
        <f t="shared" si="0"/>
        <v>Jan 2023</v>
      </c>
      <c r="E40" s="9">
        <v>44964</v>
      </c>
      <c r="F40" t="s">
        <v>816</v>
      </c>
      <c r="G40">
        <v>4288.4399999999996</v>
      </c>
      <c r="H40" t="s">
        <v>819</v>
      </c>
      <c r="I40" s="15">
        <f t="shared" si="1"/>
        <v>0</v>
      </c>
      <c r="J40" s="18">
        <f t="shared" si="2"/>
        <v>4288.4399999999996</v>
      </c>
      <c r="L40" s="54" t="str">
        <f t="shared" si="3"/>
        <v/>
      </c>
      <c r="M40" s="9" t="str">
        <f t="shared" si="4"/>
        <v/>
      </c>
      <c r="N40" t="s">
        <v>822</v>
      </c>
      <c r="O40" s="17">
        <f t="shared" si="5"/>
        <v>45868</v>
      </c>
      <c r="P40" s="25">
        <f t="shared" si="6"/>
        <v>904</v>
      </c>
      <c r="Q40" t="str">
        <f t="shared" si="7"/>
        <v>90+</v>
      </c>
      <c r="R40" t="str">
        <f t="shared" si="8"/>
        <v>Due</v>
      </c>
    </row>
    <row r="41" spans="1:18" x14ac:dyDescent="0.35">
      <c r="A41" t="s">
        <v>48</v>
      </c>
      <c r="B41" t="s">
        <v>812</v>
      </c>
      <c r="C41" s="9">
        <v>45108</v>
      </c>
      <c r="D41" s="28" t="str">
        <f t="shared" si="0"/>
        <v>Jul 2023</v>
      </c>
      <c r="E41" s="9">
        <v>45138</v>
      </c>
      <c r="F41" t="s">
        <v>814</v>
      </c>
      <c r="G41">
        <v>3824.79</v>
      </c>
      <c r="H41" t="s">
        <v>820</v>
      </c>
      <c r="I41" s="15">
        <f t="shared" si="1"/>
        <v>0</v>
      </c>
      <c r="J41" s="18" t="str">
        <f t="shared" si="2"/>
        <v>N/A</v>
      </c>
      <c r="L41" s="54" t="str">
        <f t="shared" si="3"/>
        <v/>
      </c>
      <c r="M41" s="9" t="str">
        <f t="shared" si="4"/>
        <v/>
      </c>
      <c r="N41" t="s">
        <v>822</v>
      </c>
      <c r="O41" s="17">
        <f t="shared" si="5"/>
        <v>45868</v>
      </c>
      <c r="P41" s="25">
        <f t="shared" si="6"/>
        <v>730</v>
      </c>
      <c r="Q41" t="str">
        <f t="shared" si="7"/>
        <v>90+</v>
      </c>
      <c r="R41" t="str">
        <f t="shared" si="8"/>
        <v>Due</v>
      </c>
    </row>
    <row r="42" spans="1:18" x14ac:dyDescent="0.35">
      <c r="A42" t="s">
        <v>49</v>
      </c>
      <c r="B42" t="s">
        <v>812</v>
      </c>
      <c r="C42" s="9">
        <v>45801</v>
      </c>
      <c r="D42" s="28" t="str">
        <f t="shared" si="0"/>
        <v>May 2025</v>
      </c>
      <c r="E42" s="9">
        <v>45831</v>
      </c>
      <c r="F42" t="s">
        <v>817</v>
      </c>
      <c r="G42">
        <v>4519.76</v>
      </c>
      <c r="H42" t="s">
        <v>819</v>
      </c>
      <c r="I42" s="15">
        <f t="shared" si="1"/>
        <v>0</v>
      </c>
      <c r="J42" s="18">
        <f t="shared" si="2"/>
        <v>4519.76</v>
      </c>
      <c r="L42" s="54" t="str">
        <f t="shared" si="3"/>
        <v/>
      </c>
      <c r="M42" s="9" t="str">
        <f t="shared" si="4"/>
        <v/>
      </c>
      <c r="N42" t="s">
        <v>822</v>
      </c>
      <c r="O42" s="17">
        <f t="shared" si="5"/>
        <v>45868</v>
      </c>
      <c r="P42" s="25">
        <f t="shared" si="6"/>
        <v>37</v>
      </c>
      <c r="Q42" t="str">
        <f t="shared" si="7"/>
        <v>31-60</v>
      </c>
      <c r="R42" t="str">
        <f t="shared" si="8"/>
        <v>Due</v>
      </c>
    </row>
    <row r="43" spans="1:18" x14ac:dyDescent="0.35">
      <c r="A43" t="s">
        <v>50</v>
      </c>
      <c r="B43" t="s">
        <v>809</v>
      </c>
      <c r="C43" s="9">
        <v>45313</v>
      </c>
      <c r="D43" s="28" t="str">
        <f t="shared" si="0"/>
        <v>Jan 2024</v>
      </c>
      <c r="E43" s="9">
        <v>45343</v>
      </c>
      <c r="F43" t="s">
        <v>814</v>
      </c>
      <c r="G43">
        <v>4767.38</v>
      </c>
      <c r="H43" t="s">
        <v>820</v>
      </c>
      <c r="I43" s="15">
        <f t="shared" si="1"/>
        <v>0</v>
      </c>
      <c r="J43" s="18" t="str">
        <f t="shared" si="2"/>
        <v>N/A</v>
      </c>
      <c r="L43" s="54" t="str">
        <f t="shared" si="3"/>
        <v/>
      </c>
      <c r="M43" s="9" t="str">
        <f t="shared" si="4"/>
        <v/>
      </c>
      <c r="N43" t="s">
        <v>822</v>
      </c>
      <c r="O43" s="17">
        <f t="shared" si="5"/>
        <v>45868</v>
      </c>
      <c r="P43" s="25">
        <f t="shared" si="6"/>
        <v>525</v>
      </c>
      <c r="Q43" t="str">
        <f t="shared" si="7"/>
        <v>90+</v>
      </c>
      <c r="R43" t="str">
        <f t="shared" si="8"/>
        <v>Due</v>
      </c>
    </row>
    <row r="44" spans="1:18" x14ac:dyDescent="0.35">
      <c r="A44" t="s">
        <v>51</v>
      </c>
      <c r="B44" t="s">
        <v>809</v>
      </c>
      <c r="C44" s="9">
        <v>44967</v>
      </c>
      <c r="D44" s="28" t="str">
        <f t="shared" si="0"/>
        <v>Feb 2023</v>
      </c>
      <c r="E44" s="9">
        <v>44997</v>
      </c>
      <c r="F44" t="s">
        <v>814</v>
      </c>
      <c r="G44">
        <v>3607.07</v>
      </c>
      <c r="H44" t="s">
        <v>821</v>
      </c>
      <c r="I44" s="15">
        <f t="shared" si="1"/>
        <v>3607.07</v>
      </c>
      <c r="J44" s="18">
        <f t="shared" si="2"/>
        <v>0</v>
      </c>
      <c r="K44" s="9">
        <v>44997</v>
      </c>
      <c r="L44" s="54">
        <f t="shared" si="3"/>
        <v>30</v>
      </c>
      <c r="M44" s="9" t="str">
        <f t="shared" si="4"/>
        <v>2023-Mar</v>
      </c>
      <c r="N44" t="s">
        <v>822</v>
      </c>
      <c r="O44" s="17">
        <f t="shared" si="5"/>
        <v>45868</v>
      </c>
      <c r="P44" s="25">
        <f t="shared" si="6"/>
        <v>0</v>
      </c>
      <c r="Q44" t="str">
        <f t="shared" si="7"/>
        <v>Paid</v>
      </c>
      <c r="R44" t="str">
        <f t="shared" si="8"/>
        <v>Not Due</v>
      </c>
    </row>
    <row r="45" spans="1:18" x14ac:dyDescent="0.35">
      <c r="A45" t="s">
        <v>52</v>
      </c>
      <c r="B45" t="s">
        <v>810</v>
      </c>
      <c r="C45" s="9">
        <v>45809</v>
      </c>
      <c r="D45" s="28" t="str">
        <f t="shared" si="0"/>
        <v>Jun 2025</v>
      </c>
      <c r="E45" s="9">
        <v>45839</v>
      </c>
      <c r="F45" t="s">
        <v>818</v>
      </c>
      <c r="G45">
        <v>1018.55</v>
      </c>
      <c r="H45" t="s">
        <v>820</v>
      </c>
      <c r="I45" s="15">
        <f t="shared" si="1"/>
        <v>0</v>
      </c>
      <c r="J45" s="18" t="str">
        <f t="shared" si="2"/>
        <v>N/A</v>
      </c>
      <c r="L45" s="54" t="str">
        <f t="shared" si="3"/>
        <v/>
      </c>
      <c r="M45" s="9" t="str">
        <f t="shared" si="4"/>
        <v/>
      </c>
      <c r="N45" t="s">
        <v>822</v>
      </c>
      <c r="O45" s="17">
        <f t="shared" si="5"/>
        <v>45868</v>
      </c>
      <c r="P45" s="25">
        <f t="shared" si="6"/>
        <v>29</v>
      </c>
      <c r="Q45" t="str">
        <f t="shared" si="7"/>
        <v>1-30</v>
      </c>
      <c r="R45" t="str">
        <f t="shared" si="8"/>
        <v>Due</v>
      </c>
    </row>
    <row r="46" spans="1:18" x14ac:dyDescent="0.35">
      <c r="A46" t="s">
        <v>53</v>
      </c>
      <c r="B46" t="s">
        <v>809</v>
      </c>
      <c r="C46" s="9">
        <v>45102</v>
      </c>
      <c r="D46" s="28" t="str">
        <f t="shared" si="0"/>
        <v>Jun 2023</v>
      </c>
      <c r="E46" s="9">
        <v>45132</v>
      </c>
      <c r="F46" t="s">
        <v>816</v>
      </c>
      <c r="G46">
        <v>4381.22</v>
      </c>
      <c r="H46" t="s">
        <v>820</v>
      </c>
      <c r="I46" s="15">
        <f t="shared" si="1"/>
        <v>0</v>
      </c>
      <c r="J46" s="18" t="str">
        <f t="shared" si="2"/>
        <v>N/A</v>
      </c>
      <c r="L46" s="54" t="str">
        <f t="shared" si="3"/>
        <v/>
      </c>
      <c r="M46" s="9" t="str">
        <f t="shared" si="4"/>
        <v/>
      </c>
      <c r="N46" t="s">
        <v>822</v>
      </c>
      <c r="O46" s="17">
        <f t="shared" si="5"/>
        <v>45868</v>
      </c>
      <c r="P46" s="25">
        <f t="shared" si="6"/>
        <v>736</v>
      </c>
      <c r="Q46" t="str">
        <f t="shared" si="7"/>
        <v>90+</v>
      </c>
      <c r="R46" t="str">
        <f t="shared" si="8"/>
        <v>Due</v>
      </c>
    </row>
    <row r="47" spans="1:18" x14ac:dyDescent="0.35">
      <c r="A47" t="s">
        <v>54</v>
      </c>
      <c r="B47" t="s">
        <v>813</v>
      </c>
      <c r="C47" s="9">
        <v>45103</v>
      </c>
      <c r="D47" s="28" t="str">
        <f t="shared" si="0"/>
        <v>Jun 2023</v>
      </c>
      <c r="E47" s="9">
        <v>45133</v>
      </c>
      <c r="F47" t="s">
        <v>817</v>
      </c>
      <c r="G47">
        <v>1164.49</v>
      </c>
      <c r="H47" t="s">
        <v>820</v>
      </c>
      <c r="I47" s="15">
        <f t="shared" si="1"/>
        <v>0</v>
      </c>
      <c r="J47" s="18" t="str">
        <f t="shared" si="2"/>
        <v>N/A</v>
      </c>
      <c r="L47" s="54" t="str">
        <f t="shared" si="3"/>
        <v/>
      </c>
      <c r="M47" s="9" t="str">
        <f t="shared" si="4"/>
        <v/>
      </c>
      <c r="N47" t="s">
        <v>822</v>
      </c>
      <c r="O47" s="17">
        <f t="shared" si="5"/>
        <v>45868</v>
      </c>
      <c r="P47" s="25">
        <f t="shared" si="6"/>
        <v>735</v>
      </c>
      <c r="Q47" t="str">
        <f t="shared" si="7"/>
        <v>90+</v>
      </c>
      <c r="R47" t="str">
        <f t="shared" si="8"/>
        <v>Due</v>
      </c>
    </row>
    <row r="48" spans="1:18" x14ac:dyDescent="0.35">
      <c r="A48" t="s">
        <v>55</v>
      </c>
      <c r="B48" t="s">
        <v>813</v>
      </c>
      <c r="C48" s="9">
        <v>45668</v>
      </c>
      <c r="D48" s="28" t="str">
        <f t="shared" si="0"/>
        <v>Jan 2025</v>
      </c>
      <c r="E48" s="9">
        <v>45698</v>
      </c>
      <c r="F48" t="s">
        <v>817</v>
      </c>
      <c r="G48">
        <v>2557.61</v>
      </c>
      <c r="H48" t="s">
        <v>821</v>
      </c>
      <c r="I48" s="15">
        <f t="shared" si="1"/>
        <v>2557.61</v>
      </c>
      <c r="J48" s="18">
        <f t="shared" si="2"/>
        <v>0</v>
      </c>
      <c r="K48" s="9">
        <v>45698</v>
      </c>
      <c r="L48" s="54">
        <f t="shared" si="3"/>
        <v>30</v>
      </c>
      <c r="M48" s="9" t="str">
        <f t="shared" si="4"/>
        <v>2025-Feb</v>
      </c>
      <c r="N48" t="s">
        <v>822</v>
      </c>
      <c r="O48" s="17">
        <f t="shared" si="5"/>
        <v>45868</v>
      </c>
      <c r="P48" s="25">
        <f t="shared" si="6"/>
        <v>0</v>
      </c>
      <c r="Q48" t="str">
        <f t="shared" si="7"/>
        <v>Paid</v>
      </c>
      <c r="R48" t="str">
        <f t="shared" si="8"/>
        <v>Not Due</v>
      </c>
    </row>
    <row r="49" spans="1:18" x14ac:dyDescent="0.35">
      <c r="A49" t="s">
        <v>56</v>
      </c>
      <c r="B49" t="s">
        <v>809</v>
      </c>
      <c r="C49" s="9">
        <v>45682</v>
      </c>
      <c r="D49" s="28" t="str">
        <f t="shared" si="0"/>
        <v>Jan 2025</v>
      </c>
      <c r="E49" s="9">
        <v>45712</v>
      </c>
      <c r="F49" t="s">
        <v>816</v>
      </c>
      <c r="G49">
        <v>534.54999999999995</v>
      </c>
      <c r="H49" t="s">
        <v>819</v>
      </c>
      <c r="I49" s="15">
        <f t="shared" si="1"/>
        <v>0</v>
      </c>
      <c r="J49" s="18">
        <f t="shared" si="2"/>
        <v>534.54999999999995</v>
      </c>
      <c r="L49" s="54" t="str">
        <f t="shared" si="3"/>
        <v/>
      </c>
      <c r="M49" s="9" t="str">
        <f t="shared" si="4"/>
        <v/>
      </c>
      <c r="N49" t="s">
        <v>822</v>
      </c>
      <c r="O49" s="17">
        <f t="shared" si="5"/>
        <v>45868</v>
      </c>
      <c r="P49" s="25">
        <f t="shared" si="6"/>
        <v>156</v>
      </c>
      <c r="Q49" t="str">
        <f t="shared" si="7"/>
        <v>90+</v>
      </c>
      <c r="R49" t="str">
        <f t="shared" si="8"/>
        <v>Due</v>
      </c>
    </row>
    <row r="50" spans="1:18" x14ac:dyDescent="0.35">
      <c r="A50" t="s">
        <v>57</v>
      </c>
      <c r="B50" t="s">
        <v>812</v>
      </c>
      <c r="C50" s="9">
        <v>45733</v>
      </c>
      <c r="D50" s="28" t="str">
        <f t="shared" si="0"/>
        <v>Mar 2025</v>
      </c>
      <c r="E50" s="9">
        <v>45763</v>
      </c>
      <c r="F50" t="s">
        <v>815</v>
      </c>
      <c r="G50">
        <v>1665.69</v>
      </c>
      <c r="H50" t="s">
        <v>821</v>
      </c>
      <c r="I50" s="15">
        <f t="shared" si="1"/>
        <v>1665.69</v>
      </c>
      <c r="J50" s="18">
        <f t="shared" si="2"/>
        <v>0</v>
      </c>
      <c r="K50" s="9">
        <v>45763</v>
      </c>
      <c r="L50" s="54">
        <f t="shared" si="3"/>
        <v>30</v>
      </c>
      <c r="M50" s="9" t="str">
        <f t="shared" si="4"/>
        <v>2025-Apr</v>
      </c>
      <c r="N50" t="s">
        <v>822</v>
      </c>
      <c r="O50" s="17">
        <f t="shared" si="5"/>
        <v>45868</v>
      </c>
      <c r="P50" s="25">
        <f t="shared" si="6"/>
        <v>0</v>
      </c>
      <c r="Q50" t="str">
        <f t="shared" si="7"/>
        <v>Paid</v>
      </c>
      <c r="R50" t="str">
        <f t="shared" si="8"/>
        <v>Not Due</v>
      </c>
    </row>
    <row r="51" spans="1:18" x14ac:dyDescent="0.35">
      <c r="A51" t="s">
        <v>58</v>
      </c>
      <c r="B51" t="s">
        <v>809</v>
      </c>
      <c r="C51" s="9">
        <v>45197</v>
      </c>
      <c r="D51" s="28" t="str">
        <f t="shared" si="0"/>
        <v>Sep 2023</v>
      </c>
      <c r="E51" s="9">
        <v>45227</v>
      </c>
      <c r="F51" t="s">
        <v>816</v>
      </c>
      <c r="G51">
        <v>989.68</v>
      </c>
      <c r="H51" t="s">
        <v>821</v>
      </c>
      <c r="I51" s="15">
        <f t="shared" si="1"/>
        <v>989.68</v>
      </c>
      <c r="J51" s="18">
        <f t="shared" si="2"/>
        <v>0</v>
      </c>
      <c r="K51" s="9">
        <v>45227</v>
      </c>
      <c r="L51" s="54">
        <f t="shared" si="3"/>
        <v>30</v>
      </c>
      <c r="M51" s="9" t="str">
        <f t="shared" si="4"/>
        <v>2023-Oct</v>
      </c>
      <c r="N51" t="s">
        <v>822</v>
      </c>
      <c r="O51" s="17">
        <f t="shared" si="5"/>
        <v>45868</v>
      </c>
      <c r="P51" s="25">
        <f t="shared" si="6"/>
        <v>0</v>
      </c>
      <c r="Q51" t="str">
        <f t="shared" si="7"/>
        <v>Paid</v>
      </c>
      <c r="R51" t="str">
        <f t="shared" si="8"/>
        <v>Not Due</v>
      </c>
    </row>
    <row r="52" spans="1:18" x14ac:dyDescent="0.35">
      <c r="A52" t="s">
        <v>59</v>
      </c>
      <c r="B52" t="s">
        <v>810</v>
      </c>
      <c r="C52" s="9">
        <v>45801</v>
      </c>
      <c r="D52" s="28" t="str">
        <f t="shared" si="0"/>
        <v>May 2025</v>
      </c>
      <c r="E52" s="9">
        <v>45831</v>
      </c>
      <c r="F52" t="s">
        <v>816</v>
      </c>
      <c r="G52">
        <v>4865.1000000000004</v>
      </c>
      <c r="H52" t="s">
        <v>819</v>
      </c>
      <c r="I52" s="15">
        <f t="shared" si="1"/>
        <v>0</v>
      </c>
      <c r="J52" s="18">
        <f t="shared" si="2"/>
        <v>4865.1000000000004</v>
      </c>
      <c r="L52" s="54" t="str">
        <f t="shared" si="3"/>
        <v/>
      </c>
      <c r="M52" s="9" t="str">
        <f t="shared" si="4"/>
        <v/>
      </c>
      <c r="N52" t="s">
        <v>822</v>
      </c>
      <c r="O52" s="17">
        <f t="shared" si="5"/>
        <v>45868</v>
      </c>
      <c r="P52" s="25">
        <f t="shared" si="6"/>
        <v>37</v>
      </c>
      <c r="Q52" t="str">
        <f t="shared" si="7"/>
        <v>31-60</v>
      </c>
      <c r="R52" t="str">
        <f t="shared" si="8"/>
        <v>Due</v>
      </c>
    </row>
    <row r="53" spans="1:18" x14ac:dyDescent="0.35">
      <c r="A53" t="s">
        <v>60</v>
      </c>
      <c r="B53" t="s">
        <v>809</v>
      </c>
      <c r="C53" s="9">
        <v>45382</v>
      </c>
      <c r="D53" s="28" t="str">
        <f t="shared" si="0"/>
        <v>Mar 2024</v>
      </c>
      <c r="E53" s="9">
        <v>45412</v>
      </c>
      <c r="F53" t="s">
        <v>818</v>
      </c>
      <c r="G53">
        <v>1099.46</v>
      </c>
      <c r="H53" t="s">
        <v>821</v>
      </c>
      <c r="I53" s="15">
        <f t="shared" si="1"/>
        <v>1099.46</v>
      </c>
      <c r="J53" s="18">
        <f t="shared" si="2"/>
        <v>0</v>
      </c>
      <c r="K53" s="9">
        <v>45412</v>
      </c>
      <c r="L53" s="54">
        <f t="shared" si="3"/>
        <v>30</v>
      </c>
      <c r="M53" s="9" t="str">
        <f t="shared" si="4"/>
        <v>2024-Apr</v>
      </c>
      <c r="N53" t="s">
        <v>822</v>
      </c>
      <c r="O53" s="17">
        <f t="shared" si="5"/>
        <v>45868</v>
      </c>
      <c r="P53" s="25">
        <f t="shared" si="6"/>
        <v>0</v>
      </c>
      <c r="Q53" t="str">
        <f t="shared" si="7"/>
        <v>Paid</v>
      </c>
      <c r="R53" t="str">
        <f t="shared" si="8"/>
        <v>Not Due</v>
      </c>
    </row>
    <row r="54" spans="1:18" x14ac:dyDescent="0.35">
      <c r="A54" t="s">
        <v>61</v>
      </c>
      <c r="B54" t="s">
        <v>809</v>
      </c>
      <c r="C54" s="9">
        <v>45039</v>
      </c>
      <c r="D54" s="28" t="str">
        <f t="shared" si="0"/>
        <v>Apr 2023</v>
      </c>
      <c r="E54" s="9">
        <v>45069</v>
      </c>
      <c r="F54" t="s">
        <v>815</v>
      </c>
      <c r="G54">
        <v>2176.36</v>
      </c>
      <c r="H54" t="s">
        <v>821</v>
      </c>
      <c r="I54" s="15">
        <f t="shared" si="1"/>
        <v>2176.36</v>
      </c>
      <c r="J54" s="18">
        <f t="shared" si="2"/>
        <v>0</v>
      </c>
      <c r="K54" s="9">
        <v>45069</v>
      </c>
      <c r="L54" s="54">
        <f t="shared" si="3"/>
        <v>30</v>
      </c>
      <c r="M54" s="9" t="str">
        <f t="shared" si="4"/>
        <v>2023-May</v>
      </c>
      <c r="N54" t="s">
        <v>822</v>
      </c>
      <c r="O54" s="17">
        <f t="shared" si="5"/>
        <v>45868</v>
      </c>
      <c r="P54" s="25">
        <f t="shared" si="6"/>
        <v>0</v>
      </c>
      <c r="Q54" t="str">
        <f t="shared" si="7"/>
        <v>Paid</v>
      </c>
      <c r="R54" t="str">
        <f t="shared" si="8"/>
        <v>Not Due</v>
      </c>
    </row>
    <row r="55" spans="1:18" x14ac:dyDescent="0.35">
      <c r="A55" t="s">
        <v>62</v>
      </c>
      <c r="B55" t="s">
        <v>811</v>
      </c>
      <c r="C55" s="9">
        <v>45162</v>
      </c>
      <c r="D55" s="28" t="str">
        <f t="shared" si="0"/>
        <v>Aug 2023</v>
      </c>
      <c r="E55" s="9">
        <v>45192</v>
      </c>
      <c r="F55" t="s">
        <v>815</v>
      </c>
      <c r="G55">
        <v>2238.11</v>
      </c>
      <c r="H55" t="s">
        <v>820</v>
      </c>
      <c r="I55" s="15">
        <f t="shared" si="1"/>
        <v>0</v>
      </c>
      <c r="J55" s="18" t="str">
        <f t="shared" si="2"/>
        <v>N/A</v>
      </c>
      <c r="L55" s="54" t="str">
        <f t="shared" si="3"/>
        <v/>
      </c>
      <c r="M55" s="9" t="str">
        <f t="shared" si="4"/>
        <v/>
      </c>
      <c r="N55" t="s">
        <v>822</v>
      </c>
      <c r="O55" s="17">
        <f t="shared" si="5"/>
        <v>45868</v>
      </c>
      <c r="P55" s="25">
        <f t="shared" si="6"/>
        <v>676</v>
      </c>
      <c r="Q55" t="str">
        <f t="shared" si="7"/>
        <v>90+</v>
      </c>
      <c r="R55" t="str">
        <f t="shared" si="8"/>
        <v>Due</v>
      </c>
    </row>
    <row r="56" spans="1:18" x14ac:dyDescent="0.35">
      <c r="A56" t="s">
        <v>63</v>
      </c>
      <c r="B56" t="s">
        <v>809</v>
      </c>
      <c r="C56" s="9">
        <v>45055</v>
      </c>
      <c r="D56" s="28" t="str">
        <f t="shared" si="0"/>
        <v>May 2023</v>
      </c>
      <c r="E56" s="9">
        <v>45085</v>
      </c>
      <c r="F56" t="s">
        <v>818</v>
      </c>
      <c r="G56">
        <v>1068.42</v>
      </c>
      <c r="H56" t="s">
        <v>820</v>
      </c>
      <c r="I56" s="15">
        <f t="shared" si="1"/>
        <v>0</v>
      </c>
      <c r="J56" s="18" t="str">
        <f t="shared" si="2"/>
        <v>N/A</v>
      </c>
      <c r="L56" s="54" t="str">
        <f t="shared" si="3"/>
        <v/>
      </c>
      <c r="M56" s="9" t="str">
        <f t="shared" si="4"/>
        <v/>
      </c>
      <c r="N56" t="s">
        <v>822</v>
      </c>
      <c r="O56" s="17">
        <f t="shared" si="5"/>
        <v>45868</v>
      </c>
      <c r="P56" s="25">
        <f t="shared" si="6"/>
        <v>783</v>
      </c>
      <c r="Q56" t="str">
        <f t="shared" si="7"/>
        <v>90+</v>
      </c>
      <c r="R56" t="str">
        <f t="shared" si="8"/>
        <v>Due</v>
      </c>
    </row>
    <row r="57" spans="1:18" x14ac:dyDescent="0.35">
      <c r="A57" t="s">
        <v>64</v>
      </c>
      <c r="B57" t="s">
        <v>813</v>
      </c>
      <c r="C57" s="9">
        <v>45279</v>
      </c>
      <c r="D57" s="28" t="str">
        <f t="shared" si="0"/>
        <v>Dec 2023</v>
      </c>
      <c r="E57" s="9">
        <v>45309</v>
      </c>
      <c r="F57" t="s">
        <v>818</v>
      </c>
      <c r="G57">
        <v>2103.25</v>
      </c>
      <c r="H57" t="s">
        <v>820</v>
      </c>
      <c r="I57" s="15">
        <f t="shared" si="1"/>
        <v>0</v>
      </c>
      <c r="J57" s="18" t="str">
        <f t="shared" si="2"/>
        <v>N/A</v>
      </c>
      <c r="L57" s="54" t="str">
        <f t="shared" si="3"/>
        <v/>
      </c>
      <c r="M57" s="9" t="str">
        <f t="shared" si="4"/>
        <v/>
      </c>
      <c r="N57" t="s">
        <v>822</v>
      </c>
      <c r="O57" s="17">
        <f t="shared" si="5"/>
        <v>45868</v>
      </c>
      <c r="P57" s="25">
        <f t="shared" si="6"/>
        <v>559</v>
      </c>
      <c r="Q57" t="str">
        <f t="shared" si="7"/>
        <v>90+</v>
      </c>
      <c r="R57" t="str">
        <f t="shared" si="8"/>
        <v>Due</v>
      </c>
    </row>
    <row r="58" spans="1:18" x14ac:dyDescent="0.35">
      <c r="A58" t="s">
        <v>65</v>
      </c>
      <c r="B58" t="s">
        <v>812</v>
      </c>
      <c r="C58" s="9">
        <v>45238</v>
      </c>
      <c r="D58" s="28" t="str">
        <f t="shared" si="0"/>
        <v>Nov 2023</v>
      </c>
      <c r="E58" s="9">
        <v>45268</v>
      </c>
      <c r="F58" t="s">
        <v>817</v>
      </c>
      <c r="G58">
        <v>422.98</v>
      </c>
      <c r="H58" t="s">
        <v>821</v>
      </c>
      <c r="I58" s="15">
        <f t="shared" si="1"/>
        <v>422.98</v>
      </c>
      <c r="J58" s="18">
        <f t="shared" si="2"/>
        <v>0</v>
      </c>
      <c r="K58" s="9">
        <v>45268</v>
      </c>
      <c r="L58" s="54">
        <f t="shared" si="3"/>
        <v>30</v>
      </c>
      <c r="M58" s="9" t="str">
        <f t="shared" si="4"/>
        <v>2023-Dec</v>
      </c>
      <c r="N58" t="s">
        <v>822</v>
      </c>
      <c r="O58" s="17">
        <f t="shared" si="5"/>
        <v>45868</v>
      </c>
      <c r="P58" s="25">
        <f t="shared" si="6"/>
        <v>0</v>
      </c>
      <c r="Q58" t="str">
        <f t="shared" si="7"/>
        <v>Paid</v>
      </c>
      <c r="R58" t="str">
        <f t="shared" si="8"/>
        <v>Not Due</v>
      </c>
    </row>
    <row r="59" spans="1:18" x14ac:dyDescent="0.35">
      <c r="A59" t="s">
        <v>66</v>
      </c>
      <c r="B59" t="s">
        <v>809</v>
      </c>
      <c r="C59" s="9">
        <v>44929</v>
      </c>
      <c r="D59" s="28" t="str">
        <f t="shared" si="0"/>
        <v>Jan 2023</v>
      </c>
      <c r="E59" s="9">
        <v>44959</v>
      </c>
      <c r="F59" t="s">
        <v>817</v>
      </c>
      <c r="G59">
        <v>2784.23</v>
      </c>
      <c r="H59" t="s">
        <v>820</v>
      </c>
      <c r="I59" s="15">
        <f t="shared" si="1"/>
        <v>0</v>
      </c>
      <c r="J59" s="18" t="str">
        <f t="shared" si="2"/>
        <v>N/A</v>
      </c>
      <c r="L59" s="54" t="str">
        <f t="shared" si="3"/>
        <v/>
      </c>
      <c r="M59" s="9" t="str">
        <f t="shared" si="4"/>
        <v/>
      </c>
      <c r="N59" t="s">
        <v>822</v>
      </c>
      <c r="O59" s="17">
        <f t="shared" si="5"/>
        <v>45868</v>
      </c>
      <c r="P59" s="25">
        <f t="shared" si="6"/>
        <v>909</v>
      </c>
      <c r="Q59" t="str">
        <f t="shared" si="7"/>
        <v>90+</v>
      </c>
      <c r="R59" t="str">
        <f t="shared" si="8"/>
        <v>Due</v>
      </c>
    </row>
    <row r="60" spans="1:18" x14ac:dyDescent="0.35">
      <c r="A60" t="s">
        <v>67</v>
      </c>
      <c r="B60" t="s">
        <v>813</v>
      </c>
      <c r="C60" s="9">
        <v>45462</v>
      </c>
      <c r="D60" s="28" t="str">
        <f t="shared" si="0"/>
        <v>Jun 2024</v>
      </c>
      <c r="E60" s="9">
        <v>45492</v>
      </c>
      <c r="F60" t="s">
        <v>815</v>
      </c>
      <c r="G60">
        <v>2127.1</v>
      </c>
      <c r="H60" t="s">
        <v>819</v>
      </c>
      <c r="I60" s="15">
        <f t="shared" si="1"/>
        <v>0</v>
      </c>
      <c r="J60" s="18">
        <f t="shared" si="2"/>
        <v>2127.1</v>
      </c>
      <c r="L60" s="54" t="str">
        <f t="shared" si="3"/>
        <v/>
      </c>
      <c r="M60" s="9" t="str">
        <f t="shared" si="4"/>
        <v/>
      </c>
      <c r="N60" t="s">
        <v>822</v>
      </c>
      <c r="O60" s="17">
        <f t="shared" si="5"/>
        <v>45868</v>
      </c>
      <c r="P60" s="25">
        <f t="shared" si="6"/>
        <v>376</v>
      </c>
      <c r="Q60" t="str">
        <f t="shared" si="7"/>
        <v>90+</v>
      </c>
      <c r="R60" t="str">
        <f t="shared" si="8"/>
        <v>Due</v>
      </c>
    </row>
    <row r="61" spans="1:18" x14ac:dyDescent="0.35">
      <c r="A61" t="s">
        <v>68</v>
      </c>
      <c r="B61" t="s">
        <v>809</v>
      </c>
      <c r="C61" s="9">
        <v>45725</v>
      </c>
      <c r="D61" s="28" t="str">
        <f t="shared" si="0"/>
        <v>Mar 2025</v>
      </c>
      <c r="E61" s="9">
        <v>45755</v>
      </c>
      <c r="F61" t="s">
        <v>816</v>
      </c>
      <c r="G61">
        <v>786.17</v>
      </c>
      <c r="H61" t="s">
        <v>820</v>
      </c>
      <c r="I61" s="15">
        <f t="shared" si="1"/>
        <v>0</v>
      </c>
      <c r="J61" s="18" t="str">
        <f t="shared" si="2"/>
        <v>N/A</v>
      </c>
      <c r="L61" s="54" t="str">
        <f t="shared" si="3"/>
        <v/>
      </c>
      <c r="M61" s="9" t="str">
        <f t="shared" si="4"/>
        <v/>
      </c>
      <c r="N61" t="s">
        <v>822</v>
      </c>
      <c r="O61" s="17">
        <f t="shared" si="5"/>
        <v>45868</v>
      </c>
      <c r="P61" s="25">
        <f t="shared" si="6"/>
        <v>113</v>
      </c>
      <c r="Q61" t="str">
        <f t="shared" si="7"/>
        <v>90+</v>
      </c>
      <c r="R61" t="str">
        <f t="shared" si="8"/>
        <v>Due</v>
      </c>
    </row>
    <row r="62" spans="1:18" x14ac:dyDescent="0.35">
      <c r="A62" t="s">
        <v>69</v>
      </c>
      <c r="B62" t="s">
        <v>809</v>
      </c>
      <c r="C62" s="9">
        <v>45440</v>
      </c>
      <c r="D62" s="28" t="str">
        <f t="shared" si="0"/>
        <v>May 2024</v>
      </c>
      <c r="E62" s="9">
        <v>45470</v>
      </c>
      <c r="F62" t="s">
        <v>816</v>
      </c>
      <c r="G62">
        <v>5230.78</v>
      </c>
      <c r="H62" t="s">
        <v>821</v>
      </c>
      <c r="I62" s="15">
        <f t="shared" si="1"/>
        <v>5230.78</v>
      </c>
      <c r="J62" s="18">
        <f t="shared" si="2"/>
        <v>0</v>
      </c>
      <c r="K62" s="9">
        <v>45470</v>
      </c>
      <c r="L62" s="54">
        <f t="shared" si="3"/>
        <v>30</v>
      </c>
      <c r="M62" s="9" t="str">
        <f t="shared" si="4"/>
        <v>2024-Jun</v>
      </c>
      <c r="N62" t="s">
        <v>822</v>
      </c>
      <c r="O62" s="17">
        <f t="shared" si="5"/>
        <v>45868</v>
      </c>
      <c r="P62" s="25">
        <f t="shared" si="6"/>
        <v>0</v>
      </c>
      <c r="Q62" t="str">
        <f t="shared" si="7"/>
        <v>Paid</v>
      </c>
      <c r="R62" t="str">
        <f t="shared" si="8"/>
        <v>Not Due</v>
      </c>
    </row>
    <row r="63" spans="1:18" x14ac:dyDescent="0.35">
      <c r="A63" t="s">
        <v>70</v>
      </c>
      <c r="B63" t="s">
        <v>809</v>
      </c>
      <c r="C63" s="9">
        <v>45408</v>
      </c>
      <c r="D63" s="28" t="str">
        <f t="shared" si="0"/>
        <v>Apr 2024</v>
      </c>
      <c r="E63" s="9">
        <v>45438</v>
      </c>
      <c r="F63" t="s">
        <v>815</v>
      </c>
      <c r="G63">
        <v>1484.09</v>
      </c>
      <c r="H63" t="s">
        <v>820</v>
      </c>
      <c r="I63" s="15">
        <f t="shared" si="1"/>
        <v>0</v>
      </c>
      <c r="J63" s="18" t="str">
        <f t="shared" si="2"/>
        <v>N/A</v>
      </c>
      <c r="L63" s="54" t="str">
        <f t="shared" si="3"/>
        <v/>
      </c>
      <c r="M63" s="9" t="str">
        <f t="shared" si="4"/>
        <v/>
      </c>
      <c r="N63" t="s">
        <v>822</v>
      </c>
      <c r="O63" s="17">
        <f t="shared" si="5"/>
        <v>45868</v>
      </c>
      <c r="P63" s="25">
        <f t="shared" si="6"/>
        <v>430</v>
      </c>
      <c r="Q63" t="str">
        <f t="shared" si="7"/>
        <v>90+</v>
      </c>
      <c r="R63" t="str">
        <f t="shared" si="8"/>
        <v>Due</v>
      </c>
    </row>
    <row r="64" spans="1:18" x14ac:dyDescent="0.35">
      <c r="A64" t="s">
        <v>71</v>
      </c>
      <c r="B64" t="s">
        <v>811</v>
      </c>
      <c r="C64" s="9">
        <v>44981</v>
      </c>
      <c r="D64" s="28" t="str">
        <f t="shared" si="0"/>
        <v>Feb 2023</v>
      </c>
      <c r="E64" s="9">
        <v>45011</v>
      </c>
      <c r="F64" t="s">
        <v>818</v>
      </c>
      <c r="G64">
        <v>1572.77</v>
      </c>
      <c r="H64" t="s">
        <v>821</v>
      </c>
      <c r="I64" s="15">
        <f t="shared" si="1"/>
        <v>1572.77</v>
      </c>
      <c r="J64" s="18">
        <f t="shared" si="2"/>
        <v>0</v>
      </c>
      <c r="K64" s="9">
        <v>45011</v>
      </c>
      <c r="L64" s="54">
        <f t="shared" si="3"/>
        <v>30</v>
      </c>
      <c r="M64" s="9" t="str">
        <f t="shared" si="4"/>
        <v>2023-Mar</v>
      </c>
      <c r="N64" t="s">
        <v>822</v>
      </c>
      <c r="O64" s="17">
        <f t="shared" si="5"/>
        <v>45868</v>
      </c>
      <c r="P64" s="25">
        <f t="shared" si="6"/>
        <v>0</v>
      </c>
      <c r="Q64" t="str">
        <f t="shared" si="7"/>
        <v>Paid</v>
      </c>
      <c r="R64" t="str">
        <f t="shared" si="8"/>
        <v>Not Due</v>
      </c>
    </row>
    <row r="65" spans="1:18" x14ac:dyDescent="0.35">
      <c r="A65" t="s">
        <v>72</v>
      </c>
      <c r="B65" t="s">
        <v>809</v>
      </c>
      <c r="C65" s="9">
        <v>45703</v>
      </c>
      <c r="D65" s="28" t="str">
        <f t="shared" si="0"/>
        <v>Feb 2025</v>
      </c>
      <c r="E65" s="9">
        <v>45733</v>
      </c>
      <c r="F65" t="s">
        <v>816</v>
      </c>
      <c r="G65">
        <v>4596.79</v>
      </c>
      <c r="H65" t="s">
        <v>821</v>
      </c>
      <c r="I65" s="15">
        <f t="shared" si="1"/>
        <v>4596.79</v>
      </c>
      <c r="J65" s="18">
        <f t="shared" si="2"/>
        <v>0</v>
      </c>
      <c r="K65" s="9">
        <v>45733</v>
      </c>
      <c r="L65" s="54">
        <f t="shared" si="3"/>
        <v>30</v>
      </c>
      <c r="M65" s="9" t="str">
        <f t="shared" si="4"/>
        <v>2025-Mar</v>
      </c>
      <c r="N65" t="s">
        <v>822</v>
      </c>
      <c r="O65" s="17">
        <f t="shared" si="5"/>
        <v>45868</v>
      </c>
      <c r="P65" s="25">
        <f t="shared" si="6"/>
        <v>0</v>
      </c>
      <c r="Q65" t="str">
        <f t="shared" si="7"/>
        <v>Paid</v>
      </c>
      <c r="R65" t="str">
        <f t="shared" si="8"/>
        <v>Not Due</v>
      </c>
    </row>
    <row r="66" spans="1:18" x14ac:dyDescent="0.35">
      <c r="A66" t="s">
        <v>73</v>
      </c>
      <c r="B66" t="s">
        <v>810</v>
      </c>
      <c r="C66" s="9">
        <v>45404</v>
      </c>
      <c r="D66" s="28" t="str">
        <f t="shared" si="0"/>
        <v>Apr 2024</v>
      </c>
      <c r="E66" s="9">
        <v>45434</v>
      </c>
      <c r="F66" t="s">
        <v>816</v>
      </c>
      <c r="G66">
        <v>4853.0200000000004</v>
      </c>
      <c r="H66" t="s">
        <v>820</v>
      </c>
      <c r="I66" s="15">
        <f t="shared" si="1"/>
        <v>0</v>
      </c>
      <c r="J66" s="18" t="str">
        <f t="shared" si="2"/>
        <v>N/A</v>
      </c>
      <c r="L66" s="54" t="str">
        <f t="shared" si="3"/>
        <v/>
      </c>
      <c r="M66" s="9" t="str">
        <f t="shared" si="4"/>
        <v/>
      </c>
      <c r="N66" t="s">
        <v>822</v>
      </c>
      <c r="O66" s="17">
        <f t="shared" si="5"/>
        <v>45868</v>
      </c>
      <c r="P66" s="25">
        <f t="shared" si="6"/>
        <v>434</v>
      </c>
      <c r="Q66" t="str">
        <f t="shared" si="7"/>
        <v>90+</v>
      </c>
      <c r="R66" t="str">
        <f t="shared" si="8"/>
        <v>Due</v>
      </c>
    </row>
    <row r="67" spans="1:18" x14ac:dyDescent="0.35">
      <c r="A67" t="s">
        <v>74</v>
      </c>
      <c r="B67" t="s">
        <v>811</v>
      </c>
      <c r="C67" s="9">
        <v>45762</v>
      </c>
      <c r="D67" s="28" t="str">
        <f t="shared" ref="D67:D130" si="9">TEXT(C67,"MMM YYYY")</f>
        <v>Apr 2025</v>
      </c>
      <c r="E67" s="9">
        <v>45792</v>
      </c>
      <c r="F67" t="s">
        <v>817</v>
      </c>
      <c r="G67">
        <v>2137.4499999999998</v>
      </c>
      <c r="H67" t="s">
        <v>819</v>
      </c>
      <c r="I67" s="15">
        <f t="shared" ref="I67:I130" si="10">IF(H67="Paid",G67,0)</f>
        <v>0</v>
      </c>
      <c r="J67" s="18">
        <f t="shared" ref="J67:J130" si="11">IF(H67="Open",G67,IF(H67="Paid",0,"N/A"))</f>
        <v>2137.4499999999998</v>
      </c>
      <c r="L67" s="54" t="str">
        <f t="shared" ref="L67:L130" si="12">IF(H67="Paid",K67-C67,"")</f>
        <v/>
      </c>
      <c r="M67" s="9" t="str">
        <f t="shared" ref="M67:M130" si="13">IF(K67="","",TEXT(K67, "YYYY-MMM"))</f>
        <v/>
      </c>
      <c r="N67" t="s">
        <v>822</v>
      </c>
      <c r="O67" s="17">
        <f t="shared" ref="O67:O130" si="14">MAX(MAX($C$2:$C$801), MAX($E$2:$E$801))</f>
        <v>45868</v>
      </c>
      <c r="P67" s="25">
        <f t="shared" ref="P67:P130" si="15">IF(K67="", O67-E67,0)</f>
        <v>76</v>
      </c>
      <c r="Q67" t="str">
        <f t="shared" ref="Q67:Q130" si="16">IF(H67="Paid","Paid",
   IF(P67&lt;=0,"Current",
      IF(P67&lt;=30,"1-30",
         IF(P67&lt;=60,"31-60",
            IF(P67&lt;=90,"61-90","90+")))))</f>
        <v>61-90</v>
      </c>
      <c r="R67" t="str">
        <f t="shared" ref="R67:R130" si="17">IF(P67=0, "Not Due","Due")</f>
        <v>Due</v>
      </c>
    </row>
    <row r="68" spans="1:18" x14ac:dyDescent="0.35">
      <c r="A68" t="s">
        <v>75</v>
      </c>
      <c r="B68" t="s">
        <v>813</v>
      </c>
      <c r="C68" s="9">
        <v>45697</v>
      </c>
      <c r="D68" s="28" t="str">
        <f t="shared" si="9"/>
        <v>Feb 2025</v>
      </c>
      <c r="E68" s="9">
        <v>45727</v>
      </c>
      <c r="F68" t="s">
        <v>817</v>
      </c>
      <c r="G68">
        <v>3793.28</v>
      </c>
      <c r="H68" t="s">
        <v>821</v>
      </c>
      <c r="I68" s="15">
        <f t="shared" si="10"/>
        <v>3793.28</v>
      </c>
      <c r="J68" s="18">
        <f t="shared" si="11"/>
        <v>0</v>
      </c>
      <c r="K68" s="9">
        <v>45727</v>
      </c>
      <c r="L68" s="54">
        <f t="shared" si="12"/>
        <v>30</v>
      </c>
      <c r="M68" s="9" t="str">
        <f t="shared" si="13"/>
        <v>2025-Mar</v>
      </c>
      <c r="N68" t="s">
        <v>822</v>
      </c>
      <c r="O68" s="17">
        <f t="shared" si="14"/>
        <v>45868</v>
      </c>
      <c r="P68" s="25">
        <f t="shared" si="15"/>
        <v>0</v>
      </c>
      <c r="Q68" t="str">
        <f t="shared" si="16"/>
        <v>Paid</v>
      </c>
      <c r="R68" t="str">
        <f t="shared" si="17"/>
        <v>Not Due</v>
      </c>
    </row>
    <row r="69" spans="1:18" x14ac:dyDescent="0.35">
      <c r="A69" t="s">
        <v>76</v>
      </c>
      <c r="B69" t="s">
        <v>809</v>
      </c>
      <c r="C69" s="9">
        <v>45660</v>
      </c>
      <c r="D69" s="28" t="str">
        <f t="shared" si="9"/>
        <v>Jan 2025</v>
      </c>
      <c r="E69" s="9">
        <v>45690</v>
      </c>
      <c r="F69" t="s">
        <v>815</v>
      </c>
      <c r="G69">
        <v>2146.6999999999998</v>
      </c>
      <c r="H69" t="s">
        <v>821</v>
      </c>
      <c r="I69" s="15">
        <f t="shared" si="10"/>
        <v>2146.6999999999998</v>
      </c>
      <c r="J69" s="18">
        <f t="shared" si="11"/>
        <v>0</v>
      </c>
      <c r="K69" s="9">
        <v>45690</v>
      </c>
      <c r="L69" s="54">
        <f t="shared" si="12"/>
        <v>30</v>
      </c>
      <c r="M69" s="9" t="str">
        <f t="shared" si="13"/>
        <v>2025-Feb</v>
      </c>
      <c r="N69" t="s">
        <v>822</v>
      </c>
      <c r="O69" s="17">
        <f t="shared" si="14"/>
        <v>45868</v>
      </c>
      <c r="P69" s="25">
        <f t="shared" si="15"/>
        <v>0</v>
      </c>
      <c r="Q69" t="str">
        <f t="shared" si="16"/>
        <v>Paid</v>
      </c>
      <c r="R69" t="str">
        <f t="shared" si="17"/>
        <v>Not Due</v>
      </c>
    </row>
    <row r="70" spans="1:18" x14ac:dyDescent="0.35">
      <c r="A70" t="s">
        <v>77</v>
      </c>
      <c r="B70" t="s">
        <v>809</v>
      </c>
      <c r="C70" s="9">
        <v>45497</v>
      </c>
      <c r="D70" s="28" t="str">
        <f t="shared" si="9"/>
        <v>Jul 2024</v>
      </c>
      <c r="E70" s="9">
        <v>45527</v>
      </c>
      <c r="F70" t="s">
        <v>817</v>
      </c>
      <c r="G70">
        <v>4968.32</v>
      </c>
      <c r="H70" t="s">
        <v>819</v>
      </c>
      <c r="I70" s="15">
        <f t="shared" si="10"/>
        <v>0</v>
      </c>
      <c r="J70" s="18">
        <f t="shared" si="11"/>
        <v>4968.32</v>
      </c>
      <c r="L70" s="54" t="str">
        <f t="shared" si="12"/>
        <v/>
      </c>
      <c r="M70" s="9" t="str">
        <f t="shared" si="13"/>
        <v/>
      </c>
      <c r="N70" t="s">
        <v>822</v>
      </c>
      <c r="O70" s="17">
        <f t="shared" si="14"/>
        <v>45868</v>
      </c>
      <c r="P70" s="25">
        <f t="shared" si="15"/>
        <v>341</v>
      </c>
      <c r="Q70" t="str">
        <f t="shared" si="16"/>
        <v>90+</v>
      </c>
      <c r="R70" t="str">
        <f t="shared" si="17"/>
        <v>Due</v>
      </c>
    </row>
    <row r="71" spans="1:18" x14ac:dyDescent="0.35">
      <c r="A71" t="s">
        <v>78</v>
      </c>
      <c r="B71" t="s">
        <v>809</v>
      </c>
      <c r="C71" s="9">
        <v>44958</v>
      </c>
      <c r="D71" s="28" t="str">
        <f t="shared" si="9"/>
        <v>Feb 2023</v>
      </c>
      <c r="E71" s="9">
        <v>44988</v>
      </c>
      <c r="F71" t="s">
        <v>817</v>
      </c>
      <c r="G71">
        <v>4336.91</v>
      </c>
      <c r="H71" t="s">
        <v>819</v>
      </c>
      <c r="I71" s="15">
        <f t="shared" si="10"/>
        <v>0</v>
      </c>
      <c r="J71" s="18">
        <f t="shared" si="11"/>
        <v>4336.91</v>
      </c>
      <c r="L71" s="54" t="str">
        <f t="shared" si="12"/>
        <v/>
      </c>
      <c r="M71" s="9" t="str">
        <f t="shared" si="13"/>
        <v/>
      </c>
      <c r="N71" t="s">
        <v>822</v>
      </c>
      <c r="O71" s="17">
        <f t="shared" si="14"/>
        <v>45868</v>
      </c>
      <c r="P71" s="25">
        <f t="shared" si="15"/>
        <v>880</v>
      </c>
      <c r="Q71" t="str">
        <f t="shared" si="16"/>
        <v>90+</v>
      </c>
      <c r="R71" t="str">
        <f t="shared" si="17"/>
        <v>Due</v>
      </c>
    </row>
    <row r="72" spans="1:18" x14ac:dyDescent="0.35">
      <c r="A72" t="s">
        <v>79</v>
      </c>
      <c r="B72" t="s">
        <v>813</v>
      </c>
      <c r="C72" s="9">
        <v>45629</v>
      </c>
      <c r="D72" s="28" t="str">
        <f t="shared" si="9"/>
        <v>Dec 2024</v>
      </c>
      <c r="E72" s="9">
        <v>45659</v>
      </c>
      <c r="F72" t="s">
        <v>817</v>
      </c>
      <c r="G72">
        <v>2479.9499999999998</v>
      </c>
      <c r="H72" t="s">
        <v>821</v>
      </c>
      <c r="I72" s="15">
        <f t="shared" si="10"/>
        <v>2479.9499999999998</v>
      </c>
      <c r="J72" s="18">
        <f t="shared" si="11"/>
        <v>0</v>
      </c>
      <c r="K72" s="9">
        <v>45659</v>
      </c>
      <c r="L72" s="54">
        <f t="shared" si="12"/>
        <v>30</v>
      </c>
      <c r="M72" s="9" t="str">
        <f t="shared" si="13"/>
        <v>2025-Jan</v>
      </c>
      <c r="N72" t="s">
        <v>822</v>
      </c>
      <c r="O72" s="17">
        <f t="shared" si="14"/>
        <v>45868</v>
      </c>
      <c r="P72" s="25">
        <f t="shared" si="15"/>
        <v>0</v>
      </c>
      <c r="Q72" t="str">
        <f t="shared" si="16"/>
        <v>Paid</v>
      </c>
      <c r="R72" t="str">
        <f t="shared" si="17"/>
        <v>Not Due</v>
      </c>
    </row>
    <row r="73" spans="1:18" x14ac:dyDescent="0.35">
      <c r="A73" t="s">
        <v>80</v>
      </c>
      <c r="B73" t="s">
        <v>813</v>
      </c>
      <c r="C73" s="9">
        <v>45821</v>
      </c>
      <c r="D73" s="28" t="str">
        <f t="shared" si="9"/>
        <v>Jun 2025</v>
      </c>
      <c r="E73" s="9">
        <v>45851</v>
      </c>
      <c r="F73" t="s">
        <v>817</v>
      </c>
      <c r="G73">
        <v>2498.69</v>
      </c>
      <c r="H73" t="s">
        <v>819</v>
      </c>
      <c r="I73" s="15">
        <f t="shared" si="10"/>
        <v>0</v>
      </c>
      <c r="J73" s="18">
        <f t="shared" si="11"/>
        <v>2498.69</v>
      </c>
      <c r="L73" s="54" t="str">
        <f t="shared" si="12"/>
        <v/>
      </c>
      <c r="M73" s="9" t="str">
        <f t="shared" si="13"/>
        <v/>
      </c>
      <c r="N73" t="s">
        <v>822</v>
      </c>
      <c r="O73" s="17">
        <f t="shared" si="14"/>
        <v>45868</v>
      </c>
      <c r="P73" s="25">
        <f t="shared" si="15"/>
        <v>17</v>
      </c>
      <c r="Q73" t="str">
        <f t="shared" si="16"/>
        <v>1-30</v>
      </c>
      <c r="R73" t="str">
        <f t="shared" si="17"/>
        <v>Due</v>
      </c>
    </row>
    <row r="74" spans="1:18" x14ac:dyDescent="0.35">
      <c r="A74" t="s">
        <v>81</v>
      </c>
      <c r="B74" t="s">
        <v>810</v>
      </c>
      <c r="C74" s="9">
        <v>45597</v>
      </c>
      <c r="D74" s="28" t="str">
        <f t="shared" si="9"/>
        <v>Nov 2024</v>
      </c>
      <c r="E74" s="9">
        <v>45627</v>
      </c>
      <c r="F74" t="s">
        <v>815</v>
      </c>
      <c r="G74">
        <v>1521.01</v>
      </c>
      <c r="H74" t="s">
        <v>821</v>
      </c>
      <c r="I74" s="15">
        <f t="shared" si="10"/>
        <v>1521.01</v>
      </c>
      <c r="J74" s="18">
        <f t="shared" si="11"/>
        <v>0</v>
      </c>
      <c r="K74" s="9">
        <v>45627</v>
      </c>
      <c r="L74" s="54">
        <f t="shared" si="12"/>
        <v>30</v>
      </c>
      <c r="M74" s="9" t="str">
        <f t="shared" si="13"/>
        <v>2024-Dec</v>
      </c>
      <c r="N74" t="s">
        <v>822</v>
      </c>
      <c r="O74" s="17">
        <f t="shared" si="14"/>
        <v>45868</v>
      </c>
      <c r="P74" s="25">
        <f t="shared" si="15"/>
        <v>0</v>
      </c>
      <c r="Q74" t="str">
        <f t="shared" si="16"/>
        <v>Paid</v>
      </c>
      <c r="R74" t="str">
        <f t="shared" si="17"/>
        <v>Not Due</v>
      </c>
    </row>
    <row r="75" spans="1:18" x14ac:dyDescent="0.35">
      <c r="A75" t="s">
        <v>82</v>
      </c>
      <c r="B75" t="s">
        <v>809</v>
      </c>
      <c r="C75" s="9">
        <v>45092</v>
      </c>
      <c r="D75" s="28" t="str">
        <f t="shared" si="9"/>
        <v>Jun 2023</v>
      </c>
      <c r="E75" s="9">
        <v>45122</v>
      </c>
      <c r="F75" t="s">
        <v>818</v>
      </c>
      <c r="G75">
        <v>1499.08</v>
      </c>
      <c r="H75" t="s">
        <v>820</v>
      </c>
      <c r="I75" s="15">
        <f t="shared" si="10"/>
        <v>0</v>
      </c>
      <c r="J75" s="18" t="str">
        <f t="shared" si="11"/>
        <v>N/A</v>
      </c>
      <c r="L75" s="54" t="str">
        <f t="shared" si="12"/>
        <v/>
      </c>
      <c r="M75" s="9" t="str">
        <f t="shared" si="13"/>
        <v/>
      </c>
      <c r="N75" t="s">
        <v>822</v>
      </c>
      <c r="O75" s="17">
        <f t="shared" si="14"/>
        <v>45868</v>
      </c>
      <c r="P75" s="25">
        <f t="shared" si="15"/>
        <v>746</v>
      </c>
      <c r="Q75" t="str">
        <f t="shared" si="16"/>
        <v>90+</v>
      </c>
      <c r="R75" t="str">
        <f t="shared" si="17"/>
        <v>Due</v>
      </c>
    </row>
    <row r="76" spans="1:18" x14ac:dyDescent="0.35">
      <c r="A76" t="s">
        <v>83</v>
      </c>
      <c r="B76" t="s">
        <v>811</v>
      </c>
      <c r="C76" s="9">
        <v>45187</v>
      </c>
      <c r="D76" s="28" t="str">
        <f t="shared" si="9"/>
        <v>Sep 2023</v>
      </c>
      <c r="E76" s="9">
        <v>45217</v>
      </c>
      <c r="F76" t="s">
        <v>817</v>
      </c>
      <c r="G76">
        <v>3536.09</v>
      </c>
      <c r="H76" t="s">
        <v>821</v>
      </c>
      <c r="I76" s="15">
        <f t="shared" si="10"/>
        <v>3536.09</v>
      </c>
      <c r="J76" s="18">
        <f t="shared" si="11"/>
        <v>0</v>
      </c>
      <c r="K76" s="9">
        <v>45217</v>
      </c>
      <c r="L76" s="54">
        <f t="shared" si="12"/>
        <v>30</v>
      </c>
      <c r="M76" s="9" t="str">
        <f t="shared" si="13"/>
        <v>2023-Oct</v>
      </c>
      <c r="N76" t="s">
        <v>822</v>
      </c>
      <c r="O76" s="17">
        <f t="shared" si="14"/>
        <v>45868</v>
      </c>
      <c r="P76" s="25">
        <f t="shared" si="15"/>
        <v>0</v>
      </c>
      <c r="Q76" t="str">
        <f t="shared" si="16"/>
        <v>Paid</v>
      </c>
      <c r="R76" t="str">
        <f t="shared" si="17"/>
        <v>Not Due</v>
      </c>
    </row>
    <row r="77" spans="1:18" x14ac:dyDescent="0.35">
      <c r="A77" t="s">
        <v>84</v>
      </c>
      <c r="B77" t="s">
        <v>809</v>
      </c>
      <c r="C77" s="9">
        <v>45661</v>
      </c>
      <c r="D77" s="28" t="str">
        <f t="shared" si="9"/>
        <v>Jan 2025</v>
      </c>
      <c r="E77" s="9">
        <v>45691</v>
      </c>
      <c r="F77" t="s">
        <v>815</v>
      </c>
      <c r="G77">
        <v>2877.04</v>
      </c>
      <c r="H77" t="s">
        <v>819</v>
      </c>
      <c r="I77" s="15">
        <f t="shared" si="10"/>
        <v>0</v>
      </c>
      <c r="J77" s="18">
        <f t="shared" si="11"/>
        <v>2877.04</v>
      </c>
      <c r="L77" s="54" t="str">
        <f t="shared" si="12"/>
        <v/>
      </c>
      <c r="M77" s="9" t="str">
        <f t="shared" si="13"/>
        <v/>
      </c>
      <c r="N77" t="s">
        <v>822</v>
      </c>
      <c r="O77" s="17">
        <f t="shared" si="14"/>
        <v>45868</v>
      </c>
      <c r="P77" s="25">
        <f t="shared" si="15"/>
        <v>177</v>
      </c>
      <c r="Q77" t="str">
        <f t="shared" si="16"/>
        <v>90+</v>
      </c>
      <c r="R77" t="str">
        <f t="shared" si="17"/>
        <v>Due</v>
      </c>
    </row>
    <row r="78" spans="1:18" x14ac:dyDescent="0.35">
      <c r="A78" t="s">
        <v>85</v>
      </c>
      <c r="B78" t="s">
        <v>813</v>
      </c>
      <c r="C78" s="9">
        <v>45068</v>
      </c>
      <c r="D78" s="28" t="str">
        <f t="shared" si="9"/>
        <v>May 2023</v>
      </c>
      <c r="E78" s="9">
        <v>45098</v>
      </c>
      <c r="F78" t="s">
        <v>817</v>
      </c>
      <c r="G78">
        <v>1175.94</v>
      </c>
      <c r="H78" t="s">
        <v>820</v>
      </c>
      <c r="I78" s="15">
        <f t="shared" si="10"/>
        <v>0</v>
      </c>
      <c r="J78" s="18" t="str">
        <f t="shared" si="11"/>
        <v>N/A</v>
      </c>
      <c r="L78" s="54" t="str">
        <f t="shared" si="12"/>
        <v/>
      </c>
      <c r="M78" s="9" t="str">
        <f t="shared" si="13"/>
        <v/>
      </c>
      <c r="N78" t="s">
        <v>822</v>
      </c>
      <c r="O78" s="17">
        <f t="shared" si="14"/>
        <v>45868</v>
      </c>
      <c r="P78" s="25">
        <f t="shared" si="15"/>
        <v>770</v>
      </c>
      <c r="Q78" t="str">
        <f t="shared" si="16"/>
        <v>90+</v>
      </c>
      <c r="R78" t="str">
        <f t="shared" si="17"/>
        <v>Due</v>
      </c>
    </row>
    <row r="79" spans="1:18" x14ac:dyDescent="0.35">
      <c r="A79" t="s">
        <v>86</v>
      </c>
      <c r="B79" t="s">
        <v>812</v>
      </c>
      <c r="C79" s="9">
        <v>45556</v>
      </c>
      <c r="D79" s="28" t="str">
        <f t="shared" si="9"/>
        <v>Sep 2024</v>
      </c>
      <c r="E79" s="9">
        <v>45586</v>
      </c>
      <c r="F79" t="s">
        <v>818</v>
      </c>
      <c r="G79">
        <v>1148.67</v>
      </c>
      <c r="H79" t="s">
        <v>821</v>
      </c>
      <c r="I79" s="15">
        <f t="shared" si="10"/>
        <v>1148.67</v>
      </c>
      <c r="J79" s="18">
        <f t="shared" si="11"/>
        <v>0</v>
      </c>
      <c r="K79" s="9">
        <v>45586</v>
      </c>
      <c r="L79" s="54">
        <f t="shared" si="12"/>
        <v>30</v>
      </c>
      <c r="M79" s="9" t="str">
        <f t="shared" si="13"/>
        <v>2024-Oct</v>
      </c>
      <c r="N79" t="s">
        <v>822</v>
      </c>
      <c r="O79" s="17">
        <f t="shared" si="14"/>
        <v>45868</v>
      </c>
      <c r="P79" s="25">
        <f t="shared" si="15"/>
        <v>0</v>
      </c>
      <c r="Q79" t="str">
        <f t="shared" si="16"/>
        <v>Paid</v>
      </c>
      <c r="R79" t="str">
        <f t="shared" si="17"/>
        <v>Not Due</v>
      </c>
    </row>
    <row r="80" spans="1:18" x14ac:dyDescent="0.35">
      <c r="A80" t="s">
        <v>87</v>
      </c>
      <c r="B80" t="s">
        <v>812</v>
      </c>
      <c r="C80" s="9">
        <v>45401</v>
      </c>
      <c r="D80" s="28" t="str">
        <f t="shared" si="9"/>
        <v>Apr 2024</v>
      </c>
      <c r="E80" s="9">
        <v>45431</v>
      </c>
      <c r="F80" t="s">
        <v>817</v>
      </c>
      <c r="G80">
        <v>1687.52</v>
      </c>
      <c r="H80" t="s">
        <v>821</v>
      </c>
      <c r="I80" s="15">
        <f t="shared" si="10"/>
        <v>1687.52</v>
      </c>
      <c r="J80" s="18">
        <f t="shared" si="11"/>
        <v>0</v>
      </c>
      <c r="K80" s="9">
        <v>45431</v>
      </c>
      <c r="L80" s="54">
        <f t="shared" si="12"/>
        <v>30</v>
      </c>
      <c r="M80" s="9" t="str">
        <f t="shared" si="13"/>
        <v>2024-May</v>
      </c>
      <c r="N80" t="s">
        <v>822</v>
      </c>
      <c r="O80" s="17">
        <f t="shared" si="14"/>
        <v>45868</v>
      </c>
      <c r="P80" s="25">
        <f t="shared" si="15"/>
        <v>0</v>
      </c>
      <c r="Q80" t="str">
        <f t="shared" si="16"/>
        <v>Paid</v>
      </c>
      <c r="R80" t="str">
        <f t="shared" si="17"/>
        <v>Not Due</v>
      </c>
    </row>
    <row r="81" spans="1:18" x14ac:dyDescent="0.35">
      <c r="A81" t="s">
        <v>88</v>
      </c>
      <c r="B81" t="s">
        <v>812</v>
      </c>
      <c r="C81" s="9">
        <v>45161</v>
      </c>
      <c r="D81" s="28" t="str">
        <f t="shared" si="9"/>
        <v>Aug 2023</v>
      </c>
      <c r="E81" s="9">
        <v>45191</v>
      </c>
      <c r="F81" t="s">
        <v>817</v>
      </c>
      <c r="G81">
        <v>1247.56</v>
      </c>
      <c r="H81" t="s">
        <v>821</v>
      </c>
      <c r="I81" s="15">
        <f t="shared" si="10"/>
        <v>1247.56</v>
      </c>
      <c r="J81" s="18">
        <f t="shared" si="11"/>
        <v>0</v>
      </c>
      <c r="K81" s="9">
        <v>45191</v>
      </c>
      <c r="L81" s="54">
        <f t="shared" si="12"/>
        <v>30</v>
      </c>
      <c r="M81" s="9" t="str">
        <f t="shared" si="13"/>
        <v>2023-Sep</v>
      </c>
      <c r="N81" t="s">
        <v>822</v>
      </c>
      <c r="O81" s="17">
        <f t="shared" si="14"/>
        <v>45868</v>
      </c>
      <c r="P81" s="25">
        <f t="shared" si="15"/>
        <v>0</v>
      </c>
      <c r="Q81" t="str">
        <f t="shared" si="16"/>
        <v>Paid</v>
      </c>
      <c r="R81" t="str">
        <f t="shared" si="17"/>
        <v>Not Due</v>
      </c>
    </row>
    <row r="82" spans="1:18" x14ac:dyDescent="0.35">
      <c r="A82" t="s">
        <v>89</v>
      </c>
      <c r="B82" t="s">
        <v>811</v>
      </c>
      <c r="C82" s="9">
        <v>45811</v>
      </c>
      <c r="D82" s="28" t="str">
        <f t="shared" si="9"/>
        <v>Jun 2025</v>
      </c>
      <c r="E82" s="9">
        <v>45841</v>
      </c>
      <c r="F82" t="s">
        <v>818</v>
      </c>
      <c r="G82">
        <v>2397.29</v>
      </c>
      <c r="H82" t="s">
        <v>820</v>
      </c>
      <c r="I82" s="15">
        <f t="shared" si="10"/>
        <v>0</v>
      </c>
      <c r="J82" s="18" t="str">
        <f t="shared" si="11"/>
        <v>N/A</v>
      </c>
      <c r="L82" s="54" t="str">
        <f t="shared" si="12"/>
        <v/>
      </c>
      <c r="M82" s="9" t="str">
        <f t="shared" si="13"/>
        <v/>
      </c>
      <c r="N82" t="s">
        <v>822</v>
      </c>
      <c r="O82" s="17">
        <f t="shared" si="14"/>
        <v>45868</v>
      </c>
      <c r="P82" s="25">
        <f t="shared" si="15"/>
        <v>27</v>
      </c>
      <c r="Q82" t="str">
        <f t="shared" si="16"/>
        <v>1-30</v>
      </c>
      <c r="R82" t="str">
        <f t="shared" si="17"/>
        <v>Due</v>
      </c>
    </row>
    <row r="83" spans="1:18" x14ac:dyDescent="0.35">
      <c r="A83" t="s">
        <v>90</v>
      </c>
      <c r="B83" t="s">
        <v>813</v>
      </c>
      <c r="C83" s="9">
        <v>45561</v>
      </c>
      <c r="D83" s="28" t="str">
        <f t="shared" si="9"/>
        <v>Sep 2024</v>
      </c>
      <c r="E83" s="9">
        <v>45591</v>
      </c>
      <c r="F83" t="s">
        <v>814</v>
      </c>
      <c r="G83">
        <v>1877.7</v>
      </c>
      <c r="H83" t="s">
        <v>819</v>
      </c>
      <c r="I83" s="15">
        <f t="shared" si="10"/>
        <v>0</v>
      </c>
      <c r="J83" s="18">
        <f t="shared" si="11"/>
        <v>1877.7</v>
      </c>
      <c r="L83" s="54" t="str">
        <f t="shared" si="12"/>
        <v/>
      </c>
      <c r="M83" s="9" t="str">
        <f t="shared" si="13"/>
        <v/>
      </c>
      <c r="N83" t="s">
        <v>822</v>
      </c>
      <c r="O83" s="17">
        <f t="shared" si="14"/>
        <v>45868</v>
      </c>
      <c r="P83" s="25">
        <f t="shared" si="15"/>
        <v>277</v>
      </c>
      <c r="Q83" t="str">
        <f t="shared" si="16"/>
        <v>90+</v>
      </c>
      <c r="R83" t="str">
        <f t="shared" si="17"/>
        <v>Due</v>
      </c>
    </row>
    <row r="84" spans="1:18" x14ac:dyDescent="0.35">
      <c r="A84" t="s">
        <v>91</v>
      </c>
      <c r="B84" t="s">
        <v>812</v>
      </c>
      <c r="C84" s="9">
        <v>45458</v>
      </c>
      <c r="D84" s="28" t="str">
        <f t="shared" si="9"/>
        <v>Jun 2024</v>
      </c>
      <c r="E84" s="9">
        <v>45488</v>
      </c>
      <c r="F84" t="s">
        <v>815</v>
      </c>
      <c r="G84">
        <v>791.37</v>
      </c>
      <c r="H84" t="s">
        <v>820</v>
      </c>
      <c r="I84" s="15">
        <f t="shared" si="10"/>
        <v>0</v>
      </c>
      <c r="J84" s="18" t="str">
        <f t="shared" si="11"/>
        <v>N/A</v>
      </c>
      <c r="L84" s="54" t="str">
        <f t="shared" si="12"/>
        <v/>
      </c>
      <c r="M84" s="9" t="str">
        <f t="shared" si="13"/>
        <v/>
      </c>
      <c r="N84" t="s">
        <v>822</v>
      </c>
      <c r="O84" s="17">
        <f t="shared" si="14"/>
        <v>45868</v>
      </c>
      <c r="P84" s="25">
        <f t="shared" si="15"/>
        <v>380</v>
      </c>
      <c r="Q84" t="str">
        <f t="shared" si="16"/>
        <v>90+</v>
      </c>
      <c r="R84" t="str">
        <f t="shared" si="17"/>
        <v>Due</v>
      </c>
    </row>
    <row r="85" spans="1:18" x14ac:dyDescent="0.35">
      <c r="A85" t="s">
        <v>92</v>
      </c>
      <c r="B85" t="s">
        <v>811</v>
      </c>
      <c r="C85" s="9">
        <v>45423</v>
      </c>
      <c r="D85" s="28" t="str">
        <f t="shared" si="9"/>
        <v>May 2024</v>
      </c>
      <c r="E85" s="9">
        <v>45453</v>
      </c>
      <c r="F85" t="s">
        <v>817</v>
      </c>
      <c r="G85">
        <v>1927.05</v>
      </c>
      <c r="H85" t="s">
        <v>820</v>
      </c>
      <c r="I85" s="15">
        <f t="shared" si="10"/>
        <v>0</v>
      </c>
      <c r="J85" s="18" t="str">
        <f t="shared" si="11"/>
        <v>N/A</v>
      </c>
      <c r="L85" s="54" t="str">
        <f t="shared" si="12"/>
        <v/>
      </c>
      <c r="M85" s="9" t="str">
        <f t="shared" si="13"/>
        <v/>
      </c>
      <c r="N85" t="s">
        <v>822</v>
      </c>
      <c r="O85" s="17">
        <f t="shared" si="14"/>
        <v>45868</v>
      </c>
      <c r="P85" s="25">
        <f t="shared" si="15"/>
        <v>415</v>
      </c>
      <c r="Q85" t="str">
        <f t="shared" si="16"/>
        <v>90+</v>
      </c>
      <c r="R85" t="str">
        <f t="shared" si="17"/>
        <v>Due</v>
      </c>
    </row>
    <row r="86" spans="1:18" x14ac:dyDescent="0.35">
      <c r="A86" t="s">
        <v>93</v>
      </c>
      <c r="B86" t="s">
        <v>811</v>
      </c>
      <c r="C86" s="9">
        <v>45082</v>
      </c>
      <c r="D86" s="28" t="str">
        <f t="shared" si="9"/>
        <v>Jun 2023</v>
      </c>
      <c r="E86" s="9">
        <v>45112</v>
      </c>
      <c r="F86" t="s">
        <v>817</v>
      </c>
      <c r="G86">
        <v>1169.93</v>
      </c>
      <c r="H86" t="s">
        <v>819</v>
      </c>
      <c r="I86" s="15">
        <f t="shared" si="10"/>
        <v>0</v>
      </c>
      <c r="J86" s="18">
        <f t="shared" si="11"/>
        <v>1169.93</v>
      </c>
      <c r="L86" s="54" t="str">
        <f t="shared" si="12"/>
        <v/>
      </c>
      <c r="M86" s="9" t="str">
        <f t="shared" si="13"/>
        <v/>
      </c>
      <c r="N86" t="s">
        <v>822</v>
      </c>
      <c r="O86" s="17">
        <f t="shared" si="14"/>
        <v>45868</v>
      </c>
      <c r="P86" s="25">
        <f t="shared" si="15"/>
        <v>756</v>
      </c>
      <c r="Q86" t="str">
        <f t="shared" si="16"/>
        <v>90+</v>
      </c>
      <c r="R86" t="str">
        <f t="shared" si="17"/>
        <v>Due</v>
      </c>
    </row>
    <row r="87" spans="1:18" x14ac:dyDescent="0.35">
      <c r="A87" t="s">
        <v>94</v>
      </c>
      <c r="B87" t="s">
        <v>813</v>
      </c>
      <c r="C87" s="9">
        <v>45820</v>
      </c>
      <c r="D87" s="28" t="str">
        <f t="shared" si="9"/>
        <v>Jun 2025</v>
      </c>
      <c r="E87" s="9">
        <v>45850</v>
      </c>
      <c r="F87" t="s">
        <v>816</v>
      </c>
      <c r="G87">
        <v>899.95</v>
      </c>
      <c r="H87" t="s">
        <v>819</v>
      </c>
      <c r="I87" s="15">
        <f t="shared" si="10"/>
        <v>0</v>
      </c>
      <c r="J87" s="18">
        <f t="shared" si="11"/>
        <v>899.95</v>
      </c>
      <c r="L87" s="54" t="str">
        <f t="shared" si="12"/>
        <v/>
      </c>
      <c r="M87" s="9" t="str">
        <f t="shared" si="13"/>
        <v/>
      </c>
      <c r="N87" t="s">
        <v>822</v>
      </c>
      <c r="O87" s="17">
        <f t="shared" si="14"/>
        <v>45868</v>
      </c>
      <c r="P87" s="25">
        <f t="shared" si="15"/>
        <v>18</v>
      </c>
      <c r="Q87" t="str">
        <f t="shared" si="16"/>
        <v>1-30</v>
      </c>
      <c r="R87" t="str">
        <f t="shared" si="17"/>
        <v>Due</v>
      </c>
    </row>
    <row r="88" spans="1:18" x14ac:dyDescent="0.35">
      <c r="A88" t="s">
        <v>95</v>
      </c>
      <c r="B88" t="s">
        <v>813</v>
      </c>
      <c r="C88" s="9">
        <v>45111</v>
      </c>
      <c r="D88" s="28" t="str">
        <f t="shared" si="9"/>
        <v>Jul 2023</v>
      </c>
      <c r="E88" s="9">
        <v>45141</v>
      </c>
      <c r="F88" t="s">
        <v>815</v>
      </c>
      <c r="G88">
        <v>2486.21</v>
      </c>
      <c r="H88" t="s">
        <v>821</v>
      </c>
      <c r="I88" s="15">
        <f t="shared" si="10"/>
        <v>2486.21</v>
      </c>
      <c r="J88" s="18">
        <f t="shared" si="11"/>
        <v>0</v>
      </c>
      <c r="K88" s="9">
        <v>45141</v>
      </c>
      <c r="L88" s="54">
        <f t="shared" si="12"/>
        <v>30</v>
      </c>
      <c r="M88" s="9" t="str">
        <f t="shared" si="13"/>
        <v>2023-Aug</v>
      </c>
      <c r="N88" t="s">
        <v>822</v>
      </c>
      <c r="O88" s="17">
        <f t="shared" si="14"/>
        <v>45868</v>
      </c>
      <c r="P88" s="25">
        <f t="shared" si="15"/>
        <v>0</v>
      </c>
      <c r="Q88" t="str">
        <f t="shared" si="16"/>
        <v>Paid</v>
      </c>
      <c r="R88" t="str">
        <f t="shared" si="17"/>
        <v>Not Due</v>
      </c>
    </row>
    <row r="89" spans="1:18" x14ac:dyDescent="0.35">
      <c r="A89" t="s">
        <v>96</v>
      </c>
      <c r="B89" t="s">
        <v>813</v>
      </c>
      <c r="C89" s="9">
        <v>45456</v>
      </c>
      <c r="D89" s="28" t="str">
        <f t="shared" si="9"/>
        <v>Jun 2024</v>
      </c>
      <c r="E89" s="9">
        <v>45486</v>
      </c>
      <c r="F89" t="s">
        <v>815</v>
      </c>
      <c r="G89">
        <v>2376</v>
      </c>
      <c r="H89" t="s">
        <v>821</v>
      </c>
      <c r="I89" s="15">
        <f t="shared" si="10"/>
        <v>2376</v>
      </c>
      <c r="J89" s="18">
        <f t="shared" si="11"/>
        <v>0</v>
      </c>
      <c r="K89" s="9">
        <v>45486</v>
      </c>
      <c r="L89" s="54">
        <f t="shared" si="12"/>
        <v>30</v>
      </c>
      <c r="M89" s="9" t="str">
        <f t="shared" si="13"/>
        <v>2024-Jul</v>
      </c>
      <c r="N89" t="s">
        <v>822</v>
      </c>
      <c r="O89" s="17">
        <f t="shared" si="14"/>
        <v>45868</v>
      </c>
      <c r="P89" s="25">
        <f t="shared" si="15"/>
        <v>0</v>
      </c>
      <c r="Q89" t="str">
        <f t="shared" si="16"/>
        <v>Paid</v>
      </c>
      <c r="R89" t="str">
        <f t="shared" si="17"/>
        <v>Not Due</v>
      </c>
    </row>
    <row r="90" spans="1:18" x14ac:dyDescent="0.35">
      <c r="A90" t="s">
        <v>97</v>
      </c>
      <c r="B90" t="s">
        <v>813</v>
      </c>
      <c r="C90" s="9">
        <v>45737</v>
      </c>
      <c r="D90" s="28" t="str">
        <f t="shared" si="9"/>
        <v>Mar 2025</v>
      </c>
      <c r="E90" s="9">
        <v>45767</v>
      </c>
      <c r="F90" t="s">
        <v>814</v>
      </c>
      <c r="G90">
        <v>2180.4699999999998</v>
      </c>
      <c r="H90" t="s">
        <v>819</v>
      </c>
      <c r="I90" s="15">
        <f t="shared" si="10"/>
        <v>0</v>
      </c>
      <c r="J90" s="18">
        <f t="shared" si="11"/>
        <v>2180.4699999999998</v>
      </c>
      <c r="L90" s="54" t="str">
        <f t="shared" si="12"/>
        <v/>
      </c>
      <c r="M90" s="9" t="str">
        <f t="shared" si="13"/>
        <v/>
      </c>
      <c r="N90" t="s">
        <v>822</v>
      </c>
      <c r="O90" s="17">
        <f t="shared" si="14"/>
        <v>45868</v>
      </c>
      <c r="P90" s="25">
        <f t="shared" si="15"/>
        <v>101</v>
      </c>
      <c r="Q90" t="str">
        <f t="shared" si="16"/>
        <v>90+</v>
      </c>
      <c r="R90" t="str">
        <f t="shared" si="17"/>
        <v>Due</v>
      </c>
    </row>
    <row r="91" spans="1:18" x14ac:dyDescent="0.35">
      <c r="A91" t="s">
        <v>98</v>
      </c>
      <c r="B91" t="s">
        <v>813</v>
      </c>
      <c r="C91" s="9">
        <v>45520</v>
      </c>
      <c r="D91" s="28" t="str">
        <f t="shared" si="9"/>
        <v>Aug 2024</v>
      </c>
      <c r="E91" s="9">
        <v>45550</v>
      </c>
      <c r="F91" t="s">
        <v>816</v>
      </c>
      <c r="G91">
        <v>417.82</v>
      </c>
      <c r="H91" t="s">
        <v>819</v>
      </c>
      <c r="I91" s="15">
        <f t="shared" si="10"/>
        <v>0</v>
      </c>
      <c r="J91" s="18">
        <f t="shared" si="11"/>
        <v>417.82</v>
      </c>
      <c r="L91" s="54" t="str">
        <f t="shared" si="12"/>
        <v/>
      </c>
      <c r="M91" s="9" t="str">
        <f t="shared" si="13"/>
        <v/>
      </c>
      <c r="N91" t="s">
        <v>822</v>
      </c>
      <c r="O91" s="17">
        <f t="shared" si="14"/>
        <v>45868</v>
      </c>
      <c r="P91" s="25">
        <f t="shared" si="15"/>
        <v>318</v>
      </c>
      <c r="Q91" t="str">
        <f t="shared" si="16"/>
        <v>90+</v>
      </c>
      <c r="R91" t="str">
        <f t="shared" si="17"/>
        <v>Due</v>
      </c>
    </row>
    <row r="92" spans="1:18" x14ac:dyDescent="0.35">
      <c r="A92" t="s">
        <v>99</v>
      </c>
      <c r="B92" t="s">
        <v>813</v>
      </c>
      <c r="C92" s="9">
        <v>45403</v>
      </c>
      <c r="D92" s="28" t="str">
        <f t="shared" si="9"/>
        <v>Apr 2024</v>
      </c>
      <c r="E92" s="9">
        <v>45433</v>
      </c>
      <c r="F92" t="s">
        <v>818</v>
      </c>
      <c r="G92">
        <v>151.91</v>
      </c>
      <c r="H92" t="s">
        <v>820</v>
      </c>
      <c r="I92" s="15">
        <f t="shared" si="10"/>
        <v>0</v>
      </c>
      <c r="J92" s="18" t="str">
        <f t="shared" si="11"/>
        <v>N/A</v>
      </c>
      <c r="L92" s="54" t="str">
        <f t="shared" si="12"/>
        <v/>
      </c>
      <c r="M92" s="9" t="str">
        <f t="shared" si="13"/>
        <v/>
      </c>
      <c r="N92" t="s">
        <v>822</v>
      </c>
      <c r="O92" s="17">
        <f t="shared" si="14"/>
        <v>45868</v>
      </c>
      <c r="P92" s="25">
        <f t="shared" si="15"/>
        <v>435</v>
      </c>
      <c r="Q92" t="str">
        <f t="shared" si="16"/>
        <v>90+</v>
      </c>
      <c r="R92" t="str">
        <f t="shared" si="17"/>
        <v>Due</v>
      </c>
    </row>
    <row r="93" spans="1:18" x14ac:dyDescent="0.35">
      <c r="A93" t="s">
        <v>100</v>
      </c>
      <c r="B93" t="s">
        <v>813</v>
      </c>
      <c r="C93" s="9">
        <v>44966</v>
      </c>
      <c r="D93" s="28" t="str">
        <f t="shared" si="9"/>
        <v>Feb 2023</v>
      </c>
      <c r="E93" s="9">
        <v>44996</v>
      </c>
      <c r="F93" t="s">
        <v>814</v>
      </c>
      <c r="G93">
        <v>2389.36</v>
      </c>
      <c r="H93" t="s">
        <v>819</v>
      </c>
      <c r="I93" s="15">
        <f t="shared" si="10"/>
        <v>0</v>
      </c>
      <c r="J93" s="18">
        <f t="shared" si="11"/>
        <v>2389.36</v>
      </c>
      <c r="L93" s="54" t="str">
        <f t="shared" si="12"/>
        <v/>
      </c>
      <c r="M93" s="9" t="str">
        <f t="shared" si="13"/>
        <v/>
      </c>
      <c r="N93" t="s">
        <v>822</v>
      </c>
      <c r="O93" s="17">
        <f t="shared" si="14"/>
        <v>45868</v>
      </c>
      <c r="P93" s="25">
        <f t="shared" si="15"/>
        <v>872</v>
      </c>
      <c r="Q93" t="str">
        <f t="shared" si="16"/>
        <v>90+</v>
      </c>
      <c r="R93" t="str">
        <f t="shared" si="17"/>
        <v>Due</v>
      </c>
    </row>
    <row r="94" spans="1:18" x14ac:dyDescent="0.35">
      <c r="A94" t="s">
        <v>101</v>
      </c>
      <c r="B94" t="s">
        <v>813</v>
      </c>
      <c r="C94" s="9">
        <v>45071</v>
      </c>
      <c r="D94" s="28" t="str">
        <f t="shared" si="9"/>
        <v>May 2023</v>
      </c>
      <c r="E94" s="9">
        <v>45101</v>
      </c>
      <c r="F94" t="s">
        <v>818</v>
      </c>
      <c r="G94">
        <v>2944.92</v>
      </c>
      <c r="H94" t="s">
        <v>819</v>
      </c>
      <c r="I94" s="15">
        <f t="shared" si="10"/>
        <v>0</v>
      </c>
      <c r="J94" s="18">
        <f t="shared" si="11"/>
        <v>2944.92</v>
      </c>
      <c r="L94" s="54" t="str">
        <f t="shared" si="12"/>
        <v/>
      </c>
      <c r="M94" s="9" t="str">
        <f t="shared" si="13"/>
        <v/>
      </c>
      <c r="N94" t="s">
        <v>822</v>
      </c>
      <c r="O94" s="17">
        <f t="shared" si="14"/>
        <v>45868</v>
      </c>
      <c r="P94" s="25">
        <f t="shared" si="15"/>
        <v>767</v>
      </c>
      <c r="Q94" t="str">
        <f t="shared" si="16"/>
        <v>90+</v>
      </c>
      <c r="R94" t="str">
        <f t="shared" si="17"/>
        <v>Due</v>
      </c>
    </row>
    <row r="95" spans="1:18" x14ac:dyDescent="0.35">
      <c r="A95" t="s">
        <v>102</v>
      </c>
      <c r="B95" t="s">
        <v>812</v>
      </c>
      <c r="C95" s="9">
        <v>45227</v>
      </c>
      <c r="D95" s="28" t="str">
        <f t="shared" si="9"/>
        <v>Oct 2023</v>
      </c>
      <c r="E95" s="9">
        <v>45257</v>
      </c>
      <c r="F95" t="s">
        <v>818</v>
      </c>
      <c r="G95">
        <v>950.75</v>
      </c>
      <c r="H95" t="s">
        <v>819</v>
      </c>
      <c r="I95" s="15">
        <f t="shared" si="10"/>
        <v>0</v>
      </c>
      <c r="J95" s="18">
        <f t="shared" si="11"/>
        <v>950.75</v>
      </c>
      <c r="L95" s="54" t="str">
        <f t="shared" si="12"/>
        <v/>
      </c>
      <c r="M95" s="9" t="str">
        <f t="shared" si="13"/>
        <v/>
      </c>
      <c r="N95" t="s">
        <v>822</v>
      </c>
      <c r="O95" s="17">
        <f t="shared" si="14"/>
        <v>45868</v>
      </c>
      <c r="P95" s="25">
        <f t="shared" si="15"/>
        <v>611</v>
      </c>
      <c r="Q95" t="str">
        <f t="shared" si="16"/>
        <v>90+</v>
      </c>
      <c r="R95" t="str">
        <f t="shared" si="17"/>
        <v>Due</v>
      </c>
    </row>
    <row r="96" spans="1:18" x14ac:dyDescent="0.35">
      <c r="A96" t="s">
        <v>103</v>
      </c>
      <c r="B96" t="s">
        <v>809</v>
      </c>
      <c r="C96" s="9">
        <v>45088</v>
      </c>
      <c r="D96" s="28" t="str">
        <f t="shared" si="9"/>
        <v>Jun 2023</v>
      </c>
      <c r="E96" s="9">
        <v>45118</v>
      </c>
      <c r="F96" t="s">
        <v>818</v>
      </c>
      <c r="G96">
        <v>3026.49</v>
      </c>
      <c r="H96" t="s">
        <v>821</v>
      </c>
      <c r="I96" s="15">
        <f t="shared" si="10"/>
        <v>3026.49</v>
      </c>
      <c r="J96" s="18">
        <f t="shared" si="11"/>
        <v>0</v>
      </c>
      <c r="K96" s="9">
        <v>45118</v>
      </c>
      <c r="L96" s="54">
        <f t="shared" si="12"/>
        <v>30</v>
      </c>
      <c r="M96" s="9" t="str">
        <f t="shared" si="13"/>
        <v>2023-Jul</v>
      </c>
      <c r="N96" t="s">
        <v>822</v>
      </c>
      <c r="O96" s="17">
        <f t="shared" si="14"/>
        <v>45868</v>
      </c>
      <c r="P96" s="25">
        <f t="shared" si="15"/>
        <v>0</v>
      </c>
      <c r="Q96" t="str">
        <f t="shared" si="16"/>
        <v>Paid</v>
      </c>
      <c r="R96" t="str">
        <f t="shared" si="17"/>
        <v>Not Due</v>
      </c>
    </row>
    <row r="97" spans="1:18" x14ac:dyDescent="0.35">
      <c r="A97" t="s">
        <v>104</v>
      </c>
      <c r="B97" t="s">
        <v>810</v>
      </c>
      <c r="C97" s="9">
        <v>45426</v>
      </c>
      <c r="D97" s="28" t="str">
        <f t="shared" si="9"/>
        <v>May 2024</v>
      </c>
      <c r="E97" s="9">
        <v>45456</v>
      </c>
      <c r="F97" t="s">
        <v>815</v>
      </c>
      <c r="G97">
        <v>3468.57</v>
      </c>
      <c r="H97" t="s">
        <v>819</v>
      </c>
      <c r="I97" s="15">
        <f t="shared" si="10"/>
        <v>0</v>
      </c>
      <c r="J97" s="18">
        <f t="shared" si="11"/>
        <v>3468.57</v>
      </c>
      <c r="L97" s="54" t="str">
        <f t="shared" si="12"/>
        <v/>
      </c>
      <c r="M97" s="9" t="str">
        <f t="shared" si="13"/>
        <v/>
      </c>
      <c r="N97" t="s">
        <v>822</v>
      </c>
      <c r="O97" s="17">
        <f t="shared" si="14"/>
        <v>45868</v>
      </c>
      <c r="P97" s="25">
        <f t="shared" si="15"/>
        <v>412</v>
      </c>
      <c r="Q97" t="str">
        <f t="shared" si="16"/>
        <v>90+</v>
      </c>
      <c r="R97" t="str">
        <f t="shared" si="17"/>
        <v>Due</v>
      </c>
    </row>
    <row r="98" spans="1:18" x14ac:dyDescent="0.35">
      <c r="A98" t="s">
        <v>105</v>
      </c>
      <c r="B98" t="s">
        <v>810</v>
      </c>
      <c r="C98" s="9">
        <v>45442</v>
      </c>
      <c r="D98" s="28" t="str">
        <f t="shared" si="9"/>
        <v>May 2024</v>
      </c>
      <c r="E98" s="9">
        <v>45472</v>
      </c>
      <c r="F98" t="s">
        <v>817</v>
      </c>
      <c r="G98">
        <v>2179.34</v>
      </c>
      <c r="H98" t="s">
        <v>821</v>
      </c>
      <c r="I98" s="15">
        <f t="shared" si="10"/>
        <v>2179.34</v>
      </c>
      <c r="J98" s="18">
        <f t="shared" si="11"/>
        <v>0</v>
      </c>
      <c r="K98" s="9">
        <v>45472</v>
      </c>
      <c r="L98" s="54">
        <f t="shared" si="12"/>
        <v>30</v>
      </c>
      <c r="M98" s="9" t="str">
        <f t="shared" si="13"/>
        <v>2024-Jun</v>
      </c>
      <c r="N98" t="s">
        <v>822</v>
      </c>
      <c r="O98" s="17">
        <f t="shared" si="14"/>
        <v>45868</v>
      </c>
      <c r="P98" s="25">
        <f t="shared" si="15"/>
        <v>0</v>
      </c>
      <c r="Q98" t="str">
        <f t="shared" si="16"/>
        <v>Paid</v>
      </c>
      <c r="R98" t="str">
        <f t="shared" si="17"/>
        <v>Not Due</v>
      </c>
    </row>
    <row r="99" spans="1:18" x14ac:dyDescent="0.35">
      <c r="A99" t="s">
        <v>106</v>
      </c>
      <c r="B99" t="s">
        <v>811</v>
      </c>
      <c r="C99" s="9">
        <v>45350</v>
      </c>
      <c r="D99" s="28" t="str">
        <f t="shared" si="9"/>
        <v>Feb 2024</v>
      </c>
      <c r="E99" s="9">
        <v>45380</v>
      </c>
      <c r="F99" t="s">
        <v>815</v>
      </c>
      <c r="G99">
        <v>2107.2199999999998</v>
      </c>
      <c r="H99" t="s">
        <v>819</v>
      </c>
      <c r="I99" s="15">
        <f t="shared" si="10"/>
        <v>0</v>
      </c>
      <c r="J99" s="18">
        <f t="shared" si="11"/>
        <v>2107.2199999999998</v>
      </c>
      <c r="L99" s="54" t="str">
        <f t="shared" si="12"/>
        <v/>
      </c>
      <c r="M99" s="9" t="str">
        <f t="shared" si="13"/>
        <v/>
      </c>
      <c r="N99" t="s">
        <v>822</v>
      </c>
      <c r="O99" s="17">
        <f t="shared" si="14"/>
        <v>45868</v>
      </c>
      <c r="P99" s="25">
        <f t="shared" si="15"/>
        <v>488</v>
      </c>
      <c r="Q99" t="str">
        <f t="shared" si="16"/>
        <v>90+</v>
      </c>
      <c r="R99" t="str">
        <f t="shared" si="17"/>
        <v>Due</v>
      </c>
    </row>
    <row r="100" spans="1:18" x14ac:dyDescent="0.35">
      <c r="A100" t="s">
        <v>107</v>
      </c>
      <c r="B100" t="s">
        <v>812</v>
      </c>
      <c r="C100" s="9">
        <v>45568</v>
      </c>
      <c r="D100" s="28" t="str">
        <f t="shared" si="9"/>
        <v>Oct 2024</v>
      </c>
      <c r="E100" s="9">
        <v>45598</v>
      </c>
      <c r="F100" t="s">
        <v>815</v>
      </c>
      <c r="G100">
        <v>3255.44</v>
      </c>
      <c r="H100" t="s">
        <v>821</v>
      </c>
      <c r="I100" s="15">
        <f t="shared" si="10"/>
        <v>3255.44</v>
      </c>
      <c r="J100" s="18">
        <f t="shared" si="11"/>
        <v>0</v>
      </c>
      <c r="K100" s="9">
        <v>45598</v>
      </c>
      <c r="L100" s="54">
        <f t="shared" si="12"/>
        <v>30</v>
      </c>
      <c r="M100" s="9" t="str">
        <f t="shared" si="13"/>
        <v>2024-Nov</v>
      </c>
      <c r="N100" t="s">
        <v>822</v>
      </c>
      <c r="O100" s="17">
        <f t="shared" si="14"/>
        <v>45868</v>
      </c>
      <c r="P100" s="25">
        <f t="shared" si="15"/>
        <v>0</v>
      </c>
      <c r="Q100" t="str">
        <f t="shared" si="16"/>
        <v>Paid</v>
      </c>
      <c r="R100" t="str">
        <f t="shared" si="17"/>
        <v>Not Due</v>
      </c>
    </row>
    <row r="101" spans="1:18" x14ac:dyDescent="0.35">
      <c r="A101" t="s">
        <v>108</v>
      </c>
      <c r="B101" t="s">
        <v>809</v>
      </c>
      <c r="C101" s="9">
        <v>45134</v>
      </c>
      <c r="D101" s="28" t="str">
        <f t="shared" si="9"/>
        <v>Jul 2023</v>
      </c>
      <c r="E101" s="9">
        <v>45164</v>
      </c>
      <c r="F101" t="s">
        <v>814</v>
      </c>
      <c r="G101">
        <v>4126.2700000000004</v>
      </c>
      <c r="H101" t="s">
        <v>820</v>
      </c>
      <c r="I101" s="15">
        <f t="shared" si="10"/>
        <v>0</v>
      </c>
      <c r="J101" s="18" t="str">
        <f t="shared" si="11"/>
        <v>N/A</v>
      </c>
      <c r="L101" s="54" t="str">
        <f t="shared" si="12"/>
        <v/>
      </c>
      <c r="M101" s="9" t="str">
        <f t="shared" si="13"/>
        <v/>
      </c>
      <c r="N101" t="s">
        <v>822</v>
      </c>
      <c r="O101" s="17">
        <f t="shared" si="14"/>
        <v>45868</v>
      </c>
      <c r="P101" s="25">
        <f t="shared" si="15"/>
        <v>704</v>
      </c>
      <c r="Q101" t="str">
        <f t="shared" si="16"/>
        <v>90+</v>
      </c>
      <c r="R101" t="str">
        <f t="shared" si="17"/>
        <v>Due</v>
      </c>
    </row>
    <row r="102" spans="1:18" x14ac:dyDescent="0.35">
      <c r="A102" t="s">
        <v>109</v>
      </c>
      <c r="B102" t="s">
        <v>812</v>
      </c>
      <c r="C102" s="9">
        <v>45554</v>
      </c>
      <c r="D102" s="28" t="str">
        <f t="shared" si="9"/>
        <v>Sep 2024</v>
      </c>
      <c r="E102" s="9">
        <v>45584</v>
      </c>
      <c r="F102" t="s">
        <v>818</v>
      </c>
      <c r="G102">
        <v>2595.7800000000002</v>
      </c>
      <c r="H102" t="s">
        <v>819</v>
      </c>
      <c r="I102" s="15">
        <f t="shared" si="10"/>
        <v>0</v>
      </c>
      <c r="J102" s="18">
        <f t="shared" si="11"/>
        <v>2595.7800000000002</v>
      </c>
      <c r="L102" s="54" t="str">
        <f t="shared" si="12"/>
        <v/>
      </c>
      <c r="M102" s="9" t="str">
        <f t="shared" si="13"/>
        <v/>
      </c>
      <c r="N102" t="s">
        <v>822</v>
      </c>
      <c r="O102" s="17">
        <f t="shared" si="14"/>
        <v>45868</v>
      </c>
      <c r="P102" s="25">
        <f t="shared" si="15"/>
        <v>284</v>
      </c>
      <c r="Q102" t="str">
        <f t="shared" si="16"/>
        <v>90+</v>
      </c>
      <c r="R102" t="str">
        <f t="shared" si="17"/>
        <v>Due</v>
      </c>
    </row>
    <row r="103" spans="1:18" x14ac:dyDescent="0.35">
      <c r="A103" t="s">
        <v>110</v>
      </c>
      <c r="B103" t="s">
        <v>812</v>
      </c>
      <c r="C103" s="9">
        <v>45838</v>
      </c>
      <c r="D103" s="28" t="str">
        <f t="shared" si="9"/>
        <v>Jun 2025</v>
      </c>
      <c r="E103" s="9">
        <v>45868</v>
      </c>
      <c r="F103" t="s">
        <v>817</v>
      </c>
      <c r="G103">
        <v>3518.19</v>
      </c>
      <c r="H103" t="s">
        <v>820</v>
      </c>
      <c r="I103" s="15">
        <f t="shared" si="10"/>
        <v>0</v>
      </c>
      <c r="J103" s="18" t="str">
        <f t="shared" si="11"/>
        <v>N/A</v>
      </c>
      <c r="L103" s="54" t="str">
        <f t="shared" si="12"/>
        <v/>
      </c>
      <c r="M103" s="9" t="str">
        <f t="shared" si="13"/>
        <v/>
      </c>
      <c r="N103" t="s">
        <v>822</v>
      </c>
      <c r="O103" s="17">
        <f t="shared" si="14"/>
        <v>45868</v>
      </c>
      <c r="P103" s="25">
        <f>IF(K103="", O103-E103,0)</f>
        <v>0</v>
      </c>
      <c r="Q103" t="str">
        <f>IF(H103="Paid","Paid",IF(P103&lt;=0,"Current",IF(P103&lt;=30,"1-30",IF(P103&lt;=60,"31-60",IF(P103&lt;=90,"61-90","90+")))))</f>
        <v>Current</v>
      </c>
      <c r="R103" t="str">
        <f t="shared" si="17"/>
        <v>Not Due</v>
      </c>
    </row>
    <row r="104" spans="1:18" x14ac:dyDescent="0.35">
      <c r="A104" t="s">
        <v>111</v>
      </c>
      <c r="B104" t="s">
        <v>810</v>
      </c>
      <c r="C104" s="9">
        <v>45653</v>
      </c>
      <c r="D104" s="28" t="str">
        <f t="shared" si="9"/>
        <v>Dec 2024</v>
      </c>
      <c r="E104" s="9">
        <v>45683</v>
      </c>
      <c r="F104" t="s">
        <v>815</v>
      </c>
      <c r="G104">
        <v>3504.25</v>
      </c>
      <c r="H104" t="s">
        <v>819</v>
      </c>
      <c r="I104" s="15">
        <f t="shared" si="10"/>
        <v>0</v>
      </c>
      <c r="J104" s="18">
        <f t="shared" si="11"/>
        <v>3504.25</v>
      </c>
      <c r="L104" s="54" t="str">
        <f t="shared" si="12"/>
        <v/>
      </c>
      <c r="M104" s="9" t="str">
        <f t="shared" si="13"/>
        <v/>
      </c>
      <c r="N104" t="s">
        <v>822</v>
      </c>
      <c r="O104" s="17">
        <f t="shared" si="14"/>
        <v>45868</v>
      </c>
      <c r="P104" s="25">
        <f t="shared" si="15"/>
        <v>185</v>
      </c>
      <c r="Q104" t="str">
        <f t="shared" si="16"/>
        <v>90+</v>
      </c>
      <c r="R104" t="str">
        <f t="shared" si="17"/>
        <v>Due</v>
      </c>
    </row>
    <row r="105" spans="1:18" x14ac:dyDescent="0.35">
      <c r="A105" t="s">
        <v>112</v>
      </c>
      <c r="B105" t="s">
        <v>809</v>
      </c>
      <c r="C105" s="9">
        <v>45533</v>
      </c>
      <c r="D105" s="28" t="str">
        <f t="shared" si="9"/>
        <v>Aug 2024</v>
      </c>
      <c r="E105" s="9">
        <v>45563</v>
      </c>
      <c r="F105" t="s">
        <v>814</v>
      </c>
      <c r="G105">
        <v>4773.8</v>
      </c>
      <c r="H105" t="s">
        <v>820</v>
      </c>
      <c r="I105" s="15">
        <f t="shared" si="10"/>
        <v>0</v>
      </c>
      <c r="J105" s="18" t="str">
        <f t="shared" si="11"/>
        <v>N/A</v>
      </c>
      <c r="L105" s="54" t="str">
        <f t="shared" si="12"/>
        <v/>
      </c>
      <c r="M105" s="9" t="str">
        <f t="shared" si="13"/>
        <v/>
      </c>
      <c r="N105" t="s">
        <v>822</v>
      </c>
      <c r="O105" s="17">
        <f t="shared" si="14"/>
        <v>45868</v>
      </c>
      <c r="P105" s="25">
        <f t="shared" si="15"/>
        <v>305</v>
      </c>
      <c r="Q105" t="str">
        <f t="shared" si="16"/>
        <v>90+</v>
      </c>
      <c r="R105" t="str">
        <f t="shared" si="17"/>
        <v>Due</v>
      </c>
    </row>
    <row r="106" spans="1:18" x14ac:dyDescent="0.35">
      <c r="A106" t="s">
        <v>113</v>
      </c>
      <c r="B106" t="s">
        <v>809</v>
      </c>
      <c r="C106" s="9">
        <v>44958</v>
      </c>
      <c r="D106" s="28" t="str">
        <f t="shared" si="9"/>
        <v>Feb 2023</v>
      </c>
      <c r="E106" s="9">
        <v>44988</v>
      </c>
      <c r="F106" t="s">
        <v>815</v>
      </c>
      <c r="G106">
        <v>2287.0500000000002</v>
      </c>
      <c r="H106" t="s">
        <v>821</v>
      </c>
      <c r="I106" s="15">
        <f t="shared" si="10"/>
        <v>2287.0500000000002</v>
      </c>
      <c r="J106" s="18">
        <f t="shared" si="11"/>
        <v>0</v>
      </c>
      <c r="K106" s="9">
        <v>44988</v>
      </c>
      <c r="L106" s="54">
        <f t="shared" si="12"/>
        <v>30</v>
      </c>
      <c r="M106" s="9" t="str">
        <f t="shared" si="13"/>
        <v>2023-Mar</v>
      </c>
      <c r="N106" t="s">
        <v>822</v>
      </c>
      <c r="O106" s="17">
        <f t="shared" si="14"/>
        <v>45868</v>
      </c>
      <c r="P106" s="25">
        <f t="shared" si="15"/>
        <v>0</v>
      </c>
      <c r="Q106" t="str">
        <f t="shared" si="16"/>
        <v>Paid</v>
      </c>
      <c r="R106" t="str">
        <f t="shared" si="17"/>
        <v>Not Due</v>
      </c>
    </row>
    <row r="107" spans="1:18" x14ac:dyDescent="0.35">
      <c r="A107" t="s">
        <v>114</v>
      </c>
      <c r="B107" t="s">
        <v>812</v>
      </c>
      <c r="C107" s="9">
        <v>45024</v>
      </c>
      <c r="D107" s="28" t="str">
        <f t="shared" si="9"/>
        <v>Apr 2023</v>
      </c>
      <c r="E107" s="9">
        <v>45054</v>
      </c>
      <c r="F107" t="s">
        <v>814</v>
      </c>
      <c r="G107">
        <v>5410.94</v>
      </c>
      <c r="H107" t="s">
        <v>820</v>
      </c>
      <c r="I107" s="15">
        <f t="shared" si="10"/>
        <v>0</v>
      </c>
      <c r="J107" s="18" t="str">
        <f t="shared" si="11"/>
        <v>N/A</v>
      </c>
      <c r="L107" s="54" t="str">
        <f t="shared" si="12"/>
        <v/>
      </c>
      <c r="M107" s="9" t="str">
        <f t="shared" si="13"/>
        <v/>
      </c>
      <c r="N107" t="s">
        <v>822</v>
      </c>
      <c r="O107" s="17">
        <f t="shared" si="14"/>
        <v>45868</v>
      </c>
      <c r="P107" s="25">
        <f t="shared" si="15"/>
        <v>814</v>
      </c>
      <c r="Q107" t="str">
        <f t="shared" si="16"/>
        <v>90+</v>
      </c>
      <c r="R107" t="str">
        <f t="shared" si="17"/>
        <v>Due</v>
      </c>
    </row>
    <row r="108" spans="1:18" x14ac:dyDescent="0.35">
      <c r="A108" t="s">
        <v>115</v>
      </c>
      <c r="B108" t="s">
        <v>813</v>
      </c>
      <c r="C108" s="9">
        <v>45552</v>
      </c>
      <c r="D108" s="28" t="str">
        <f t="shared" si="9"/>
        <v>Sep 2024</v>
      </c>
      <c r="E108" s="9">
        <v>45582</v>
      </c>
      <c r="F108" t="s">
        <v>816</v>
      </c>
      <c r="G108">
        <v>5710.51</v>
      </c>
      <c r="H108" t="s">
        <v>819</v>
      </c>
      <c r="I108" s="15">
        <f t="shared" si="10"/>
        <v>0</v>
      </c>
      <c r="J108" s="18">
        <f t="shared" si="11"/>
        <v>5710.51</v>
      </c>
      <c r="L108" s="54" t="str">
        <f t="shared" si="12"/>
        <v/>
      </c>
      <c r="M108" s="9" t="str">
        <f t="shared" si="13"/>
        <v/>
      </c>
      <c r="N108" t="s">
        <v>822</v>
      </c>
      <c r="O108" s="17">
        <f t="shared" si="14"/>
        <v>45868</v>
      </c>
      <c r="P108" s="25">
        <f t="shared" si="15"/>
        <v>286</v>
      </c>
      <c r="Q108" t="str">
        <f t="shared" si="16"/>
        <v>90+</v>
      </c>
      <c r="R108" t="str">
        <f t="shared" si="17"/>
        <v>Due</v>
      </c>
    </row>
    <row r="109" spans="1:18" x14ac:dyDescent="0.35">
      <c r="A109" t="s">
        <v>116</v>
      </c>
      <c r="B109" t="s">
        <v>813</v>
      </c>
      <c r="C109" s="9">
        <v>45250</v>
      </c>
      <c r="D109" s="28" t="str">
        <f t="shared" si="9"/>
        <v>Nov 2023</v>
      </c>
      <c r="E109" s="9">
        <v>45280</v>
      </c>
      <c r="F109" t="s">
        <v>814</v>
      </c>
      <c r="G109">
        <v>1736.78</v>
      </c>
      <c r="H109" t="s">
        <v>821</v>
      </c>
      <c r="I109" s="15">
        <f t="shared" si="10"/>
        <v>1736.78</v>
      </c>
      <c r="J109" s="18">
        <f t="shared" si="11"/>
        <v>0</v>
      </c>
      <c r="K109" s="9">
        <v>45280</v>
      </c>
      <c r="L109" s="54">
        <f t="shared" si="12"/>
        <v>30</v>
      </c>
      <c r="M109" s="9" t="str">
        <f t="shared" si="13"/>
        <v>2023-Dec</v>
      </c>
      <c r="N109" t="s">
        <v>822</v>
      </c>
      <c r="O109" s="17">
        <f t="shared" si="14"/>
        <v>45868</v>
      </c>
      <c r="P109" s="25">
        <f t="shared" si="15"/>
        <v>0</v>
      </c>
      <c r="Q109" t="str">
        <f t="shared" si="16"/>
        <v>Paid</v>
      </c>
      <c r="R109" t="str">
        <f t="shared" si="17"/>
        <v>Not Due</v>
      </c>
    </row>
    <row r="110" spans="1:18" x14ac:dyDescent="0.35">
      <c r="A110" t="s">
        <v>117</v>
      </c>
      <c r="B110" t="s">
        <v>809</v>
      </c>
      <c r="C110" s="9">
        <v>45339</v>
      </c>
      <c r="D110" s="28" t="str">
        <f t="shared" si="9"/>
        <v>Feb 2024</v>
      </c>
      <c r="E110" s="9">
        <v>45369</v>
      </c>
      <c r="F110" t="s">
        <v>817</v>
      </c>
      <c r="G110">
        <v>2302.71</v>
      </c>
      <c r="H110" t="s">
        <v>821</v>
      </c>
      <c r="I110" s="15">
        <f t="shared" si="10"/>
        <v>2302.71</v>
      </c>
      <c r="J110" s="18">
        <f t="shared" si="11"/>
        <v>0</v>
      </c>
      <c r="K110" s="9">
        <v>45369</v>
      </c>
      <c r="L110" s="54">
        <f t="shared" si="12"/>
        <v>30</v>
      </c>
      <c r="M110" s="9" t="str">
        <f t="shared" si="13"/>
        <v>2024-Mar</v>
      </c>
      <c r="N110" t="s">
        <v>822</v>
      </c>
      <c r="O110" s="17">
        <f t="shared" si="14"/>
        <v>45868</v>
      </c>
      <c r="P110" s="25">
        <f t="shared" si="15"/>
        <v>0</v>
      </c>
      <c r="Q110" t="str">
        <f t="shared" si="16"/>
        <v>Paid</v>
      </c>
      <c r="R110" t="str">
        <f t="shared" si="17"/>
        <v>Not Due</v>
      </c>
    </row>
    <row r="111" spans="1:18" x14ac:dyDescent="0.35">
      <c r="A111" t="s">
        <v>118</v>
      </c>
      <c r="B111" t="s">
        <v>812</v>
      </c>
      <c r="C111" s="9">
        <v>45787</v>
      </c>
      <c r="D111" s="28" t="str">
        <f t="shared" si="9"/>
        <v>May 2025</v>
      </c>
      <c r="E111" s="9">
        <v>45817</v>
      </c>
      <c r="F111" t="s">
        <v>814</v>
      </c>
      <c r="G111">
        <v>258.86</v>
      </c>
      <c r="H111" t="s">
        <v>820</v>
      </c>
      <c r="I111" s="15">
        <f t="shared" si="10"/>
        <v>0</v>
      </c>
      <c r="J111" s="18" t="str">
        <f t="shared" si="11"/>
        <v>N/A</v>
      </c>
      <c r="L111" s="54" t="str">
        <f t="shared" si="12"/>
        <v/>
      </c>
      <c r="M111" s="9" t="str">
        <f t="shared" si="13"/>
        <v/>
      </c>
      <c r="N111" t="s">
        <v>822</v>
      </c>
      <c r="O111" s="17">
        <f t="shared" si="14"/>
        <v>45868</v>
      </c>
      <c r="P111" s="25">
        <f t="shared" si="15"/>
        <v>51</v>
      </c>
      <c r="Q111" t="str">
        <f t="shared" si="16"/>
        <v>31-60</v>
      </c>
      <c r="R111" t="str">
        <f t="shared" si="17"/>
        <v>Due</v>
      </c>
    </row>
    <row r="112" spans="1:18" x14ac:dyDescent="0.35">
      <c r="A112" t="s">
        <v>119</v>
      </c>
      <c r="B112" t="s">
        <v>812</v>
      </c>
      <c r="C112" s="9">
        <v>45621</v>
      </c>
      <c r="D112" s="28" t="str">
        <f t="shared" si="9"/>
        <v>Nov 2024</v>
      </c>
      <c r="E112" s="9">
        <v>45651</v>
      </c>
      <c r="F112" t="s">
        <v>816</v>
      </c>
      <c r="G112">
        <v>1619.24</v>
      </c>
      <c r="H112" t="s">
        <v>819</v>
      </c>
      <c r="I112" s="15">
        <f t="shared" si="10"/>
        <v>0</v>
      </c>
      <c r="J112" s="18">
        <f t="shared" si="11"/>
        <v>1619.24</v>
      </c>
      <c r="L112" s="54" t="str">
        <f t="shared" si="12"/>
        <v/>
      </c>
      <c r="M112" s="9" t="str">
        <f t="shared" si="13"/>
        <v/>
      </c>
      <c r="N112" t="s">
        <v>822</v>
      </c>
      <c r="O112" s="17">
        <f t="shared" si="14"/>
        <v>45868</v>
      </c>
      <c r="P112" s="25">
        <f t="shared" si="15"/>
        <v>217</v>
      </c>
      <c r="Q112" t="str">
        <f t="shared" si="16"/>
        <v>90+</v>
      </c>
      <c r="R112" t="str">
        <f t="shared" si="17"/>
        <v>Due</v>
      </c>
    </row>
    <row r="113" spans="1:18" x14ac:dyDescent="0.35">
      <c r="A113" t="s">
        <v>120</v>
      </c>
      <c r="B113" t="s">
        <v>812</v>
      </c>
      <c r="C113" s="9">
        <v>45273</v>
      </c>
      <c r="D113" s="28" t="str">
        <f t="shared" si="9"/>
        <v>Dec 2023</v>
      </c>
      <c r="E113" s="9">
        <v>45303</v>
      </c>
      <c r="F113" t="s">
        <v>815</v>
      </c>
      <c r="G113">
        <v>2747.87</v>
      </c>
      <c r="H113" t="s">
        <v>821</v>
      </c>
      <c r="I113" s="15">
        <f t="shared" si="10"/>
        <v>2747.87</v>
      </c>
      <c r="J113" s="18">
        <f t="shared" si="11"/>
        <v>0</v>
      </c>
      <c r="K113" s="9">
        <v>45303</v>
      </c>
      <c r="L113" s="54">
        <f t="shared" si="12"/>
        <v>30</v>
      </c>
      <c r="M113" s="9" t="str">
        <f t="shared" si="13"/>
        <v>2024-Jan</v>
      </c>
      <c r="N113" t="s">
        <v>822</v>
      </c>
      <c r="O113" s="17">
        <f t="shared" si="14"/>
        <v>45868</v>
      </c>
      <c r="P113" s="25">
        <f t="shared" si="15"/>
        <v>0</v>
      </c>
      <c r="Q113" t="str">
        <f t="shared" si="16"/>
        <v>Paid</v>
      </c>
      <c r="R113" t="str">
        <f t="shared" si="17"/>
        <v>Not Due</v>
      </c>
    </row>
    <row r="114" spans="1:18" x14ac:dyDescent="0.35">
      <c r="A114" t="s">
        <v>121</v>
      </c>
      <c r="B114" t="s">
        <v>813</v>
      </c>
      <c r="C114" s="9">
        <v>45028</v>
      </c>
      <c r="D114" s="28" t="str">
        <f t="shared" si="9"/>
        <v>Apr 2023</v>
      </c>
      <c r="E114" s="9">
        <v>45058</v>
      </c>
      <c r="F114" t="s">
        <v>817</v>
      </c>
      <c r="G114">
        <v>945.2</v>
      </c>
      <c r="H114" t="s">
        <v>820</v>
      </c>
      <c r="I114" s="15">
        <f t="shared" si="10"/>
        <v>0</v>
      </c>
      <c r="J114" s="18" t="str">
        <f t="shared" si="11"/>
        <v>N/A</v>
      </c>
      <c r="L114" s="54" t="str">
        <f t="shared" si="12"/>
        <v/>
      </c>
      <c r="M114" s="9" t="str">
        <f t="shared" si="13"/>
        <v/>
      </c>
      <c r="N114" t="s">
        <v>822</v>
      </c>
      <c r="O114" s="17">
        <f t="shared" si="14"/>
        <v>45868</v>
      </c>
      <c r="P114" s="25">
        <f t="shared" si="15"/>
        <v>810</v>
      </c>
      <c r="Q114" t="str">
        <f t="shared" si="16"/>
        <v>90+</v>
      </c>
      <c r="R114" t="str">
        <f t="shared" si="17"/>
        <v>Due</v>
      </c>
    </row>
    <row r="115" spans="1:18" x14ac:dyDescent="0.35">
      <c r="A115" t="s">
        <v>122</v>
      </c>
      <c r="B115" t="s">
        <v>812</v>
      </c>
      <c r="C115" s="9">
        <v>45311</v>
      </c>
      <c r="D115" s="28" t="str">
        <f t="shared" si="9"/>
        <v>Jan 2024</v>
      </c>
      <c r="E115" s="9">
        <v>45341</v>
      </c>
      <c r="F115" t="s">
        <v>815</v>
      </c>
      <c r="G115">
        <v>1817.61</v>
      </c>
      <c r="H115" t="s">
        <v>820</v>
      </c>
      <c r="I115" s="15">
        <f t="shared" si="10"/>
        <v>0</v>
      </c>
      <c r="J115" s="18" t="str">
        <f t="shared" si="11"/>
        <v>N/A</v>
      </c>
      <c r="L115" s="54" t="str">
        <f t="shared" si="12"/>
        <v/>
      </c>
      <c r="M115" s="9" t="str">
        <f t="shared" si="13"/>
        <v/>
      </c>
      <c r="N115" t="s">
        <v>822</v>
      </c>
      <c r="O115" s="17">
        <f t="shared" si="14"/>
        <v>45868</v>
      </c>
      <c r="P115" s="25">
        <f t="shared" si="15"/>
        <v>527</v>
      </c>
      <c r="Q115" t="str">
        <f t="shared" si="16"/>
        <v>90+</v>
      </c>
      <c r="R115" t="str">
        <f t="shared" si="17"/>
        <v>Due</v>
      </c>
    </row>
    <row r="116" spans="1:18" x14ac:dyDescent="0.35">
      <c r="A116" t="s">
        <v>123</v>
      </c>
      <c r="B116" t="s">
        <v>813</v>
      </c>
      <c r="C116" s="9">
        <v>45625</v>
      </c>
      <c r="D116" s="28" t="str">
        <f t="shared" si="9"/>
        <v>Nov 2024</v>
      </c>
      <c r="E116" s="9">
        <v>45655</v>
      </c>
      <c r="F116" t="s">
        <v>817</v>
      </c>
      <c r="G116">
        <v>4131.71</v>
      </c>
      <c r="H116" t="s">
        <v>820</v>
      </c>
      <c r="I116" s="15">
        <f t="shared" si="10"/>
        <v>0</v>
      </c>
      <c r="J116" s="18" t="str">
        <f t="shared" si="11"/>
        <v>N/A</v>
      </c>
      <c r="L116" s="54" t="str">
        <f t="shared" si="12"/>
        <v/>
      </c>
      <c r="M116" s="9" t="str">
        <f t="shared" si="13"/>
        <v/>
      </c>
      <c r="N116" t="s">
        <v>822</v>
      </c>
      <c r="O116" s="17">
        <f t="shared" si="14"/>
        <v>45868</v>
      </c>
      <c r="P116" s="25">
        <f t="shared" si="15"/>
        <v>213</v>
      </c>
      <c r="Q116" t="str">
        <f t="shared" si="16"/>
        <v>90+</v>
      </c>
      <c r="R116" t="str">
        <f t="shared" si="17"/>
        <v>Due</v>
      </c>
    </row>
    <row r="117" spans="1:18" x14ac:dyDescent="0.35">
      <c r="A117" t="s">
        <v>124</v>
      </c>
      <c r="B117" t="s">
        <v>813</v>
      </c>
      <c r="C117" s="9">
        <v>45370</v>
      </c>
      <c r="D117" s="28" t="str">
        <f t="shared" si="9"/>
        <v>Mar 2024</v>
      </c>
      <c r="E117" s="9">
        <v>45400</v>
      </c>
      <c r="F117" t="s">
        <v>815</v>
      </c>
      <c r="G117">
        <v>806.06</v>
      </c>
      <c r="H117" t="s">
        <v>819</v>
      </c>
      <c r="I117" s="15">
        <f t="shared" si="10"/>
        <v>0</v>
      </c>
      <c r="J117" s="18">
        <f t="shared" si="11"/>
        <v>806.06</v>
      </c>
      <c r="L117" s="54" t="str">
        <f t="shared" si="12"/>
        <v/>
      </c>
      <c r="M117" s="9" t="str">
        <f t="shared" si="13"/>
        <v/>
      </c>
      <c r="N117" t="s">
        <v>822</v>
      </c>
      <c r="O117" s="17">
        <f t="shared" si="14"/>
        <v>45868</v>
      </c>
      <c r="P117" s="25">
        <f t="shared" si="15"/>
        <v>468</v>
      </c>
      <c r="Q117" t="str">
        <f t="shared" si="16"/>
        <v>90+</v>
      </c>
      <c r="R117" t="str">
        <f t="shared" si="17"/>
        <v>Due</v>
      </c>
    </row>
    <row r="118" spans="1:18" x14ac:dyDescent="0.35">
      <c r="A118" t="s">
        <v>125</v>
      </c>
      <c r="B118" t="s">
        <v>813</v>
      </c>
      <c r="C118" s="9">
        <v>45193</v>
      </c>
      <c r="D118" s="28" t="str">
        <f t="shared" si="9"/>
        <v>Sep 2023</v>
      </c>
      <c r="E118" s="9">
        <v>45223</v>
      </c>
      <c r="F118" t="s">
        <v>815</v>
      </c>
      <c r="G118">
        <v>3303.34</v>
      </c>
      <c r="H118" t="s">
        <v>819</v>
      </c>
      <c r="I118" s="15">
        <f t="shared" si="10"/>
        <v>0</v>
      </c>
      <c r="J118" s="18">
        <f t="shared" si="11"/>
        <v>3303.34</v>
      </c>
      <c r="L118" s="54" t="str">
        <f t="shared" si="12"/>
        <v/>
      </c>
      <c r="M118" s="9" t="str">
        <f t="shared" si="13"/>
        <v/>
      </c>
      <c r="N118" t="s">
        <v>822</v>
      </c>
      <c r="O118" s="17">
        <f t="shared" si="14"/>
        <v>45868</v>
      </c>
      <c r="P118" s="25">
        <f t="shared" si="15"/>
        <v>645</v>
      </c>
      <c r="Q118" t="str">
        <f t="shared" si="16"/>
        <v>90+</v>
      </c>
      <c r="R118" t="str">
        <f t="shared" si="17"/>
        <v>Due</v>
      </c>
    </row>
    <row r="119" spans="1:18" x14ac:dyDescent="0.35">
      <c r="A119" t="s">
        <v>126</v>
      </c>
      <c r="B119" t="s">
        <v>813</v>
      </c>
      <c r="C119" s="9">
        <v>44973</v>
      </c>
      <c r="D119" s="28" t="str">
        <f t="shared" si="9"/>
        <v>Feb 2023</v>
      </c>
      <c r="E119" s="9">
        <v>45003</v>
      </c>
      <c r="F119" t="s">
        <v>815</v>
      </c>
      <c r="G119">
        <v>1093.23</v>
      </c>
      <c r="H119" t="s">
        <v>819</v>
      </c>
      <c r="I119" s="15">
        <f t="shared" si="10"/>
        <v>0</v>
      </c>
      <c r="J119" s="18">
        <f t="shared" si="11"/>
        <v>1093.23</v>
      </c>
      <c r="L119" s="54" t="str">
        <f t="shared" si="12"/>
        <v/>
      </c>
      <c r="M119" s="9" t="str">
        <f t="shared" si="13"/>
        <v/>
      </c>
      <c r="N119" t="s">
        <v>822</v>
      </c>
      <c r="O119" s="17">
        <f t="shared" si="14"/>
        <v>45868</v>
      </c>
      <c r="P119" s="25">
        <f t="shared" si="15"/>
        <v>865</v>
      </c>
      <c r="Q119" t="str">
        <f t="shared" si="16"/>
        <v>90+</v>
      </c>
      <c r="R119" t="str">
        <f t="shared" si="17"/>
        <v>Due</v>
      </c>
    </row>
    <row r="120" spans="1:18" x14ac:dyDescent="0.35">
      <c r="A120" t="s">
        <v>127</v>
      </c>
      <c r="B120" t="s">
        <v>809</v>
      </c>
      <c r="C120" s="9">
        <v>45152</v>
      </c>
      <c r="D120" s="28" t="str">
        <f t="shared" si="9"/>
        <v>Aug 2023</v>
      </c>
      <c r="E120" s="9">
        <v>45182</v>
      </c>
      <c r="F120" t="s">
        <v>815</v>
      </c>
      <c r="G120">
        <v>3080.8</v>
      </c>
      <c r="H120" t="s">
        <v>819</v>
      </c>
      <c r="I120" s="15">
        <f t="shared" si="10"/>
        <v>0</v>
      </c>
      <c r="J120" s="18">
        <f t="shared" si="11"/>
        <v>3080.8</v>
      </c>
      <c r="L120" s="54" t="str">
        <f t="shared" si="12"/>
        <v/>
      </c>
      <c r="M120" s="9" t="str">
        <f t="shared" si="13"/>
        <v/>
      </c>
      <c r="N120" t="s">
        <v>822</v>
      </c>
      <c r="O120" s="17">
        <f t="shared" si="14"/>
        <v>45868</v>
      </c>
      <c r="P120" s="25">
        <f t="shared" si="15"/>
        <v>686</v>
      </c>
      <c r="Q120" t="str">
        <f t="shared" si="16"/>
        <v>90+</v>
      </c>
      <c r="R120" t="str">
        <f t="shared" si="17"/>
        <v>Due</v>
      </c>
    </row>
    <row r="121" spans="1:18" x14ac:dyDescent="0.35">
      <c r="A121" t="s">
        <v>128</v>
      </c>
      <c r="B121" t="s">
        <v>810</v>
      </c>
      <c r="C121" s="9">
        <v>45685</v>
      </c>
      <c r="D121" s="28" t="str">
        <f t="shared" si="9"/>
        <v>Jan 2025</v>
      </c>
      <c r="E121" s="9">
        <v>45715</v>
      </c>
      <c r="F121" t="s">
        <v>816</v>
      </c>
      <c r="G121">
        <v>6090.2</v>
      </c>
      <c r="H121" t="s">
        <v>820</v>
      </c>
      <c r="I121" s="15">
        <f t="shared" si="10"/>
        <v>0</v>
      </c>
      <c r="J121" s="18" t="str">
        <f t="shared" si="11"/>
        <v>N/A</v>
      </c>
      <c r="L121" s="54" t="str">
        <f t="shared" si="12"/>
        <v/>
      </c>
      <c r="M121" s="9" t="str">
        <f t="shared" si="13"/>
        <v/>
      </c>
      <c r="N121" t="s">
        <v>822</v>
      </c>
      <c r="O121" s="17">
        <f t="shared" si="14"/>
        <v>45868</v>
      </c>
      <c r="P121" s="25">
        <f t="shared" si="15"/>
        <v>153</v>
      </c>
      <c r="Q121" t="str">
        <f t="shared" si="16"/>
        <v>90+</v>
      </c>
      <c r="R121" t="str">
        <f t="shared" si="17"/>
        <v>Due</v>
      </c>
    </row>
    <row r="122" spans="1:18" x14ac:dyDescent="0.35">
      <c r="A122" t="s">
        <v>129</v>
      </c>
      <c r="B122" t="s">
        <v>813</v>
      </c>
      <c r="C122" s="9">
        <v>45412</v>
      </c>
      <c r="D122" s="28" t="str">
        <f t="shared" si="9"/>
        <v>Apr 2024</v>
      </c>
      <c r="E122" s="9">
        <v>45442</v>
      </c>
      <c r="F122" t="s">
        <v>816</v>
      </c>
      <c r="G122">
        <v>1912.86</v>
      </c>
      <c r="H122" t="s">
        <v>821</v>
      </c>
      <c r="I122" s="15">
        <f t="shared" si="10"/>
        <v>1912.86</v>
      </c>
      <c r="J122" s="18">
        <f t="shared" si="11"/>
        <v>0</v>
      </c>
      <c r="K122" s="9">
        <v>45442</v>
      </c>
      <c r="L122" s="54">
        <f t="shared" si="12"/>
        <v>30</v>
      </c>
      <c r="M122" s="9" t="str">
        <f t="shared" si="13"/>
        <v>2024-May</v>
      </c>
      <c r="N122" t="s">
        <v>822</v>
      </c>
      <c r="O122" s="17">
        <f t="shared" si="14"/>
        <v>45868</v>
      </c>
      <c r="P122" s="25">
        <f t="shared" si="15"/>
        <v>0</v>
      </c>
      <c r="Q122" t="str">
        <f t="shared" si="16"/>
        <v>Paid</v>
      </c>
      <c r="R122" t="str">
        <f t="shared" si="17"/>
        <v>Not Due</v>
      </c>
    </row>
    <row r="123" spans="1:18" x14ac:dyDescent="0.35">
      <c r="A123" t="s">
        <v>130</v>
      </c>
      <c r="B123" t="s">
        <v>811</v>
      </c>
      <c r="C123" s="9">
        <v>45253</v>
      </c>
      <c r="D123" s="28" t="str">
        <f t="shared" si="9"/>
        <v>Nov 2023</v>
      </c>
      <c r="E123" s="9">
        <v>45283</v>
      </c>
      <c r="F123" t="s">
        <v>814</v>
      </c>
      <c r="G123">
        <v>3190.35</v>
      </c>
      <c r="H123" t="s">
        <v>819</v>
      </c>
      <c r="I123" s="15">
        <f t="shared" si="10"/>
        <v>0</v>
      </c>
      <c r="J123" s="18">
        <f t="shared" si="11"/>
        <v>3190.35</v>
      </c>
      <c r="L123" s="54" t="str">
        <f t="shared" si="12"/>
        <v/>
      </c>
      <c r="M123" s="9" t="str">
        <f t="shared" si="13"/>
        <v/>
      </c>
      <c r="N123" t="s">
        <v>822</v>
      </c>
      <c r="O123" s="17">
        <f t="shared" si="14"/>
        <v>45868</v>
      </c>
      <c r="P123" s="25">
        <f t="shared" si="15"/>
        <v>585</v>
      </c>
      <c r="Q123" t="str">
        <f t="shared" si="16"/>
        <v>90+</v>
      </c>
      <c r="R123" t="str">
        <f t="shared" si="17"/>
        <v>Due</v>
      </c>
    </row>
    <row r="124" spans="1:18" x14ac:dyDescent="0.35">
      <c r="A124" t="s">
        <v>131</v>
      </c>
      <c r="B124" t="s">
        <v>809</v>
      </c>
      <c r="C124" s="9">
        <v>45729</v>
      </c>
      <c r="D124" s="28" t="str">
        <f t="shared" si="9"/>
        <v>Mar 2025</v>
      </c>
      <c r="E124" s="9">
        <v>45759</v>
      </c>
      <c r="F124" t="s">
        <v>816</v>
      </c>
      <c r="G124">
        <v>2845.52</v>
      </c>
      <c r="H124" t="s">
        <v>820</v>
      </c>
      <c r="I124" s="15">
        <f t="shared" si="10"/>
        <v>0</v>
      </c>
      <c r="J124" s="18" t="str">
        <f t="shared" si="11"/>
        <v>N/A</v>
      </c>
      <c r="L124" s="54" t="str">
        <f t="shared" si="12"/>
        <v/>
      </c>
      <c r="M124" s="9" t="str">
        <f t="shared" si="13"/>
        <v/>
      </c>
      <c r="N124" t="s">
        <v>822</v>
      </c>
      <c r="O124" s="17">
        <f t="shared" si="14"/>
        <v>45868</v>
      </c>
      <c r="P124" s="25">
        <f t="shared" si="15"/>
        <v>109</v>
      </c>
      <c r="Q124" t="str">
        <f t="shared" si="16"/>
        <v>90+</v>
      </c>
      <c r="R124" t="str">
        <f t="shared" si="17"/>
        <v>Due</v>
      </c>
    </row>
    <row r="125" spans="1:18" x14ac:dyDescent="0.35">
      <c r="A125" t="s">
        <v>132</v>
      </c>
      <c r="B125" t="s">
        <v>813</v>
      </c>
      <c r="C125" s="9">
        <v>45647</v>
      </c>
      <c r="D125" s="28" t="str">
        <f t="shared" si="9"/>
        <v>Dec 2024</v>
      </c>
      <c r="E125" s="9">
        <v>45677</v>
      </c>
      <c r="F125" t="s">
        <v>816</v>
      </c>
      <c r="G125">
        <v>2223.23</v>
      </c>
      <c r="H125" t="s">
        <v>819</v>
      </c>
      <c r="I125" s="15">
        <f t="shared" si="10"/>
        <v>0</v>
      </c>
      <c r="J125" s="18">
        <f t="shared" si="11"/>
        <v>2223.23</v>
      </c>
      <c r="L125" s="54" t="str">
        <f t="shared" si="12"/>
        <v/>
      </c>
      <c r="M125" s="9" t="str">
        <f t="shared" si="13"/>
        <v/>
      </c>
      <c r="N125" t="s">
        <v>822</v>
      </c>
      <c r="O125" s="17">
        <f t="shared" si="14"/>
        <v>45868</v>
      </c>
      <c r="P125" s="25">
        <f t="shared" si="15"/>
        <v>191</v>
      </c>
      <c r="Q125" t="str">
        <f t="shared" si="16"/>
        <v>90+</v>
      </c>
      <c r="R125" t="str">
        <f t="shared" si="17"/>
        <v>Due</v>
      </c>
    </row>
    <row r="126" spans="1:18" x14ac:dyDescent="0.35">
      <c r="A126" t="s">
        <v>133</v>
      </c>
      <c r="B126" t="s">
        <v>810</v>
      </c>
      <c r="C126" s="9">
        <v>45204</v>
      </c>
      <c r="D126" s="28" t="str">
        <f t="shared" si="9"/>
        <v>Oct 2023</v>
      </c>
      <c r="E126" s="9">
        <v>45234</v>
      </c>
      <c r="F126" t="s">
        <v>818</v>
      </c>
      <c r="G126">
        <v>757.46</v>
      </c>
      <c r="H126" t="s">
        <v>820</v>
      </c>
      <c r="I126" s="15">
        <f t="shared" si="10"/>
        <v>0</v>
      </c>
      <c r="J126" s="18" t="str">
        <f t="shared" si="11"/>
        <v>N/A</v>
      </c>
      <c r="L126" s="54" t="str">
        <f t="shared" si="12"/>
        <v/>
      </c>
      <c r="M126" s="9" t="str">
        <f t="shared" si="13"/>
        <v/>
      </c>
      <c r="N126" t="s">
        <v>822</v>
      </c>
      <c r="O126" s="17">
        <f t="shared" si="14"/>
        <v>45868</v>
      </c>
      <c r="P126" s="25">
        <f t="shared" si="15"/>
        <v>634</v>
      </c>
      <c r="Q126" t="str">
        <f t="shared" si="16"/>
        <v>90+</v>
      </c>
      <c r="R126" t="str">
        <f t="shared" si="17"/>
        <v>Due</v>
      </c>
    </row>
    <row r="127" spans="1:18" x14ac:dyDescent="0.35">
      <c r="A127" t="s">
        <v>134</v>
      </c>
      <c r="B127" t="s">
        <v>810</v>
      </c>
      <c r="C127" s="9">
        <v>45186</v>
      </c>
      <c r="D127" s="28" t="str">
        <f t="shared" si="9"/>
        <v>Sep 2023</v>
      </c>
      <c r="E127" s="9">
        <v>45216</v>
      </c>
      <c r="F127" t="s">
        <v>818</v>
      </c>
      <c r="G127">
        <v>3019.21</v>
      </c>
      <c r="H127" t="s">
        <v>819</v>
      </c>
      <c r="I127" s="15">
        <f t="shared" si="10"/>
        <v>0</v>
      </c>
      <c r="J127" s="18">
        <f t="shared" si="11"/>
        <v>3019.21</v>
      </c>
      <c r="L127" s="54" t="str">
        <f t="shared" si="12"/>
        <v/>
      </c>
      <c r="M127" s="9" t="str">
        <f t="shared" si="13"/>
        <v/>
      </c>
      <c r="N127" t="s">
        <v>822</v>
      </c>
      <c r="O127" s="17">
        <f t="shared" si="14"/>
        <v>45868</v>
      </c>
      <c r="P127" s="25">
        <f t="shared" si="15"/>
        <v>652</v>
      </c>
      <c r="Q127" t="str">
        <f t="shared" si="16"/>
        <v>90+</v>
      </c>
      <c r="R127" t="str">
        <f t="shared" si="17"/>
        <v>Due</v>
      </c>
    </row>
    <row r="128" spans="1:18" x14ac:dyDescent="0.35">
      <c r="A128" t="s">
        <v>135</v>
      </c>
      <c r="B128" t="s">
        <v>811</v>
      </c>
      <c r="C128" s="9">
        <v>44940</v>
      </c>
      <c r="D128" s="28" t="str">
        <f t="shared" si="9"/>
        <v>Jan 2023</v>
      </c>
      <c r="E128" s="9">
        <v>44970</v>
      </c>
      <c r="F128" t="s">
        <v>817</v>
      </c>
      <c r="G128">
        <v>2545.81</v>
      </c>
      <c r="H128" t="s">
        <v>820</v>
      </c>
      <c r="I128" s="15">
        <f t="shared" si="10"/>
        <v>0</v>
      </c>
      <c r="J128" s="18" t="str">
        <f t="shared" si="11"/>
        <v>N/A</v>
      </c>
      <c r="L128" s="54" t="str">
        <f t="shared" si="12"/>
        <v/>
      </c>
      <c r="M128" s="9" t="str">
        <f t="shared" si="13"/>
        <v/>
      </c>
      <c r="N128" t="s">
        <v>822</v>
      </c>
      <c r="O128" s="17">
        <f t="shared" si="14"/>
        <v>45868</v>
      </c>
      <c r="P128" s="25">
        <f t="shared" si="15"/>
        <v>898</v>
      </c>
      <c r="Q128" t="str">
        <f t="shared" si="16"/>
        <v>90+</v>
      </c>
      <c r="R128" t="str">
        <f t="shared" si="17"/>
        <v>Due</v>
      </c>
    </row>
    <row r="129" spans="1:18" x14ac:dyDescent="0.35">
      <c r="A129" t="s">
        <v>136</v>
      </c>
      <c r="B129" t="s">
        <v>812</v>
      </c>
      <c r="C129" s="9">
        <v>45396</v>
      </c>
      <c r="D129" s="28" t="str">
        <f t="shared" si="9"/>
        <v>Apr 2024</v>
      </c>
      <c r="E129" s="9">
        <v>45426</v>
      </c>
      <c r="F129" t="s">
        <v>818</v>
      </c>
      <c r="G129">
        <v>714.91</v>
      </c>
      <c r="H129" t="s">
        <v>820</v>
      </c>
      <c r="I129" s="15">
        <f t="shared" si="10"/>
        <v>0</v>
      </c>
      <c r="J129" s="18" t="str">
        <f t="shared" si="11"/>
        <v>N/A</v>
      </c>
      <c r="L129" s="54" t="str">
        <f t="shared" si="12"/>
        <v/>
      </c>
      <c r="M129" s="9" t="str">
        <f t="shared" si="13"/>
        <v/>
      </c>
      <c r="N129" t="s">
        <v>822</v>
      </c>
      <c r="O129" s="17">
        <f t="shared" si="14"/>
        <v>45868</v>
      </c>
      <c r="P129" s="25">
        <f t="shared" si="15"/>
        <v>442</v>
      </c>
      <c r="Q129" t="str">
        <f t="shared" si="16"/>
        <v>90+</v>
      </c>
      <c r="R129" t="str">
        <f t="shared" si="17"/>
        <v>Due</v>
      </c>
    </row>
    <row r="130" spans="1:18" x14ac:dyDescent="0.35">
      <c r="A130" t="s">
        <v>137</v>
      </c>
      <c r="B130" t="s">
        <v>812</v>
      </c>
      <c r="C130" s="9">
        <v>45091</v>
      </c>
      <c r="D130" s="28" t="str">
        <f t="shared" si="9"/>
        <v>Jun 2023</v>
      </c>
      <c r="E130" s="9">
        <v>45121</v>
      </c>
      <c r="F130" t="s">
        <v>816</v>
      </c>
      <c r="G130">
        <v>1133.93</v>
      </c>
      <c r="H130" t="s">
        <v>820</v>
      </c>
      <c r="I130" s="15">
        <f t="shared" si="10"/>
        <v>0</v>
      </c>
      <c r="J130" s="18" t="str">
        <f t="shared" si="11"/>
        <v>N/A</v>
      </c>
      <c r="L130" s="54" t="str">
        <f t="shared" si="12"/>
        <v/>
      </c>
      <c r="M130" s="9" t="str">
        <f t="shared" si="13"/>
        <v/>
      </c>
      <c r="N130" t="s">
        <v>822</v>
      </c>
      <c r="O130" s="17">
        <f t="shared" si="14"/>
        <v>45868</v>
      </c>
      <c r="P130" s="25">
        <f t="shared" si="15"/>
        <v>747</v>
      </c>
      <c r="Q130" t="str">
        <f t="shared" si="16"/>
        <v>90+</v>
      </c>
      <c r="R130" t="str">
        <f t="shared" si="17"/>
        <v>Due</v>
      </c>
    </row>
    <row r="131" spans="1:18" x14ac:dyDescent="0.35">
      <c r="A131" t="s">
        <v>138</v>
      </c>
      <c r="B131" t="s">
        <v>812</v>
      </c>
      <c r="C131" s="9">
        <v>45286</v>
      </c>
      <c r="D131" s="28" t="str">
        <f t="shared" ref="D131:D194" si="18">TEXT(C131,"MMM YYYY")</f>
        <v>Dec 2023</v>
      </c>
      <c r="E131" s="9">
        <v>45316</v>
      </c>
      <c r="F131" t="s">
        <v>817</v>
      </c>
      <c r="G131">
        <v>2107.58</v>
      </c>
      <c r="H131" t="s">
        <v>820</v>
      </c>
      <c r="I131" s="15">
        <f t="shared" ref="I131:I194" si="19">IF(H131="Paid",G131,0)</f>
        <v>0</v>
      </c>
      <c r="J131" s="18" t="str">
        <f t="shared" ref="J131:J194" si="20">IF(H131="Open",G131,IF(H131="Paid",0,"N/A"))</f>
        <v>N/A</v>
      </c>
      <c r="L131" s="54" t="str">
        <f t="shared" ref="L131:L194" si="21">IF(H131="Paid",K131-C131,"")</f>
        <v/>
      </c>
      <c r="M131" s="9" t="str">
        <f t="shared" ref="M131:M194" si="22">IF(K131="","",TEXT(K131, "YYYY-MMM"))</f>
        <v/>
      </c>
      <c r="N131" t="s">
        <v>822</v>
      </c>
      <c r="O131" s="17">
        <f t="shared" ref="O131:O194" si="23">MAX(MAX($C$2:$C$801), MAX($E$2:$E$801))</f>
        <v>45868</v>
      </c>
      <c r="P131" s="25">
        <f t="shared" ref="P131:P194" si="24">IF(K131="", O131-E131,0)</f>
        <v>552</v>
      </c>
      <c r="Q131" t="str">
        <f t="shared" ref="Q131:Q194" si="25">IF(H131="Paid","Paid",
   IF(P131&lt;=0,"Current",
      IF(P131&lt;=30,"1-30",
         IF(P131&lt;=60,"31-60",
            IF(P131&lt;=90,"61-90","90+")))))</f>
        <v>90+</v>
      </c>
      <c r="R131" t="str">
        <f t="shared" ref="R131:R194" si="26">IF(P131=0, "Not Due","Due")</f>
        <v>Due</v>
      </c>
    </row>
    <row r="132" spans="1:18" x14ac:dyDescent="0.35">
      <c r="A132" t="s">
        <v>139</v>
      </c>
      <c r="B132" t="s">
        <v>813</v>
      </c>
      <c r="C132" s="9">
        <v>45782</v>
      </c>
      <c r="D132" s="28" t="str">
        <f t="shared" si="18"/>
        <v>May 2025</v>
      </c>
      <c r="E132" s="9">
        <v>45812</v>
      </c>
      <c r="F132" t="s">
        <v>817</v>
      </c>
      <c r="G132">
        <v>1874.69</v>
      </c>
      <c r="H132" t="s">
        <v>819</v>
      </c>
      <c r="I132" s="15">
        <f t="shared" si="19"/>
        <v>0</v>
      </c>
      <c r="J132" s="18">
        <f t="shared" si="20"/>
        <v>1874.69</v>
      </c>
      <c r="L132" s="54" t="str">
        <f t="shared" si="21"/>
        <v/>
      </c>
      <c r="M132" s="9" t="str">
        <f t="shared" si="22"/>
        <v/>
      </c>
      <c r="N132" t="s">
        <v>822</v>
      </c>
      <c r="O132" s="17">
        <f t="shared" si="23"/>
        <v>45868</v>
      </c>
      <c r="P132" s="25">
        <f t="shared" si="24"/>
        <v>56</v>
      </c>
      <c r="Q132" t="str">
        <f t="shared" si="25"/>
        <v>31-60</v>
      </c>
      <c r="R132" t="str">
        <f t="shared" si="26"/>
        <v>Due</v>
      </c>
    </row>
    <row r="133" spans="1:18" x14ac:dyDescent="0.35">
      <c r="A133" t="s">
        <v>140</v>
      </c>
      <c r="B133" t="s">
        <v>812</v>
      </c>
      <c r="C133" s="9">
        <v>45471</v>
      </c>
      <c r="D133" s="28" t="str">
        <f t="shared" si="18"/>
        <v>Jun 2024</v>
      </c>
      <c r="E133" s="9">
        <v>45501</v>
      </c>
      <c r="F133" t="s">
        <v>814</v>
      </c>
      <c r="G133">
        <v>5109.9799999999996</v>
      </c>
      <c r="H133" t="s">
        <v>821</v>
      </c>
      <c r="I133" s="15">
        <f t="shared" si="19"/>
        <v>5109.9799999999996</v>
      </c>
      <c r="J133" s="18">
        <f t="shared" si="20"/>
        <v>0</v>
      </c>
      <c r="K133" s="9">
        <v>45501</v>
      </c>
      <c r="L133" s="54">
        <f t="shared" si="21"/>
        <v>30</v>
      </c>
      <c r="M133" s="9" t="str">
        <f t="shared" si="22"/>
        <v>2024-Jul</v>
      </c>
      <c r="N133" t="s">
        <v>822</v>
      </c>
      <c r="O133" s="17">
        <f t="shared" si="23"/>
        <v>45868</v>
      </c>
      <c r="P133" s="25">
        <f t="shared" si="24"/>
        <v>0</v>
      </c>
      <c r="Q133" t="str">
        <f t="shared" si="25"/>
        <v>Paid</v>
      </c>
      <c r="R133" t="str">
        <f t="shared" si="26"/>
        <v>Not Due</v>
      </c>
    </row>
    <row r="134" spans="1:18" x14ac:dyDescent="0.35">
      <c r="A134" t="s">
        <v>141</v>
      </c>
      <c r="B134" t="s">
        <v>810</v>
      </c>
      <c r="C134" s="9">
        <v>45365</v>
      </c>
      <c r="D134" s="28" t="str">
        <f t="shared" si="18"/>
        <v>Mar 2024</v>
      </c>
      <c r="E134" s="9">
        <v>45395</v>
      </c>
      <c r="F134" t="s">
        <v>815</v>
      </c>
      <c r="G134">
        <v>90.42</v>
      </c>
      <c r="H134" t="s">
        <v>820</v>
      </c>
      <c r="I134" s="15">
        <f t="shared" si="19"/>
        <v>0</v>
      </c>
      <c r="J134" s="18" t="str">
        <f t="shared" si="20"/>
        <v>N/A</v>
      </c>
      <c r="L134" s="54" t="str">
        <f t="shared" si="21"/>
        <v/>
      </c>
      <c r="M134" s="9" t="str">
        <f t="shared" si="22"/>
        <v/>
      </c>
      <c r="N134" t="s">
        <v>822</v>
      </c>
      <c r="O134" s="17">
        <f t="shared" si="23"/>
        <v>45868</v>
      </c>
      <c r="P134" s="25">
        <f t="shared" si="24"/>
        <v>473</v>
      </c>
      <c r="Q134" t="str">
        <f t="shared" si="25"/>
        <v>90+</v>
      </c>
      <c r="R134" t="str">
        <f t="shared" si="26"/>
        <v>Due</v>
      </c>
    </row>
    <row r="135" spans="1:18" x14ac:dyDescent="0.35">
      <c r="A135" t="s">
        <v>142</v>
      </c>
      <c r="B135" t="s">
        <v>811</v>
      </c>
      <c r="C135" s="9">
        <v>45392</v>
      </c>
      <c r="D135" s="28" t="str">
        <f t="shared" si="18"/>
        <v>Apr 2024</v>
      </c>
      <c r="E135" s="9">
        <v>45422</v>
      </c>
      <c r="F135" t="s">
        <v>818</v>
      </c>
      <c r="G135">
        <v>899.55</v>
      </c>
      <c r="H135" t="s">
        <v>819</v>
      </c>
      <c r="I135" s="15">
        <f t="shared" si="19"/>
        <v>0</v>
      </c>
      <c r="J135" s="18">
        <f t="shared" si="20"/>
        <v>899.55</v>
      </c>
      <c r="L135" s="54" t="str">
        <f t="shared" si="21"/>
        <v/>
      </c>
      <c r="M135" s="9" t="str">
        <f t="shared" si="22"/>
        <v/>
      </c>
      <c r="N135" t="s">
        <v>822</v>
      </c>
      <c r="O135" s="17">
        <f t="shared" si="23"/>
        <v>45868</v>
      </c>
      <c r="P135" s="25">
        <f t="shared" si="24"/>
        <v>446</v>
      </c>
      <c r="Q135" t="str">
        <f t="shared" si="25"/>
        <v>90+</v>
      </c>
      <c r="R135" t="str">
        <f t="shared" si="26"/>
        <v>Due</v>
      </c>
    </row>
    <row r="136" spans="1:18" x14ac:dyDescent="0.35">
      <c r="A136" t="s">
        <v>143</v>
      </c>
      <c r="B136" t="s">
        <v>811</v>
      </c>
      <c r="C136" s="9">
        <v>45631</v>
      </c>
      <c r="D136" s="28" t="str">
        <f t="shared" si="18"/>
        <v>Dec 2024</v>
      </c>
      <c r="E136" s="9">
        <v>45661</v>
      </c>
      <c r="F136" t="s">
        <v>814</v>
      </c>
      <c r="G136">
        <v>5749.55</v>
      </c>
      <c r="H136" t="s">
        <v>819</v>
      </c>
      <c r="I136" s="15">
        <f t="shared" si="19"/>
        <v>0</v>
      </c>
      <c r="J136" s="18">
        <f t="shared" si="20"/>
        <v>5749.55</v>
      </c>
      <c r="L136" s="54" t="str">
        <f t="shared" si="21"/>
        <v/>
      </c>
      <c r="M136" s="9" t="str">
        <f t="shared" si="22"/>
        <v/>
      </c>
      <c r="N136" t="s">
        <v>822</v>
      </c>
      <c r="O136" s="17">
        <f t="shared" si="23"/>
        <v>45868</v>
      </c>
      <c r="P136" s="25">
        <f t="shared" si="24"/>
        <v>207</v>
      </c>
      <c r="Q136" t="str">
        <f t="shared" si="25"/>
        <v>90+</v>
      </c>
      <c r="R136" t="str">
        <f t="shared" si="26"/>
        <v>Due</v>
      </c>
    </row>
    <row r="137" spans="1:18" x14ac:dyDescent="0.35">
      <c r="A137" t="s">
        <v>144</v>
      </c>
      <c r="B137" t="s">
        <v>809</v>
      </c>
      <c r="C137" s="9">
        <v>45381</v>
      </c>
      <c r="D137" s="28" t="str">
        <f t="shared" si="18"/>
        <v>Mar 2024</v>
      </c>
      <c r="E137" s="9">
        <v>45411</v>
      </c>
      <c r="F137" t="s">
        <v>818</v>
      </c>
      <c r="G137">
        <v>1712.3</v>
      </c>
      <c r="H137" t="s">
        <v>821</v>
      </c>
      <c r="I137" s="15">
        <f t="shared" si="19"/>
        <v>1712.3</v>
      </c>
      <c r="J137" s="18">
        <f t="shared" si="20"/>
        <v>0</v>
      </c>
      <c r="K137" s="9">
        <v>45411</v>
      </c>
      <c r="L137" s="54">
        <f t="shared" si="21"/>
        <v>30</v>
      </c>
      <c r="M137" s="9" t="str">
        <f t="shared" si="22"/>
        <v>2024-Apr</v>
      </c>
      <c r="N137" t="s">
        <v>822</v>
      </c>
      <c r="O137" s="17">
        <f t="shared" si="23"/>
        <v>45868</v>
      </c>
      <c r="P137" s="25">
        <f t="shared" si="24"/>
        <v>0</v>
      </c>
      <c r="Q137" t="str">
        <f t="shared" si="25"/>
        <v>Paid</v>
      </c>
      <c r="R137" t="str">
        <f t="shared" si="26"/>
        <v>Not Due</v>
      </c>
    </row>
    <row r="138" spans="1:18" x14ac:dyDescent="0.35">
      <c r="A138" t="s">
        <v>145</v>
      </c>
      <c r="B138" t="s">
        <v>809</v>
      </c>
      <c r="C138" s="9">
        <v>45265</v>
      </c>
      <c r="D138" s="28" t="str">
        <f t="shared" si="18"/>
        <v>Dec 2023</v>
      </c>
      <c r="E138" s="9">
        <v>45295</v>
      </c>
      <c r="F138" t="s">
        <v>815</v>
      </c>
      <c r="G138">
        <v>2911.5</v>
      </c>
      <c r="H138" t="s">
        <v>821</v>
      </c>
      <c r="I138" s="15">
        <f t="shared" si="19"/>
        <v>2911.5</v>
      </c>
      <c r="J138" s="18">
        <f t="shared" si="20"/>
        <v>0</v>
      </c>
      <c r="K138" s="9">
        <v>45295</v>
      </c>
      <c r="L138" s="54">
        <f t="shared" si="21"/>
        <v>30</v>
      </c>
      <c r="M138" s="9" t="str">
        <f t="shared" si="22"/>
        <v>2024-Jan</v>
      </c>
      <c r="N138" t="s">
        <v>822</v>
      </c>
      <c r="O138" s="17">
        <f t="shared" si="23"/>
        <v>45868</v>
      </c>
      <c r="P138" s="25">
        <f t="shared" si="24"/>
        <v>0</v>
      </c>
      <c r="Q138" t="str">
        <f t="shared" si="25"/>
        <v>Paid</v>
      </c>
      <c r="R138" t="str">
        <f t="shared" si="26"/>
        <v>Not Due</v>
      </c>
    </row>
    <row r="139" spans="1:18" x14ac:dyDescent="0.35">
      <c r="A139" t="s">
        <v>146</v>
      </c>
      <c r="B139" t="s">
        <v>813</v>
      </c>
      <c r="C139" s="9">
        <v>45494</v>
      </c>
      <c r="D139" s="28" t="str">
        <f t="shared" si="18"/>
        <v>Jul 2024</v>
      </c>
      <c r="E139" s="9">
        <v>45524</v>
      </c>
      <c r="F139" t="s">
        <v>818</v>
      </c>
      <c r="G139">
        <v>2823.09</v>
      </c>
      <c r="H139" t="s">
        <v>821</v>
      </c>
      <c r="I139" s="15">
        <f t="shared" si="19"/>
        <v>2823.09</v>
      </c>
      <c r="J139" s="18">
        <f t="shared" si="20"/>
        <v>0</v>
      </c>
      <c r="K139" s="9">
        <v>45524</v>
      </c>
      <c r="L139" s="54">
        <f t="shared" si="21"/>
        <v>30</v>
      </c>
      <c r="M139" s="9" t="str">
        <f t="shared" si="22"/>
        <v>2024-Aug</v>
      </c>
      <c r="N139" t="s">
        <v>822</v>
      </c>
      <c r="O139" s="17">
        <f t="shared" si="23"/>
        <v>45868</v>
      </c>
      <c r="P139" s="25">
        <f t="shared" si="24"/>
        <v>0</v>
      </c>
      <c r="Q139" t="str">
        <f t="shared" si="25"/>
        <v>Paid</v>
      </c>
      <c r="R139" t="str">
        <f t="shared" si="26"/>
        <v>Not Due</v>
      </c>
    </row>
    <row r="140" spans="1:18" x14ac:dyDescent="0.35">
      <c r="A140" t="s">
        <v>147</v>
      </c>
      <c r="B140" t="s">
        <v>813</v>
      </c>
      <c r="C140" s="9">
        <v>45174</v>
      </c>
      <c r="D140" s="28" t="str">
        <f t="shared" si="18"/>
        <v>Sep 2023</v>
      </c>
      <c r="E140" s="9">
        <v>45204</v>
      </c>
      <c r="F140" t="s">
        <v>816</v>
      </c>
      <c r="G140">
        <v>4589.24</v>
      </c>
      <c r="H140" t="s">
        <v>821</v>
      </c>
      <c r="I140" s="15">
        <f t="shared" si="19"/>
        <v>4589.24</v>
      </c>
      <c r="J140" s="18">
        <f t="shared" si="20"/>
        <v>0</v>
      </c>
      <c r="K140" s="9">
        <v>45204</v>
      </c>
      <c r="L140" s="54">
        <f t="shared" si="21"/>
        <v>30</v>
      </c>
      <c r="M140" s="9" t="str">
        <f t="shared" si="22"/>
        <v>2023-Oct</v>
      </c>
      <c r="N140" t="s">
        <v>822</v>
      </c>
      <c r="O140" s="17">
        <f t="shared" si="23"/>
        <v>45868</v>
      </c>
      <c r="P140" s="25">
        <f t="shared" si="24"/>
        <v>0</v>
      </c>
      <c r="Q140" t="str">
        <f t="shared" si="25"/>
        <v>Paid</v>
      </c>
      <c r="R140" t="str">
        <f t="shared" si="26"/>
        <v>Not Due</v>
      </c>
    </row>
    <row r="141" spans="1:18" x14ac:dyDescent="0.35">
      <c r="A141" t="s">
        <v>148</v>
      </c>
      <c r="B141" t="s">
        <v>812</v>
      </c>
      <c r="C141" s="9">
        <v>45638</v>
      </c>
      <c r="D141" s="28" t="str">
        <f t="shared" si="18"/>
        <v>Dec 2024</v>
      </c>
      <c r="E141" s="9">
        <v>45668</v>
      </c>
      <c r="F141" t="s">
        <v>814</v>
      </c>
      <c r="G141">
        <v>4572.84</v>
      </c>
      <c r="H141" t="s">
        <v>820</v>
      </c>
      <c r="I141" s="15">
        <f t="shared" si="19"/>
        <v>0</v>
      </c>
      <c r="J141" s="18" t="str">
        <f t="shared" si="20"/>
        <v>N/A</v>
      </c>
      <c r="L141" s="54" t="str">
        <f t="shared" si="21"/>
        <v/>
      </c>
      <c r="M141" s="9" t="str">
        <f t="shared" si="22"/>
        <v/>
      </c>
      <c r="N141" t="s">
        <v>822</v>
      </c>
      <c r="O141" s="17">
        <f t="shared" si="23"/>
        <v>45868</v>
      </c>
      <c r="P141" s="25">
        <f t="shared" si="24"/>
        <v>200</v>
      </c>
      <c r="Q141" t="str">
        <f t="shared" si="25"/>
        <v>90+</v>
      </c>
      <c r="R141" t="str">
        <f t="shared" si="26"/>
        <v>Due</v>
      </c>
    </row>
    <row r="142" spans="1:18" x14ac:dyDescent="0.35">
      <c r="A142" t="s">
        <v>149</v>
      </c>
      <c r="B142" t="s">
        <v>812</v>
      </c>
      <c r="C142" s="9">
        <v>45400</v>
      </c>
      <c r="D142" s="28" t="str">
        <f t="shared" si="18"/>
        <v>Apr 2024</v>
      </c>
      <c r="E142" s="9">
        <v>45430</v>
      </c>
      <c r="F142" t="s">
        <v>815</v>
      </c>
      <c r="G142">
        <v>3099.08</v>
      </c>
      <c r="H142" t="s">
        <v>819</v>
      </c>
      <c r="I142" s="15">
        <f t="shared" si="19"/>
        <v>0</v>
      </c>
      <c r="J142" s="18">
        <f t="shared" si="20"/>
        <v>3099.08</v>
      </c>
      <c r="L142" s="54" t="str">
        <f t="shared" si="21"/>
        <v/>
      </c>
      <c r="M142" s="9" t="str">
        <f t="shared" si="22"/>
        <v/>
      </c>
      <c r="N142" t="s">
        <v>822</v>
      </c>
      <c r="O142" s="17">
        <f t="shared" si="23"/>
        <v>45868</v>
      </c>
      <c r="P142" s="25">
        <f t="shared" si="24"/>
        <v>438</v>
      </c>
      <c r="Q142" t="str">
        <f t="shared" si="25"/>
        <v>90+</v>
      </c>
      <c r="R142" t="str">
        <f t="shared" si="26"/>
        <v>Due</v>
      </c>
    </row>
    <row r="143" spans="1:18" x14ac:dyDescent="0.35">
      <c r="A143" t="s">
        <v>150</v>
      </c>
      <c r="B143" t="s">
        <v>810</v>
      </c>
      <c r="C143" s="9">
        <v>45827</v>
      </c>
      <c r="D143" s="28" t="str">
        <f t="shared" si="18"/>
        <v>Jun 2025</v>
      </c>
      <c r="E143" s="9">
        <v>45857</v>
      </c>
      <c r="F143" t="s">
        <v>817</v>
      </c>
      <c r="G143">
        <v>3350.66</v>
      </c>
      <c r="H143" t="s">
        <v>820</v>
      </c>
      <c r="I143" s="15">
        <f t="shared" si="19"/>
        <v>0</v>
      </c>
      <c r="J143" s="18" t="str">
        <f t="shared" si="20"/>
        <v>N/A</v>
      </c>
      <c r="L143" s="54" t="str">
        <f t="shared" si="21"/>
        <v/>
      </c>
      <c r="M143" s="9" t="str">
        <f t="shared" si="22"/>
        <v/>
      </c>
      <c r="N143" t="s">
        <v>822</v>
      </c>
      <c r="O143" s="17">
        <f t="shared" si="23"/>
        <v>45868</v>
      </c>
      <c r="P143" s="25">
        <f t="shared" si="24"/>
        <v>11</v>
      </c>
      <c r="Q143" t="str">
        <f t="shared" si="25"/>
        <v>1-30</v>
      </c>
      <c r="R143" t="str">
        <f t="shared" si="26"/>
        <v>Due</v>
      </c>
    </row>
    <row r="144" spans="1:18" x14ac:dyDescent="0.35">
      <c r="A144" t="s">
        <v>151</v>
      </c>
      <c r="B144" t="s">
        <v>813</v>
      </c>
      <c r="C144" s="9">
        <v>45074</v>
      </c>
      <c r="D144" s="28" t="str">
        <f t="shared" si="18"/>
        <v>May 2023</v>
      </c>
      <c r="E144" s="9">
        <v>45104</v>
      </c>
      <c r="F144" t="s">
        <v>817</v>
      </c>
      <c r="G144">
        <v>4762.47</v>
      </c>
      <c r="H144" t="s">
        <v>820</v>
      </c>
      <c r="I144" s="15">
        <f t="shared" si="19"/>
        <v>0</v>
      </c>
      <c r="J144" s="18" t="str">
        <f t="shared" si="20"/>
        <v>N/A</v>
      </c>
      <c r="L144" s="54" t="str">
        <f t="shared" si="21"/>
        <v/>
      </c>
      <c r="M144" s="9" t="str">
        <f t="shared" si="22"/>
        <v/>
      </c>
      <c r="N144" t="s">
        <v>822</v>
      </c>
      <c r="O144" s="17">
        <f t="shared" si="23"/>
        <v>45868</v>
      </c>
      <c r="P144" s="25">
        <f t="shared" si="24"/>
        <v>764</v>
      </c>
      <c r="Q144" t="str">
        <f t="shared" si="25"/>
        <v>90+</v>
      </c>
      <c r="R144" t="str">
        <f t="shared" si="26"/>
        <v>Due</v>
      </c>
    </row>
    <row r="145" spans="1:18" x14ac:dyDescent="0.35">
      <c r="A145" t="s">
        <v>152</v>
      </c>
      <c r="B145" t="s">
        <v>813</v>
      </c>
      <c r="C145" s="9">
        <v>45139</v>
      </c>
      <c r="D145" s="28" t="str">
        <f t="shared" si="18"/>
        <v>Aug 2023</v>
      </c>
      <c r="E145" s="9">
        <v>45169</v>
      </c>
      <c r="F145" t="s">
        <v>818</v>
      </c>
      <c r="G145">
        <v>1144.3</v>
      </c>
      <c r="H145" t="s">
        <v>819</v>
      </c>
      <c r="I145" s="15">
        <f t="shared" si="19"/>
        <v>0</v>
      </c>
      <c r="J145" s="18">
        <f t="shared" si="20"/>
        <v>1144.3</v>
      </c>
      <c r="L145" s="54" t="str">
        <f t="shared" si="21"/>
        <v/>
      </c>
      <c r="M145" s="9" t="str">
        <f t="shared" si="22"/>
        <v/>
      </c>
      <c r="N145" t="s">
        <v>822</v>
      </c>
      <c r="O145" s="17">
        <f t="shared" si="23"/>
        <v>45868</v>
      </c>
      <c r="P145" s="25">
        <f t="shared" si="24"/>
        <v>699</v>
      </c>
      <c r="Q145" t="str">
        <f t="shared" si="25"/>
        <v>90+</v>
      </c>
      <c r="R145" t="str">
        <f t="shared" si="26"/>
        <v>Due</v>
      </c>
    </row>
    <row r="146" spans="1:18" x14ac:dyDescent="0.35">
      <c r="A146" t="s">
        <v>153</v>
      </c>
      <c r="B146" t="s">
        <v>811</v>
      </c>
      <c r="C146" s="9">
        <v>45467</v>
      </c>
      <c r="D146" s="28" t="str">
        <f t="shared" si="18"/>
        <v>Jun 2024</v>
      </c>
      <c r="E146" s="9">
        <v>45497</v>
      </c>
      <c r="F146" t="s">
        <v>816</v>
      </c>
      <c r="G146">
        <v>2998.06</v>
      </c>
      <c r="H146" t="s">
        <v>820</v>
      </c>
      <c r="I146" s="15">
        <f t="shared" si="19"/>
        <v>0</v>
      </c>
      <c r="J146" s="18" t="str">
        <f t="shared" si="20"/>
        <v>N/A</v>
      </c>
      <c r="L146" s="54" t="str">
        <f t="shared" si="21"/>
        <v/>
      </c>
      <c r="M146" s="9" t="str">
        <f t="shared" si="22"/>
        <v/>
      </c>
      <c r="N146" t="s">
        <v>822</v>
      </c>
      <c r="O146" s="17">
        <f t="shared" si="23"/>
        <v>45868</v>
      </c>
      <c r="P146" s="25">
        <f t="shared" si="24"/>
        <v>371</v>
      </c>
      <c r="Q146" t="str">
        <f t="shared" si="25"/>
        <v>90+</v>
      </c>
      <c r="R146" t="str">
        <f t="shared" si="26"/>
        <v>Due</v>
      </c>
    </row>
    <row r="147" spans="1:18" x14ac:dyDescent="0.35">
      <c r="A147" t="s">
        <v>154</v>
      </c>
      <c r="B147" t="s">
        <v>812</v>
      </c>
      <c r="C147" s="9">
        <v>45258</v>
      </c>
      <c r="D147" s="28" t="str">
        <f t="shared" si="18"/>
        <v>Nov 2023</v>
      </c>
      <c r="E147" s="9">
        <v>45288</v>
      </c>
      <c r="F147" t="s">
        <v>816</v>
      </c>
      <c r="G147">
        <v>3590.57</v>
      </c>
      <c r="H147" t="s">
        <v>821</v>
      </c>
      <c r="I147" s="15">
        <f t="shared" si="19"/>
        <v>3590.57</v>
      </c>
      <c r="J147" s="18">
        <f t="shared" si="20"/>
        <v>0</v>
      </c>
      <c r="K147" s="9">
        <v>45288</v>
      </c>
      <c r="L147" s="54">
        <f t="shared" si="21"/>
        <v>30</v>
      </c>
      <c r="M147" s="9" t="str">
        <f t="shared" si="22"/>
        <v>2023-Dec</v>
      </c>
      <c r="N147" t="s">
        <v>822</v>
      </c>
      <c r="O147" s="17">
        <f t="shared" si="23"/>
        <v>45868</v>
      </c>
      <c r="P147" s="25">
        <f t="shared" si="24"/>
        <v>0</v>
      </c>
      <c r="Q147" t="str">
        <f t="shared" si="25"/>
        <v>Paid</v>
      </c>
      <c r="R147" t="str">
        <f t="shared" si="26"/>
        <v>Not Due</v>
      </c>
    </row>
    <row r="148" spans="1:18" x14ac:dyDescent="0.35">
      <c r="A148" t="s">
        <v>155</v>
      </c>
      <c r="B148" t="s">
        <v>813</v>
      </c>
      <c r="C148" s="9">
        <v>45392</v>
      </c>
      <c r="D148" s="28" t="str">
        <f t="shared" si="18"/>
        <v>Apr 2024</v>
      </c>
      <c r="E148" s="9">
        <v>45422</v>
      </c>
      <c r="F148" t="s">
        <v>815</v>
      </c>
      <c r="G148">
        <v>1742.84</v>
      </c>
      <c r="H148" t="s">
        <v>820</v>
      </c>
      <c r="I148" s="15">
        <f t="shared" si="19"/>
        <v>0</v>
      </c>
      <c r="J148" s="18" t="str">
        <f t="shared" si="20"/>
        <v>N/A</v>
      </c>
      <c r="L148" s="54" t="str">
        <f t="shared" si="21"/>
        <v/>
      </c>
      <c r="M148" s="9" t="str">
        <f t="shared" si="22"/>
        <v/>
      </c>
      <c r="N148" t="s">
        <v>822</v>
      </c>
      <c r="O148" s="17">
        <f t="shared" si="23"/>
        <v>45868</v>
      </c>
      <c r="P148" s="25">
        <f t="shared" si="24"/>
        <v>446</v>
      </c>
      <c r="Q148" t="str">
        <f t="shared" si="25"/>
        <v>90+</v>
      </c>
      <c r="R148" t="str">
        <f t="shared" si="26"/>
        <v>Due</v>
      </c>
    </row>
    <row r="149" spans="1:18" x14ac:dyDescent="0.35">
      <c r="A149" t="s">
        <v>156</v>
      </c>
      <c r="B149" t="s">
        <v>812</v>
      </c>
      <c r="C149" s="9">
        <v>45154</v>
      </c>
      <c r="D149" s="28" t="str">
        <f t="shared" si="18"/>
        <v>Aug 2023</v>
      </c>
      <c r="E149" s="9">
        <v>45184</v>
      </c>
      <c r="F149" t="s">
        <v>817</v>
      </c>
      <c r="G149">
        <v>2803.47</v>
      </c>
      <c r="H149" t="s">
        <v>820</v>
      </c>
      <c r="I149" s="15">
        <f t="shared" si="19"/>
        <v>0</v>
      </c>
      <c r="J149" s="18" t="str">
        <f t="shared" si="20"/>
        <v>N/A</v>
      </c>
      <c r="L149" s="54" t="str">
        <f t="shared" si="21"/>
        <v/>
      </c>
      <c r="M149" s="9" t="str">
        <f t="shared" si="22"/>
        <v/>
      </c>
      <c r="N149" t="s">
        <v>822</v>
      </c>
      <c r="O149" s="17">
        <f t="shared" si="23"/>
        <v>45868</v>
      </c>
      <c r="P149" s="25">
        <f t="shared" si="24"/>
        <v>684</v>
      </c>
      <c r="Q149" t="str">
        <f t="shared" si="25"/>
        <v>90+</v>
      </c>
      <c r="R149" t="str">
        <f t="shared" si="26"/>
        <v>Due</v>
      </c>
    </row>
    <row r="150" spans="1:18" x14ac:dyDescent="0.35">
      <c r="A150" t="s">
        <v>157</v>
      </c>
      <c r="B150" t="s">
        <v>810</v>
      </c>
      <c r="C150" s="9">
        <v>45199</v>
      </c>
      <c r="D150" s="28" t="str">
        <f t="shared" si="18"/>
        <v>Sep 2023</v>
      </c>
      <c r="E150" s="9">
        <v>45229</v>
      </c>
      <c r="F150" t="s">
        <v>814</v>
      </c>
      <c r="G150">
        <v>4319.8100000000004</v>
      </c>
      <c r="H150" t="s">
        <v>820</v>
      </c>
      <c r="I150" s="15">
        <f t="shared" si="19"/>
        <v>0</v>
      </c>
      <c r="J150" s="18" t="str">
        <f t="shared" si="20"/>
        <v>N/A</v>
      </c>
      <c r="L150" s="54" t="str">
        <f t="shared" si="21"/>
        <v/>
      </c>
      <c r="M150" s="9" t="str">
        <f t="shared" si="22"/>
        <v/>
      </c>
      <c r="N150" t="s">
        <v>822</v>
      </c>
      <c r="O150" s="17">
        <f t="shared" si="23"/>
        <v>45868</v>
      </c>
      <c r="P150" s="25">
        <f t="shared" si="24"/>
        <v>639</v>
      </c>
      <c r="Q150" t="str">
        <f t="shared" si="25"/>
        <v>90+</v>
      </c>
      <c r="R150" t="str">
        <f t="shared" si="26"/>
        <v>Due</v>
      </c>
    </row>
    <row r="151" spans="1:18" x14ac:dyDescent="0.35">
      <c r="A151" t="s">
        <v>158</v>
      </c>
      <c r="B151" t="s">
        <v>811</v>
      </c>
      <c r="C151" s="9">
        <v>45456</v>
      </c>
      <c r="D151" s="28" t="str">
        <f t="shared" si="18"/>
        <v>Jun 2024</v>
      </c>
      <c r="E151" s="9">
        <v>45486</v>
      </c>
      <c r="F151" t="s">
        <v>818</v>
      </c>
      <c r="G151">
        <v>3397.81</v>
      </c>
      <c r="H151" t="s">
        <v>821</v>
      </c>
      <c r="I151" s="15">
        <f t="shared" si="19"/>
        <v>3397.81</v>
      </c>
      <c r="J151" s="18">
        <f t="shared" si="20"/>
        <v>0</v>
      </c>
      <c r="K151" s="9">
        <v>45486</v>
      </c>
      <c r="L151" s="54">
        <f t="shared" si="21"/>
        <v>30</v>
      </c>
      <c r="M151" s="9" t="str">
        <f t="shared" si="22"/>
        <v>2024-Jul</v>
      </c>
      <c r="N151" t="s">
        <v>822</v>
      </c>
      <c r="O151" s="17">
        <f t="shared" si="23"/>
        <v>45868</v>
      </c>
      <c r="P151" s="25">
        <f t="shared" si="24"/>
        <v>0</v>
      </c>
      <c r="Q151" t="str">
        <f t="shared" si="25"/>
        <v>Paid</v>
      </c>
      <c r="R151" t="str">
        <f t="shared" si="26"/>
        <v>Not Due</v>
      </c>
    </row>
    <row r="152" spans="1:18" x14ac:dyDescent="0.35">
      <c r="A152" t="s">
        <v>159</v>
      </c>
      <c r="B152" t="s">
        <v>813</v>
      </c>
      <c r="C152" s="9">
        <v>45144</v>
      </c>
      <c r="D152" s="28" t="str">
        <f t="shared" si="18"/>
        <v>Aug 2023</v>
      </c>
      <c r="E152" s="9">
        <v>45174</v>
      </c>
      <c r="F152" t="s">
        <v>817</v>
      </c>
      <c r="G152">
        <v>1555.44</v>
      </c>
      <c r="H152" t="s">
        <v>820</v>
      </c>
      <c r="I152" s="15">
        <f t="shared" si="19"/>
        <v>0</v>
      </c>
      <c r="J152" s="18" t="str">
        <f t="shared" si="20"/>
        <v>N/A</v>
      </c>
      <c r="L152" s="54" t="str">
        <f t="shared" si="21"/>
        <v/>
      </c>
      <c r="M152" s="9" t="str">
        <f t="shared" si="22"/>
        <v/>
      </c>
      <c r="N152" t="s">
        <v>822</v>
      </c>
      <c r="O152" s="17">
        <f t="shared" si="23"/>
        <v>45868</v>
      </c>
      <c r="P152" s="25">
        <f t="shared" si="24"/>
        <v>694</v>
      </c>
      <c r="Q152" t="str">
        <f t="shared" si="25"/>
        <v>90+</v>
      </c>
      <c r="R152" t="str">
        <f t="shared" si="26"/>
        <v>Due</v>
      </c>
    </row>
    <row r="153" spans="1:18" x14ac:dyDescent="0.35">
      <c r="A153" t="s">
        <v>160</v>
      </c>
      <c r="B153" t="s">
        <v>811</v>
      </c>
      <c r="C153" s="9">
        <v>45390</v>
      </c>
      <c r="D153" s="28" t="str">
        <f t="shared" si="18"/>
        <v>Apr 2024</v>
      </c>
      <c r="E153" s="9">
        <v>45420</v>
      </c>
      <c r="F153" t="s">
        <v>817</v>
      </c>
      <c r="G153">
        <v>2731.15</v>
      </c>
      <c r="H153" t="s">
        <v>821</v>
      </c>
      <c r="I153" s="15">
        <f t="shared" si="19"/>
        <v>2731.15</v>
      </c>
      <c r="J153" s="18">
        <f t="shared" si="20"/>
        <v>0</v>
      </c>
      <c r="K153" s="9">
        <v>45420</v>
      </c>
      <c r="L153" s="54">
        <f t="shared" si="21"/>
        <v>30</v>
      </c>
      <c r="M153" s="9" t="str">
        <f t="shared" si="22"/>
        <v>2024-May</v>
      </c>
      <c r="N153" t="s">
        <v>822</v>
      </c>
      <c r="O153" s="17">
        <f t="shared" si="23"/>
        <v>45868</v>
      </c>
      <c r="P153" s="25">
        <f t="shared" si="24"/>
        <v>0</v>
      </c>
      <c r="Q153" t="str">
        <f t="shared" si="25"/>
        <v>Paid</v>
      </c>
      <c r="R153" t="str">
        <f t="shared" si="26"/>
        <v>Not Due</v>
      </c>
    </row>
    <row r="154" spans="1:18" x14ac:dyDescent="0.35">
      <c r="A154" t="s">
        <v>161</v>
      </c>
      <c r="B154" t="s">
        <v>809</v>
      </c>
      <c r="C154" s="9">
        <v>45622</v>
      </c>
      <c r="D154" s="28" t="str">
        <f t="shared" si="18"/>
        <v>Nov 2024</v>
      </c>
      <c r="E154" s="9">
        <v>45652</v>
      </c>
      <c r="F154" t="s">
        <v>815</v>
      </c>
      <c r="G154">
        <v>2599.5</v>
      </c>
      <c r="H154" t="s">
        <v>820</v>
      </c>
      <c r="I154" s="15">
        <f t="shared" si="19"/>
        <v>0</v>
      </c>
      <c r="J154" s="18" t="str">
        <f t="shared" si="20"/>
        <v>N/A</v>
      </c>
      <c r="L154" s="54" t="str">
        <f t="shared" si="21"/>
        <v/>
      </c>
      <c r="M154" s="9" t="str">
        <f t="shared" si="22"/>
        <v/>
      </c>
      <c r="N154" t="s">
        <v>822</v>
      </c>
      <c r="O154" s="17">
        <f t="shared" si="23"/>
        <v>45868</v>
      </c>
      <c r="P154" s="25">
        <f t="shared" si="24"/>
        <v>216</v>
      </c>
      <c r="Q154" t="str">
        <f t="shared" si="25"/>
        <v>90+</v>
      </c>
      <c r="R154" t="str">
        <f t="shared" si="26"/>
        <v>Due</v>
      </c>
    </row>
    <row r="155" spans="1:18" x14ac:dyDescent="0.35">
      <c r="A155" t="s">
        <v>162</v>
      </c>
      <c r="B155" t="s">
        <v>809</v>
      </c>
      <c r="C155" s="9">
        <v>44990</v>
      </c>
      <c r="D155" s="28" t="str">
        <f t="shared" si="18"/>
        <v>Mar 2023</v>
      </c>
      <c r="E155" s="9">
        <v>45020</v>
      </c>
      <c r="F155" t="s">
        <v>814</v>
      </c>
      <c r="G155">
        <v>1783.98</v>
      </c>
      <c r="H155" t="s">
        <v>821</v>
      </c>
      <c r="I155" s="15">
        <f t="shared" si="19"/>
        <v>1783.98</v>
      </c>
      <c r="J155" s="18">
        <f t="shared" si="20"/>
        <v>0</v>
      </c>
      <c r="K155" s="9">
        <v>45020</v>
      </c>
      <c r="L155" s="54">
        <f t="shared" si="21"/>
        <v>30</v>
      </c>
      <c r="M155" s="9" t="str">
        <f t="shared" si="22"/>
        <v>2023-Apr</v>
      </c>
      <c r="N155" t="s">
        <v>822</v>
      </c>
      <c r="O155" s="17">
        <f t="shared" si="23"/>
        <v>45868</v>
      </c>
      <c r="P155" s="25">
        <f t="shared" si="24"/>
        <v>0</v>
      </c>
      <c r="Q155" t="str">
        <f t="shared" si="25"/>
        <v>Paid</v>
      </c>
      <c r="R155" t="str">
        <f t="shared" si="26"/>
        <v>Not Due</v>
      </c>
    </row>
    <row r="156" spans="1:18" x14ac:dyDescent="0.35">
      <c r="A156" t="s">
        <v>163</v>
      </c>
      <c r="B156" t="s">
        <v>810</v>
      </c>
      <c r="C156" s="9">
        <v>45475</v>
      </c>
      <c r="D156" s="28" t="str">
        <f t="shared" si="18"/>
        <v>Jul 2024</v>
      </c>
      <c r="E156" s="9">
        <v>45505</v>
      </c>
      <c r="F156" t="s">
        <v>817</v>
      </c>
      <c r="G156">
        <v>3671.9</v>
      </c>
      <c r="H156" t="s">
        <v>819</v>
      </c>
      <c r="I156" s="15">
        <f t="shared" si="19"/>
        <v>0</v>
      </c>
      <c r="J156" s="18">
        <f t="shared" si="20"/>
        <v>3671.9</v>
      </c>
      <c r="L156" s="54" t="str">
        <f t="shared" si="21"/>
        <v/>
      </c>
      <c r="M156" s="9" t="str">
        <f t="shared" si="22"/>
        <v/>
      </c>
      <c r="N156" t="s">
        <v>822</v>
      </c>
      <c r="O156" s="17">
        <f t="shared" si="23"/>
        <v>45868</v>
      </c>
      <c r="P156" s="25">
        <f t="shared" si="24"/>
        <v>363</v>
      </c>
      <c r="Q156" t="str">
        <f t="shared" si="25"/>
        <v>90+</v>
      </c>
      <c r="R156" t="str">
        <f t="shared" si="26"/>
        <v>Due</v>
      </c>
    </row>
    <row r="157" spans="1:18" x14ac:dyDescent="0.35">
      <c r="A157" t="s">
        <v>164</v>
      </c>
      <c r="B157" t="s">
        <v>811</v>
      </c>
      <c r="C157" s="9">
        <v>45345</v>
      </c>
      <c r="D157" s="28" t="str">
        <f t="shared" si="18"/>
        <v>Feb 2024</v>
      </c>
      <c r="E157" s="9">
        <v>45375</v>
      </c>
      <c r="F157" t="s">
        <v>817</v>
      </c>
      <c r="G157">
        <v>249.12</v>
      </c>
      <c r="H157" t="s">
        <v>819</v>
      </c>
      <c r="I157" s="15">
        <f t="shared" si="19"/>
        <v>0</v>
      </c>
      <c r="J157" s="18">
        <f t="shared" si="20"/>
        <v>249.12</v>
      </c>
      <c r="L157" s="54" t="str">
        <f t="shared" si="21"/>
        <v/>
      </c>
      <c r="M157" s="9" t="str">
        <f t="shared" si="22"/>
        <v/>
      </c>
      <c r="N157" t="s">
        <v>822</v>
      </c>
      <c r="O157" s="17">
        <f t="shared" si="23"/>
        <v>45868</v>
      </c>
      <c r="P157" s="25">
        <f t="shared" si="24"/>
        <v>493</v>
      </c>
      <c r="Q157" t="str">
        <f t="shared" si="25"/>
        <v>90+</v>
      </c>
      <c r="R157" t="str">
        <f t="shared" si="26"/>
        <v>Due</v>
      </c>
    </row>
    <row r="158" spans="1:18" x14ac:dyDescent="0.35">
      <c r="A158" t="s">
        <v>165</v>
      </c>
      <c r="B158" t="s">
        <v>812</v>
      </c>
      <c r="C158" s="9">
        <v>45567</v>
      </c>
      <c r="D158" s="28" t="str">
        <f t="shared" si="18"/>
        <v>Oct 2024</v>
      </c>
      <c r="E158" s="9">
        <v>45597</v>
      </c>
      <c r="F158" t="s">
        <v>814</v>
      </c>
      <c r="G158">
        <v>1452.58</v>
      </c>
      <c r="H158" t="s">
        <v>820</v>
      </c>
      <c r="I158" s="15">
        <f t="shared" si="19"/>
        <v>0</v>
      </c>
      <c r="J158" s="18" t="str">
        <f t="shared" si="20"/>
        <v>N/A</v>
      </c>
      <c r="L158" s="54" t="str">
        <f t="shared" si="21"/>
        <v/>
      </c>
      <c r="M158" s="9" t="str">
        <f t="shared" si="22"/>
        <v/>
      </c>
      <c r="N158" t="s">
        <v>822</v>
      </c>
      <c r="O158" s="17">
        <f t="shared" si="23"/>
        <v>45868</v>
      </c>
      <c r="P158" s="25">
        <f t="shared" si="24"/>
        <v>271</v>
      </c>
      <c r="Q158" t="str">
        <f t="shared" si="25"/>
        <v>90+</v>
      </c>
      <c r="R158" t="str">
        <f t="shared" si="26"/>
        <v>Due</v>
      </c>
    </row>
    <row r="159" spans="1:18" x14ac:dyDescent="0.35">
      <c r="A159" t="s">
        <v>166</v>
      </c>
      <c r="B159" t="s">
        <v>812</v>
      </c>
      <c r="C159" s="9">
        <v>45081</v>
      </c>
      <c r="D159" s="28" t="str">
        <f t="shared" si="18"/>
        <v>Jun 2023</v>
      </c>
      <c r="E159" s="9">
        <v>45111</v>
      </c>
      <c r="F159" t="s">
        <v>817</v>
      </c>
      <c r="G159">
        <v>4374.63</v>
      </c>
      <c r="H159" t="s">
        <v>820</v>
      </c>
      <c r="I159" s="15">
        <f t="shared" si="19"/>
        <v>0</v>
      </c>
      <c r="J159" s="18" t="str">
        <f t="shared" si="20"/>
        <v>N/A</v>
      </c>
      <c r="L159" s="54" t="str">
        <f t="shared" si="21"/>
        <v/>
      </c>
      <c r="M159" s="9" t="str">
        <f t="shared" si="22"/>
        <v/>
      </c>
      <c r="N159" t="s">
        <v>822</v>
      </c>
      <c r="O159" s="17">
        <f t="shared" si="23"/>
        <v>45868</v>
      </c>
      <c r="P159" s="25">
        <f t="shared" si="24"/>
        <v>757</v>
      </c>
      <c r="Q159" t="str">
        <f t="shared" si="25"/>
        <v>90+</v>
      </c>
      <c r="R159" t="str">
        <f t="shared" si="26"/>
        <v>Due</v>
      </c>
    </row>
    <row r="160" spans="1:18" x14ac:dyDescent="0.35">
      <c r="A160" t="s">
        <v>167</v>
      </c>
      <c r="B160" t="s">
        <v>812</v>
      </c>
      <c r="C160" s="9">
        <v>45044</v>
      </c>
      <c r="D160" s="28" t="str">
        <f t="shared" si="18"/>
        <v>Apr 2023</v>
      </c>
      <c r="E160" s="9">
        <v>45074</v>
      </c>
      <c r="F160" t="s">
        <v>814</v>
      </c>
      <c r="G160">
        <v>4297.9399999999996</v>
      </c>
      <c r="H160" t="s">
        <v>820</v>
      </c>
      <c r="I160" s="15">
        <f t="shared" si="19"/>
        <v>0</v>
      </c>
      <c r="J160" s="18" t="str">
        <f t="shared" si="20"/>
        <v>N/A</v>
      </c>
      <c r="L160" s="54" t="str">
        <f t="shared" si="21"/>
        <v/>
      </c>
      <c r="M160" s="9" t="str">
        <f t="shared" si="22"/>
        <v/>
      </c>
      <c r="N160" t="s">
        <v>822</v>
      </c>
      <c r="O160" s="17">
        <f t="shared" si="23"/>
        <v>45868</v>
      </c>
      <c r="P160" s="25">
        <f t="shared" si="24"/>
        <v>794</v>
      </c>
      <c r="Q160" t="str">
        <f t="shared" si="25"/>
        <v>90+</v>
      </c>
      <c r="R160" t="str">
        <f t="shared" si="26"/>
        <v>Due</v>
      </c>
    </row>
    <row r="161" spans="1:18" x14ac:dyDescent="0.35">
      <c r="A161" t="s">
        <v>168</v>
      </c>
      <c r="B161" t="s">
        <v>812</v>
      </c>
      <c r="C161" s="9">
        <v>45443</v>
      </c>
      <c r="D161" s="28" t="str">
        <f t="shared" si="18"/>
        <v>May 2024</v>
      </c>
      <c r="E161" s="9">
        <v>45473</v>
      </c>
      <c r="F161" t="s">
        <v>818</v>
      </c>
      <c r="G161">
        <v>3035.26</v>
      </c>
      <c r="H161" t="s">
        <v>821</v>
      </c>
      <c r="I161" s="15">
        <f t="shared" si="19"/>
        <v>3035.26</v>
      </c>
      <c r="J161" s="18">
        <f t="shared" si="20"/>
        <v>0</v>
      </c>
      <c r="K161" s="9">
        <v>45473</v>
      </c>
      <c r="L161" s="54">
        <f t="shared" si="21"/>
        <v>30</v>
      </c>
      <c r="M161" s="9" t="str">
        <f t="shared" si="22"/>
        <v>2024-Jun</v>
      </c>
      <c r="N161" t="s">
        <v>822</v>
      </c>
      <c r="O161" s="17">
        <f t="shared" si="23"/>
        <v>45868</v>
      </c>
      <c r="P161" s="25">
        <f t="shared" si="24"/>
        <v>0</v>
      </c>
      <c r="Q161" t="str">
        <f t="shared" si="25"/>
        <v>Paid</v>
      </c>
      <c r="R161" t="str">
        <f t="shared" si="26"/>
        <v>Not Due</v>
      </c>
    </row>
    <row r="162" spans="1:18" x14ac:dyDescent="0.35">
      <c r="A162" t="s">
        <v>169</v>
      </c>
      <c r="B162" t="s">
        <v>810</v>
      </c>
      <c r="C162" s="9">
        <v>45204</v>
      </c>
      <c r="D162" s="28" t="str">
        <f t="shared" si="18"/>
        <v>Oct 2023</v>
      </c>
      <c r="E162" s="9">
        <v>45234</v>
      </c>
      <c r="F162" t="s">
        <v>815</v>
      </c>
      <c r="G162">
        <v>3351.78</v>
      </c>
      <c r="H162" t="s">
        <v>819</v>
      </c>
      <c r="I162" s="15">
        <f t="shared" si="19"/>
        <v>0</v>
      </c>
      <c r="J162" s="18">
        <f t="shared" si="20"/>
        <v>3351.78</v>
      </c>
      <c r="L162" s="54" t="str">
        <f t="shared" si="21"/>
        <v/>
      </c>
      <c r="M162" s="9" t="str">
        <f t="shared" si="22"/>
        <v/>
      </c>
      <c r="N162" t="s">
        <v>822</v>
      </c>
      <c r="O162" s="17">
        <f t="shared" si="23"/>
        <v>45868</v>
      </c>
      <c r="P162" s="25">
        <f t="shared" si="24"/>
        <v>634</v>
      </c>
      <c r="Q162" t="str">
        <f t="shared" si="25"/>
        <v>90+</v>
      </c>
      <c r="R162" t="str">
        <f t="shared" si="26"/>
        <v>Due</v>
      </c>
    </row>
    <row r="163" spans="1:18" x14ac:dyDescent="0.35">
      <c r="A163" t="s">
        <v>170</v>
      </c>
      <c r="B163" t="s">
        <v>809</v>
      </c>
      <c r="C163" s="9">
        <v>45734</v>
      </c>
      <c r="D163" s="28" t="str">
        <f t="shared" si="18"/>
        <v>Mar 2025</v>
      </c>
      <c r="E163" s="9">
        <v>45764</v>
      </c>
      <c r="F163" t="s">
        <v>818</v>
      </c>
      <c r="G163">
        <v>2576.7800000000002</v>
      </c>
      <c r="H163" t="s">
        <v>820</v>
      </c>
      <c r="I163" s="15">
        <f t="shared" si="19"/>
        <v>0</v>
      </c>
      <c r="J163" s="18" t="str">
        <f t="shared" si="20"/>
        <v>N/A</v>
      </c>
      <c r="L163" s="54" t="str">
        <f t="shared" si="21"/>
        <v/>
      </c>
      <c r="M163" s="9" t="str">
        <f t="shared" si="22"/>
        <v/>
      </c>
      <c r="N163" t="s">
        <v>822</v>
      </c>
      <c r="O163" s="17">
        <f t="shared" si="23"/>
        <v>45868</v>
      </c>
      <c r="P163" s="25">
        <f t="shared" si="24"/>
        <v>104</v>
      </c>
      <c r="Q163" t="str">
        <f t="shared" si="25"/>
        <v>90+</v>
      </c>
      <c r="R163" t="str">
        <f t="shared" si="26"/>
        <v>Due</v>
      </c>
    </row>
    <row r="164" spans="1:18" x14ac:dyDescent="0.35">
      <c r="A164" t="s">
        <v>171</v>
      </c>
      <c r="B164" t="s">
        <v>813</v>
      </c>
      <c r="C164" s="9">
        <v>45325</v>
      </c>
      <c r="D164" s="28" t="str">
        <f t="shared" si="18"/>
        <v>Feb 2024</v>
      </c>
      <c r="E164" s="9">
        <v>45355</v>
      </c>
      <c r="F164" t="s">
        <v>818</v>
      </c>
      <c r="G164">
        <v>2582.7800000000002</v>
      </c>
      <c r="H164" t="s">
        <v>820</v>
      </c>
      <c r="I164" s="15">
        <f t="shared" si="19"/>
        <v>0</v>
      </c>
      <c r="J164" s="18" t="str">
        <f t="shared" si="20"/>
        <v>N/A</v>
      </c>
      <c r="L164" s="54" t="str">
        <f t="shared" si="21"/>
        <v/>
      </c>
      <c r="M164" s="9" t="str">
        <f t="shared" si="22"/>
        <v/>
      </c>
      <c r="N164" t="s">
        <v>822</v>
      </c>
      <c r="O164" s="17">
        <f t="shared" si="23"/>
        <v>45868</v>
      </c>
      <c r="P164" s="25">
        <f t="shared" si="24"/>
        <v>513</v>
      </c>
      <c r="Q164" t="str">
        <f t="shared" si="25"/>
        <v>90+</v>
      </c>
      <c r="R164" t="str">
        <f t="shared" si="26"/>
        <v>Due</v>
      </c>
    </row>
    <row r="165" spans="1:18" x14ac:dyDescent="0.35">
      <c r="A165" t="s">
        <v>172</v>
      </c>
      <c r="B165" t="s">
        <v>813</v>
      </c>
      <c r="C165" s="9">
        <v>45586</v>
      </c>
      <c r="D165" s="28" t="str">
        <f t="shared" si="18"/>
        <v>Oct 2024</v>
      </c>
      <c r="E165" s="9">
        <v>45616</v>
      </c>
      <c r="F165" t="s">
        <v>815</v>
      </c>
      <c r="G165">
        <v>1738.14</v>
      </c>
      <c r="H165" t="s">
        <v>820</v>
      </c>
      <c r="I165" s="15">
        <f t="shared" si="19"/>
        <v>0</v>
      </c>
      <c r="J165" s="18" t="str">
        <f t="shared" si="20"/>
        <v>N/A</v>
      </c>
      <c r="L165" s="54" t="str">
        <f t="shared" si="21"/>
        <v/>
      </c>
      <c r="M165" s="9" t="str">
        <f t="shared" si="22"/>
        <v/>
      </c>
      <c r="N165" t="s">
        <v>822</v>
      </c>
      <c r="O165" s="17">
        <f t="shared" si="23"/>
        <v>45868</v>
      </c>
      <c r="P165" s="25">
        <f t="shared" si="24"/>
        <v>252</v>
      </c>
      <c r="Q165" t="str">
        <f t="shared" si="25"/>
        <v>90+</v>
      </c>
      <c r="R165" t="str">
        <f t="shared" si="26"/>
        <v>Due</v>
      </c>
    </row>
    <row r="166" spans="1:18" x14ac:dyDescent="0.35">
      <c r="A166" t="s">
        <v>173</v>
      </c>
      <c r="B166" t="s">
        <v>813</v>
      </c>
      <c r="C166" s="9">
        <v>45017</v>
      </c>
      <c r="D166" s="28" t="str">
        <f t="shared" si="18"/>
        <v>Apr 2023</v>
      </c>
      <c r="E166" s="9">
        <v>45047</v>
      </c>
      <c r="F166" t="s">
        <v>815</v>
      </c>
      <c r="G166">
        <v>469.14</v>
      </c>
      <c r="H166" t="s">
        <v>820</v>
      </c>
      <c r="I166" s="15">
        <f t="shared" si="19"/>
        <v>0</v>
      </c>
      <c r="J166" s="18" t="str">
        <f t="shared" si="20"/>
        <v>N/A</v>
      </c>
      <c r="L166" s="54" t="str">
        <f t="shared" si="21"/>
        <v/>
      </c>
      <c r="M166" s="9" t="str">
        <f t="shared" si="22"/>
        <v/>
      </c>
      <c r="N166" t="s">
        <v>822</v>
      </c>
      <c r="O166" s="17">
        <f t="shared" si="23"/>
        <v>45868</v>
      </c>
      <c r="P166" s="25">
        <f t="shared" si="24"/>
        <v>821</v>
      </c>
      <c r="Q166" t="str">
        <f t="shared" si="25"/>
        <v>90+</v>
      </c>
      <c r="R166" t="str">
        <f t="shared" si="26"/>
        <v>Due</v>
      </c>
    </row>
    <row r="167" spans="1:18" x14ac:dyDescent="0.35">
      <c r="A167" t="s">
        <v>174</v>
      </c>
      <c r="B167" t="s">
        <v>811</v>
      </c>
      <c r="C167" s="9">
        <v>45549</v>
      </c>
      <c r="D167" s="28" t="str">
        <f t="shared" si="18"/>
        <v>Sep 2024</v>
      </c>
      <c r="E167" s="9">
        <v>45579</v>
      </c>
      <c r="F167" t="s">
        <v>815</v>
      </c>
      <c r="G167">
        <v>103.85</v>
      </c>
      <c r="H167" t="s">
        <v>821</v>
      </c>
      <c r="I167" s="15">
        <f t="shared" si="19"/>
        <v>103.85</v>
      </c>
      <c r="J167" s="18">
        <f t="shared" si="20"/>
        <v>0</v>
      </c>
      <c r="K167" s="9">
        <v>45579</v>
      </c>
      <c r="L167" s="54">
        <f t="shared" si="21"/>
        <v>30</v>
      </c>
      <c r="M167" s="9" t="str">
        <f t="shared" si="22"/>
        <v>2024-Oct</v>
      </c>
      <c r="N167" t="s">
        <v>822</v>
      </c>
      <c r="O167" s="17">
        <f t="shared" si="23"/>
        <v>45868</v>
      </c>
      <c r="P167" s="25">
        <f t="shared" si="24"/>
        <v>0</v>
      </c>
      <c r="Q167" t="str">
        <f t="shared" si="25"/>
        <v>Paid</v>
      </c>
      <c r="R167" t="str">
        <f t="shared" si="26"/>
        <v>Not Due</v>
      </c>
    </row>
    <row r="168" spans="1:18" x14ac:dyDescent="0.35">
      <c r="A168" t="s">
        <v>175</v>
      </c>
      <c r="B168" t="s">
        <v>812</v>
      </c>
      <c r="C168" s="9">
        <v>45813</v>
      </c>
      <c r="D168" s="28" t="str">
        <f t="shared" si="18"/>
        <v>Jun 2025</v>
      </c>
      <c r="E168" s="9">
        <v>45843</v>
      </c>
      <c r="F168" t="s">
        <v>817</v>
      </c>
      <c r="G168">
        <v>1041.99</v>
      </c>
      <c r="H168" t="s">
        <v>819</v>
      </c>
      <c r="I168" s="15">
        <f t="shared" si="19"/>
        <v>0</v>
      </c>
      <c r="J168" s="18">
        <f t="shared" si="20"/>
        <v>1041.99</v>
      </c>
      <c r="L168" s="54" t="str">
        <f t="shared" si="21"/>
        <v/>
      </c>
      <c r="M168" s="9" t="str">
        <f t="shared" si="22"/>
        <v/>
      </c>
      <c r="N168" t="s">
        <v>822</v>
      </c>
      <c r="O168" s="17">
        <f t="shared" si="23"/>
        <v>45868</v>
      </c>
      <c r="P168" s="25">
        <f t="shared" si="24"/>
        <v>25</v>
      </c>
      <c r="Q168" t="str">
        <f t="shared" si="25"/>
        <v>1-30</v>
      </c>
      <c r="R168" t="str">
        <f t="shared" si="26"/>
        <v>Due</v>
      </c>
    </row>
    <row r="169" spans="1:18" x14ac:dyDescent="0.35">
      <c r="A169" t="s">
        <v>176</v>
      </c>
      <c r="B169" t="s">
        <v>809</v>
      </c>
      <c r="C169" s="9">
        <v>45088</v>
      </c>
      <c r="D169" s="28" t="str">
        <f t="shared" si="18"/>
        <v>Jun 2023</v>
      </c>
      <c r="E169" s="9">
        <v>45118</v>
      </c>
      <c r="F169" t="s">
        <v>815</v>
      </c>
      <c r="G169">
        <v>2040.37</v>
      </c>
      <c r="H169" t="s">
        <v>819</v>
      </c>
      <c r="I169" s="15">
        <f t="shared" si="19"/>
        <v>0</v>
      </c>
      <c r="J169" s="18">
        <f t="shared" si="20"/>
        <v>2040.37</v>
      </c>
      <c r="L169" s="54" t="str">
        <f t="shared" si="21"/>
        <v/>
      </c>
      <c r="M169" s="9" t="str">
        <f t="shared" si="22"/>
        <v/>
      </c>
      <c r="N169" t="s">
        <v>822</v>
      </c>
      <c r="O169" s="17">
        <f t="shared" si="23"/>
        <v>45868</v>
      </c>
      <c r="P169" s="25">
        <f t="shared" si="24"/>
        <v>750</v>
      </c>
      <c r="Q169" t="str">
        <f t="shared" si="25"/>
        <v>90+</v>
      </c>
      <c r="R169" t="str">
        <f t="shared" si="26"/>
        <v>Due</v>
      </c>
    </row>
    <row r="170" spans="1:18" x14ac:dyDescent="0.35">
      <c r="A170" t="s">
        <v>177</v>
      </c>
      <c r="B170" t="s">
        <v>809</v>
      </c>
      <c r="C170" s="9">
        <v>45637</v>
      </c>
      <c r="D170" s="28" t="str">
        <f t="shared" si="18"/>
        <v>Dec 2024</v>
      </c>
      <c r="E170" s="9">
        <v>45667</v>
      </c>
      <c r="F170" t="s">
        <v>816</v>
      </c>
      <c r="G170">
        <v>4183.07</v>
      </c>
      <c r="H170" t="s">
        <v>821</v>
      </c>
      <c r="I170" s="15">
        <f t="shared" si="19"/>
        <v>4183.07</v>
      </c>
      <c r="J170" s="18">
        <f t="shared" si="20"/>
        <v>0</v>
      </c>
      <c r="K170" s="9">
        <v>45667</v>
      </c>
      <c r="L170" s="54">
        <f t="shared" si="21"/>
        <v>30</v>
      </c>
      <c r="M170" s="9" t="str">
        <f t="shared" si="22"/>
        <v>2025-Jan</v>
      </c>
      <c r="N170" t="s">
        <v>822</v>
      </c>
      <c r="O170" s="17">
        <f t="shared" si="23"/>
        <v>45868</v>
      </c>
      <c r="P170" s="25">
        <f t="shared" si="24"/>
        <v>0</v>
      </c>
      <c r="Q170" t="str">
        <f t="shared" si="25"/>
        <v>Paid</v>
      </c>
      <c r="R170" t="str">
        <f t="shared" si="26"/>
        <v>Not Due</v>
      </c>
    </row>
    <row r="171" spans="1:18" x14ac:dyDescent="0.35">
      <c r="A171" t="s">
        <v>178</v>
      </c>
      <c r="B171" t="s">
        <v>810</v>
      </c>
      <c r="C171" s="9">
        <v>45748</v>
      </c>
      <c r="D171" s="28" t="str">
        <f t="shared" si="18"/>
        <v>Apr 2025</v>
      </c>
      <c r="E171" s="9">
        <v>45778</v>
      </c>
      <c r="F171" t="s">
        <v>818</v>
      </c>
      <c r="G171">
        <v>2259.77</v>
      </c>
      <c r="H171" t="s">
        <v>820</v>
      </c>
      <c r="I171" s="15">
        <f t="shared" si="19"/>
        <v>0</v>
      </c>
      <c r="J171" s="18" t="str">
        <f t="shared" si="20"/>
        <v>N/A</v>
      </c>
      <c r="L171" s="54" t="str">
        <f t="shared" si="21"/>
        <v/>
      </c>
      <c r="M171" s="9" t="str">
        <f t="shared" si="22"/>
        <v/>
      </c>
      <c r="N171" t="s">
        <v>822</v>
      </c>
      <c r="O171" s="17">
        <f t="shared" si="23"/>
        <v>45868</v>
      </c>
      <c r="P171" s="25">
        <f t="shared" si="24"/>
        <v>90</v>
      </c>
      <c r="Q171" t="str">
        <f t="shared" si="25"/>
        <v>61-90</v>
      </c>
      <c r="R171" t="str">
        <f t="shared" si="26"/>
        <v>Due</v>
      </c>
    </row>
    <row r="172" spans="1:18" x14ac:dyDescent="0.35">
      <c r="A172" t="s">
        <v>179</v>
      </c>
      <c r="B172" t="s">
        <v>813</v>
      </c>
      <c r="C172" s="9">
        <v>45043</v>
      </c>
      <c r="D172" s="28" t="str">
        <f t="shared" si="18"/>
        <v>Apr 2023</v>
      </c>
      <c r="E172" s="9">
        <v>45073</v>
      </c>
      <c r="F172" t="s">
        <v>818</v>
      </c>
      <c r="G172">
        <v>3526.27</v>
      </c>
      <c r="H172" t="s">
        <v>821</v>
      </c>
      <c r="I172" s="15">
        <f t="shared" si="19"/>
        <v>3526.27</v>
      </c>
      <c r="J172" s="18">
        <f t="shared" si="20"/>
        <v>0</v>
      </c>
      <c r="K172" s="9">
        <v>45073</v>
      </c>
      <c r="L172" s="54">
        <f t="shared" si="21"/>
        <v>30</v>
      </c>
      <c r="M172" s="9" t="str">
        <f t="shared" si="22"/>
        <v>2023-May</v>
      </c>
      <c r="N172" t="s">
        <v>822</v>
      </c>
      <c r="O172" s="17">
        <f t="shared" si="23"/>
        <v>45868</v>
      </c>
      <c r="P172" s="25">
        <f t="shared" si="24"/>
        <v>0</v>
      </c>
      <c r="Q172" t="str">
        <f t="shared" si="25"/>
        <v>Paid</v>
      </c>
      <c r="R172" t="str">
        <f t="shared" si="26"/>
        <v>Not Due</v>
      </c>
    </row>
    <row r="173" spans="1:18" x14ac:dyDescent="0.35">
      <c r="A173" t="s">
        <v>180</v>
      </c>
      <c r="B173" t="s">
        <v>809</v>
      </c>
      <c r="C173" s="9">
        <v>45635</v>
      </c>
      <c r="D173" s="28" t="str">
        <f t="shared" si="18"/>
        <v>Dec 2024</v>
      </c>
      <c r="E173" s="9">
        <v>45665</v>
      </c>
      <c r="F173" t="s">
        <v>817</v>
      </c>
      <c r="G173">
        <v>3205.33</v>
      </c>
      <c r="H173" t="s">
        <v>820</v>
      </c>
      <c r="I173" s="15">
        <f t="shared" si="19"/>
        <v>0</v>
      </c>
      <c r="J173" s="18" t="str">
        <f t="shared" si="20"/>
        <v>N/A</v>
      </c>
      <c r="L173" s="54" t="str">
        <f t="shared" si="21"/>
        <v/>
      </c>
      <c r="M173" s="9" t="str">
        <f t="shared" si="22"/>
        <v/>
      </c>
      <c r="N173" t="s">
        <v>822</v>
      </c>
      <c r="O173" s="17">
        <f t="shared" si="23"/>
        <v>45868</v>
      </c>
      <c r="P173" s="25">
        <f t="shared" si="24"/>
        <v>203</v>
      </c>
      <c r="Q173" t="str">
        <f t="shared" si="25"/>
        <v>90+</v>
      </c>
      <c r="R173" t="str">
        <f t="shared" si="26"/>
        <v>Due</v>
      </c>
    </row>
    <row r="174" spans="1:18" x14ac:dyDescent="0.35">
      <c r="A174" t="s">
        <v>181</v>
      </c>
      <c r="B174" t="s">
        <v>811</v>
      </c>
      <c r="C174" s="9">
        <v>45605</v>
      </c>
      <c r="D174" s="28" t="str">
        <f t="shared" si="18"/>
        <v>Nov 2024</v>
      </c>
      <c r="E174" s="9">
        <v>45635</v>
      </c>
      <c r="F174" t="s">
        <v>817</v>
      </c>
      <c r="G174">
        <v>1285.77</v>
      </c>
      <c r="H174" t="s">
        <v>820</v>
      </c>
      <c r="I174" s="15">
        <f t="shared" si="19"/>
        <v>0</v>
      </c>
      <c r="J174" s="18" t="str">
        <f t="shared" si="20"/>
        <v>N/A</v>
      </c>
      <c r="L174" s="54" t="str">
        <f t="shared" si="21"/>
        <v/>
      </c>
      <c r="M174" s="9" t="str">
        <f t="shared" si="22"/>
        <v/>
      </c>
      <c r="N174" t="s">
        <v>822</v>
      </c>
      <c r="O174" s="17">
        <f t="shared" si="23"/>
        <v>45868</v>
      </c>
      <c r="P174" s="25">
        <f t="shared" si="24"/>
        <v>233</v>
      </c>
      <c r="Q174" t="str">
        <f t="shared" si="25"/>
        <v>90+</v>
      </c>
      <c r="R174" t="str">
        <f t="shared" si="26"/>
        <v>Due</v>
      </c>
    </row>
    <row r="175" spans="1:18" x14ac:dyDescent="0.35">
      <c r="A175" t="s">
        <v>182</v>
      </c>
      <c r="B175" t="s">
        <v>809</v>
      </c>
      <c r="C175" s="9">
        <v>45828</v>
      </c>
      <c r="D175" s="28" t="str">
        <f t="shared" si="18"/>
        <v>Jun 2025</v>
      </c>
      <c r="E175" s="9">
        <v>45858</v>
      </c>
      <c r="F175" t="s">
        <v>817</v>
      </c>
      <c r="G175">
        <v>216.78</v>
      </c>
      <c r="H175" t="s">
        <v>820</v>
      </c>
      <c r="I175" s="15">
        <f t="shared" si="19"/>
        <v>0</v>
      </c>
      <c r="J175" s="18" t="str">
        <f t="shared" si="20"/>
        <v>N/A</v>
      </c>
      <c r="L175" s="54" t="str">
        <f t="shared" si="21"/>
        <v/>
      </c>
      <c r="M175" s="9" t="str">
        <f t="shared" si="22"/>
        <v/>
      </c>
      <c r="N175" t="s">
        <v>822</v>
      </c>
      <c r="O175" s="17">
        <f t="shared" si="23"/>
        <v>45868</v>
      </c>
      <c r="P175" s="25">
        <f t="shared" si="24"/>
        <v>10</v>
      </c>
      <c r="Q175" t="str">
        <f t="shared" si="25"/>
        <v>1-30</v>
      </c>
      <c r="R175" t="str">
        <f t="shared" si="26"/>
        <v>Due</v>
      </c>
    </row>
    <row r="176" spans="1:18" x14ac:dyDescent="0.35">
      <c r="A176" t="s">
        <v>183</v>
      </c>
      <c r="B176" t="s">
        <v>813</v>
      </c>
      <c r="C176" s="9">
        <v>44990</v>
      </c>
      <c r="D176" s="28" t="str">
        <f t="shared" si="18"/>
        <v>Mar 2023</v>
      </c>
      <c r="E176" s="9">
        <v>45020</v>
      </c>
      <c r="F176" t="s">
        <v>815</v>
      </c>
      <c r="G176">
        <v>3258.22</v>
      </c>
      <c r="H176" t="s">
        <v>820</v>
      </c>
      <c r="I176" s="15">
        <f t="shared" si="19"/>
        <v>0</v>
      </c>
      <c r="J176" s="18" t="str">
        <f t="shared" si="20"/>
        <v>N/A</v>
      </c>
      <c r="L176" s="54" t="str">
        <f t="shared" si="21"/>
        <v/>
      </c>
      <c r="M176" s="9" t="str">
        <f t="shared" si="22"/>
        <v/>
      </c>
      <c r="N176" t="s">
        <v>822</v>
      </c>
      <c r="O176" s="17">
        <f t="shared" si="23"/>
        <v>45868</v>
      </c>
      <c r="P176" s="25">
        <f t="shared" si="24"/>
        <v>848</v>
      </c>
      <c r="Q176" t="str">
        <f t="shared" si="25"/>
        <v>90+</v>
      </c>
      <c r="R176" t="str">
        <f t="shared" si="26"/>
        <v>Due</v>
      </c>
    </row>
    <row r="177" spans="1:18" x14ac:dyDescent="0.35">
      <c r="A177" t="s">
        <v>184</v>
      </c>
      <c r="B177" t="s">
        <v>810</v>
      </c>
      <c r="C177" s="9">
        <v>45241</v>
      </c>
      <c r="D177" s="28" t="str">
        <f t="shared" si="18"/>
        <v>Nov 2023</v>
      </c>
      <c r="E177" s="9">
        <v>45271</v>
      </c>
      <c r="F177" t="s">
        <v>818</v>
      </c>
      <c r="G177">
        <v>3082.93</v>
      </c>
      <c r="H177" t="s">
        <v>821</v>
      </c>
      <c r="I177" s="15">
        <f t="shared" si="19"/>
        <v>3082.93</v>
      </c>
      <c r="J177" s="18">
        <f t="shared" si="20"/>
        <v>0</v>
      </c>
      <c r="K177" s="9">
        <v>45271</v>
      </c>
      <c r="L177" s="54">
        <f t="shared" si="21"/>
        <v>30</v>
      </c>
      <c r="M177" s="9" t="str">
        <f t="shared" si="22"/>
        <v>2023-Dec</v>
      </c>
      <c r="N177" t="s">
        <v>822</v>
      </c>
      <c r="O177" s="17">
        <f t="shared" si="23"/>
        <v>45868</v>
      </c>
      <c r="P177" s="25">
        <f t="shared" si="24"/>
        <v>0</v>
      </c>
      <c r="Q177" t="str">
        <f t="shared" si="25"/>
        <v>Paid</v>
      </c>
      <c r="R177" t="str">
        <f t="shared" si="26"/>
        <v>Not Due</v>
      </c>
    </row>
    <row r="178" spans="1:18" x14ac:dyDescent="0.35">
      <c r="A178" t="s">
        <v>185</v>
      </c>
      <c r="B178" t="s">
        <v>809</v>
      </c>
      <c r="C178" s="9">
        <v>45564</v>
      </c>
      <c r="D178" s="28" t="str">
        <f t="shared" si="18"/>
        <v>Sep 2024</v>
      </c>
      <c r="E178" s="9">
        <v>45594</v>
      </c>
      <c r="F178" t="s">
        <v>815</v>
      </c>
      <c r="G178">
        <v>267.47000000000003</v>
      </c>
      <c r="H178" t="s">
        <v>821</v>
      </c>
      <c r="I178" s="15">
        <f t="shared" si="19"/>
        <v>267.47000000000003</v>
      </c>
      <c r="J178" s="18">
        <f t="shared" si="20"/>
        <v>0</v>
      </c>
      <c r="K178" s="9">
        <v>45594</v>
      </c>
      <c r="L178" s="54">
        <f t="shared" si="21"/>
        <v>30</v>
      </c>
      <c r="M178" s="9" t="str">
        <f t="shared" si="22"/>
        <v>2024-Oct</v>
      </c>
      <c r="N178" t="s">
        <v>822</v>
      </c>
      <c r="O178" s="17">
        <f t="shared" si="23"/>
        <v>45868</v>
      </c>
      <c r="P178" s="25">
        <f t="shared" si="24"/>
        <v>0</v>
      </c>
      <c r="Q178" t="str">
        <f t="shared" si="25"/>
        <v>Paid</v>
      </c>
      <c r="R178" t="str">
        <f t="shared" si="26"/>
        <v>Not Due</v>
      </c>
    </row>
    <row r="179" spans="1:18" x14ac:dyDescent="0.35">
      <c r="A179" t="s">
        <v>186</v>
      </c>
      <c r="B179" t="s">
        <v>812</v>
      </c>
      <c r="C179" s="9">
        <v>45453</v>
      </c>
      <c r="D179" s="28" t="str">
        <f t="shared" si="18"/>
        <v>Jun 2024</v>
      </c>
      <c r="E179" s="9">
        <v>45483</v>
      </c>
      <c r="F179" t="s">
        <v>814</v>
      </c>
      <c r="G179">
        <v>3857.74</v>
      </c>
      <c r="H179" t="s">
        <v>819</v>
      </c>
      <c r="I179" s="15">
        <f t="shared" si="19"/>
        <v>0</v>
      </c>
      <c r="J179" s="18">
        <f t="shared" si="20"/>
        <v>3857.74</v>
      </c>
      <c r="L179" s="54" t="str">
        <f t="shared" si="21"/>
        <v/>
      </c>
      <c r="M179" s="9" t="str">
        <f t="shared" si="22"/>
        <v/>
      </c>
      <c r="N179" t="s">
        <v>822</v>
      </c>
      <c r="O179" s="17">
        <f t="shared" si="23"/>
        <v>45868</v>
      </c>
      <c r="P179" s="25">
        <f t="shared" si="24"/>
        <v>385</v>
      </c>
      <c r="Q179" t="str">
        <f t="shared" si="25"/>
        <v>90+</v>
      </c>
      <c r="R179" t="str">
        <f t="shared" si="26"/>
        <v>Due</v>
      </c>
    </row>
    <row r="180" spans="1:18" x14ac:dyDescent="0.35">
      <c r="A180" t="s">
        <v>187</v>
      </c>
      <c r="B180" t="s">
        <v>811</v>
      </c>
      <c r="C180" s="9">
        <v>45253</v>
      </c>
      <c r="D180" s="28" t="str">
        <f t="shared" si="18"/>
        <v>Nov 2023</v>
      </c>
      <c r="E180" s="9">
        <v>45283</v>
      </c>
      <c r="F180" t="s">
        <v>817</v>
      </c>
      <c r="G180">
        <v>4616.42</v>
      </c>
      <c r="H180" t="s">
        <v>821</v>
      </c>
      <c r="I180" s="15">
        <f t="shared" si="19"/>
        <v>4616.42</v>
      </c>
      <c r="J180" s="18">
        <f t="shared" si="20"/>
        <v>0</v>
      </c>
      <c r="K180" s="9">
        <v>45283</v>
      </c>
      <c r="L180" s="54">
        <f t="shared" si="21"/>
        <v>30</v>
      </c>
      <c r="M180" s="9" t="str">
        <f t="shared" si="22"/>
        <v>2023-Dec</v>
      </c>
      <c r="N180" t="s">
        <v>822</v>
      </c>
      <c r="O180" s="17">
        <f t="shared" si="23"/>
        <v>45868</v>
      </c>
      <c r="P180" s="25">
        <f t="shared" si="24"/>
        <v>0</v>
      </c>
      <c r="Q180" t="str">
        <f t="shared" si="25"/>
        <v>Paid</v>
      </c>
      <c r="R180" t="str">
        <f t="shared" si="26"/>
        <v>Not Due</v>
      </c>
    </row>
    <row r="181" spans="1:18" x14ac:dyDescent="0.35">
      <c r="A181" t="s">
        <v>188</v>
      </c>
      <c r="B181" t="s">
        <v>811</v>
      </c>
      <c r="C181" s="9">
        <v>44998</v>
      </c>
      <c r="D181" s="28" t="str">
        <f t="shared" si="18"/>
        <v>Mar 2023</v>
      </c>
      <c r="E181" s="9">
        <v>45028</v>
      </c>
      <c r="F181" t="s">
        <v>817</v>
      </c>
      <c r="G181">
        <v>1731.08</v>
      </c>
      <c r="H181" t="s">
        <v>819</v>
      </c>
      <c r="I181" s="15">
        <f t="shared" si="19"/>
        <v>0</v>
      </c>
      <c r="J181" s="18">
        <f t="shared" si="20"/>
        <v>1731.08</v>
      </c>
      <c r="L181" s="54" t="str">
        <f t="shared" si="21"/>
        <v/>
      </c>
      <c r="M181" s="9" t="str">
        <f t="shared" si="22"/>
        <v/>
      </c>
      <c r="N181" t="s">
        <v>822</v>
      </c>
      <c r="O181" s="17">
        <f t="shared" si="23"/>
        <v>45868</v>
      </c>
      <c r="P181" s="25">
        <f t="shared" si="24"/>
        <v>840</v>
      </c>
      <c r="Q181" t="str">
        <f t="shared" si="25"/>
        <v>90+</v>
      </c>
      <c r="R181" t="str">
        <f t="shared" si="26"/>
        <v>Due</v>
      </c>
    </row>
    <row r="182" spans="1:18" x14ac:dyDescent="0.35">
      <c r="A182" t="s">
        <v>189</v>
      </c>
      <c r="B182" t="s">
        <v>809</v>
      </c>
      <c r="C182" s="9">
        <v>45693</v>
      </c>
      <c r="D182" s="28" t="str">
        <f t="shared" si="18"/>
        <v>Feb 2025</v>
      </c>
      <c r="E182" s="9">
        <v>45723</v>
      </c>
      <c r="F182" t="s">
        <v>815</v>
      </c>
      <c r="G182">
        <v>2908.09</v>
      </c>
      <c r="H182" t="s">
        <v>820</v>
      </c>
      <c r="I182" s="15">
        <f t="shared" si="19"/>
        <v>0</v>
      </c>
      <c r="J182" s="18" t="str">
        <f t="shared" si="20"/>
        <v>N/A</v>
      </c>
      <c r="L182" s="54" t="str">
        <f t="shared" si="21"/>
        <v/>
      </c>
      <c r="M182" s="9" t="str">
        <f t="shared" si="22"/>
        <v/>
      </c>
      <c r="N182" t="s">
        <v>822</v>
      </c>
      <c r="O182" s="17">
        <f t="shared" si="23"/>
        <v>45868</v>
      </c>
      <c r="P182" s="25">
        <f t="shared" si="24"/>
        <v>145</v>
      </c>
      <c r="Q182" t="str">
        <f t="shared" si="25"/>
        <v>90+</v>
      </c>
      <c r="R182" t="str">
        <f t="shared" si="26"/>
        <v>Due</v>
      </c>
    </row>
    <row r="183" spans="1:18" x14ac:dyDescent="0.35">
      <c r="A183" t="s">
        <v>190</v>
      </c>
      <c r="B183" t="s">
        <v>813</v>
      </c>
      <c r="C183" s="9">
        <v>45498</v>
      </c>
      <c r="D183" s="28" t="str">
        <f t="shared" si="18"/>
        <v>Jul 2024</v>
      </c>
      <c r="E183" s="9">
        <v>45528</v>
      </c>
      <c r="F183" t="s">
        <v>815</v>
      </c>
      <c r="G183">
        <v>1278.28</v>
      </c>
      <c r="H183" t="s">
        <v>821</v>
      </c>
      <c r="I183" s="15">
        <f t="shared" si="19"/>
        <v>1278.28</v>
      </c>
      <c r="J183" s="18">
        <f t="shared" si="20"/>
        <v>0</v>
      </c>
      <c r="K183" s="9">
        <v>45528</v>
      </c>
      <c r="L183" s="54">
        <f t="shared" si="21"/>
        <v>30</v>
      </c>
      <c r="M183" s="9" t="str">
        <f t="shared" si="22"/>
        <v>2024-Aug</v>
      </c>
      <c r="N183" t="s">
        <v>822</v>
      </c>
      <c r="O183" s="17">
        <f t="shared" si="23"/>
        <v>45868</v>
      </c>
      <c r="P183" s="25">
        <f t="shared" si="24"/>
        <v>0</v>
      </c>
      <c r="Q183" t="str">
        <f t="shared" si="25"/>
        <v>Paid</v>
      </c>
      <c r="R183" t="str">
        <f t="shared" si="26"/>
        <v>Not Due</v>
      </c>
    </row>
    <row r="184" spans="1:18" x14ac:dyDescent="0.35">
      <c r="A184" t="s">
        <v>191</v>
      </c>
      <c r="B184" t="s">
        <v>810</v>
      </c>
      <c r="C184" s="9">
        <v>45646</v>
      </c>
      <c r="D184" s="28" t="str">
        <f t="shared" si="18"/>
        <v>Dec 2024</v>
      </c>
      <c r="E184" s="9">
        <v>45676</v>
      </c>
      <c r="F184" t="s">
        <v>814</v>
      </c>
      <c r="G184">
        <v>4821.58</v>
      </c>
      <c r="H184" t="s">
        <v>821</v>
      </c>
      <c r="I184" s="15">
        <f t="shared" si="19"/>
        <v>4821.58</v>
      </c>
      <c r="J184" s="18">
        <f t="shared" si="20"/>
        <v>0</v>
      </c>
      <c r="K184" s="9">
        <v>45676</v>
      </c>
      <c r="L184" s="54">
        <f t="shared" si="21"/>
        <v>30</v>
      </c>
      <c r="M184" s="9" t="str">
        <f t="shared" si="22"/>
        <v>2025-Jan</v>
      </c>
      <c r="N184" t="s">
        <v>822</v>
      </c>
      <c r="O184" s="17">
        <f t="shared" si="23"/>
        <v>45868</v>
      </c>
      <c r="P184" s="25">
        <f t="shared" si="24"/>
        <v>0</v>
      </c>
      <c r="Q184" t="str">
        <f t="shared" si="25"/>
        <v>Paid</v>
      </c>
      <c r="R184" t="str">
        <f t="shared" si="26"/>
        <v>Not Due</v>
      </c>
    </row>
    <row r="185" spans="1:18" x14ac:dyDescent="0.35">
      <c r="A185" t="s">
        <v>192</v>
      </c>
      <c r="B185" t="s">
        <v>811</v>
      </c>
      <c r="C185" s="9">
        <v>45763</v>
      </c>
      <c r="D185" s="28" t="str">
        <f t="shared" si="18"/>
        <v>Apr 2025</v>
      </c>
      <c r="E185" s="9">
        <v>45793</v>
      </c>
      <c r="F185" t="s">
        <v>814</v>
      </c>
      <c r="G185">
        <v>706.49</v>
      </c>
      <c r="H185" t="s">
        <v>820</v>
      </c>
      <c r="I185" s="15">
        <f t="shared" si="19"/>
        <v>0</v>
      </c>
      <c r="J185" s="18" t="str">
        <f t="shared" si="20"/>
        <v>N/A</v>
      </c>
      <c r="L185" s="54" t="str">
        <f t="shared" si="21"/>
        <v/>
      </c>
      <c r="M185" s="9" t="str">
        <f t="shared" si="22"/>
        <v/>
      </c>
      <c r="N185" t="s">
        <v>822</v>
      </c>
      <c r="O185" s="17">
        <f t="shared" si="23"/>
        <v>45868</v>
      </c>
      <c r="P185" s="25">
        <f t="shared" si="24"/>
        <v>75</v>
      </c>
      <c r="Q185" t="str">
        <f t="shared" si="25"/>
        <v>61-90</v>
      </c>
      <c r="R185" t="str">
        <f t="shared" si="26"/>
        <v>Due</v>
      </c>
    </row>
    <row r="186" spans="1:18" x14ac:dyDescent="0.35">
      <c r="A186" t="s">
        <v>193</v>
      </c>
      <c r="B186" t="s">
        <v>813</v>
      </c>
      <c r="C186" s="9">
        <v>44961</v>
      </c>
      <c r="D186" s="28" t="str">
        <f t="shared" si="18"/>
        <v>Feb 2023</v>
      </c>
      <c r="E186" s="9">
        <v>44991</v>
      </c>
      <c r="F186" t="s">
        <v>816</v>
      </c>
      <c r="G186">
        <v>4740.26</v>
      </c>
      <c r="H186" t="s">
        <v>819</v>
      </c>
      <c r="I186" s="15">
        <f t="shared" si="19"/>
        <v>0</v>
      </c>
      <c r="J186" s="18">
        <f t="shared" si="20"/>
        <v>4740.26</v>
      </c>
      <c r="L186" s="54" t="str">
        <f t="shared" si="21"/>
        <v/>
      </c>
      <c r="M186" s="9" t="str">
        <f t="shared" si="22"/>
        <v/>
      </c>
      <c r="N186" t="s">
        <v>822</v>
      </c>
      <c r="O186" s="17">
        <f t="shared" si="23"/>
        <v>45868</v>
      </c>
      <c r="P186" s="25">
        <f t="shared" si="24"/>
        <v>877</v>
      </c>
      <c r="Q186" t="str">
        <f t="shared" si="25"/>
        <v>90+</v>
      </c>
      <c r="R186" t="str">
        <f t="shared" si="26"/>
        <v>Due</v>
      </c>
    </row>
    <row r="187" spans="1:18" x14ac:dyDescent="0.35">
      <c r="A187" t="s">
        <v>194</v>
      </c>
      <c r="B187" t="s">
        <v>811</v>
      </c>
      <c r="C187" s="9">
        <v>45830</v>
      </c>
      <c r="D187" s="28" t="str">
        <f t="shared" si="18"/>
        <v>Jun 2025</v>
      </c>
      <c r="E187" s="9">
        <v>45860</v>
      </c>
      <c r="F187" t="s">
        <v>815</v>
      </c>
      <c r="G187">
        <v>589.59</v>
      </c>
      <c r="H187" t="s">
        <v>819</v>
      </c>
      <c r="I187" s="15">
        <f t="shared" si="19"/>
        <v>0</v>
      </c>
      <c r="J187" s="18">
        <f t="shared" si="20"/>
        <v>589.59</v>
      </c>
      <c r="L187" s="54" t="str">
        <f t="shared" si="21"/>
        <v/>
      </c>
      <c r="M187" s="9" t="str">
        <f t="shared" si="22"/>
        <v/>
      </c>
      <c r="N187" t="s">
        <v>822</v>
      </c>
      <c r="O187" s="17">
        <f t="shared" si="23"/>
        <v>45868</v>
      </c>
      <c r="P187" s="25">
        <f t="shared" si="24"/>
        <v>8</v>
      </c>
      <c r="Q187" t="str">
        <f t="shared" si="25"/>
        <v>1-30</v>
      </c>
      <c r="R187" t="str">
        <f t="shared" si="26"/>
        <v>Due</v>
      </c>
    </row>
    <row r="188" spans="1:18" x14ac:dyDescent="0.35">
      <c r="A188" t="s">
        <v>195</v>
      </c>
      <c r="B188" t="s">
        <v>809</v>
      </c>
      <c r="C188" s="9">
        <v>45414</v>
      </c>
      <c r="D188" s="28" t="str">
        <f t="shared" si="18"/>
        <v>May 2024</v>
      </c>
      <c r="E188" s="9">
        <v>45444</v>
      </c>
      <c r="F188" t="s">
        <v>816</v>
      </c>
      <c r="G188">
        <v>2960.66</v>
      </c>
      <c r="H188" t="s">
        <v>821</v>
      </c>
      <c r="I188" s="15">
        <f t="shared" si="19"/>
        <v>2960.66</v>
      </c>
      <c r="J188" s="18">
        <f t="shared" si="20"/>
        <v>0</v>
      </c>
      <c r="K188" s="9">
        <v>45444</v>
      </c>
      <c r="L188" s="54">
        <f t="shared" si="21"/>
        <v>30</v>
      </c>
      <c r="M188" s="9" t="str">
        <f t="shared" si="22"/>
        <v>2024-Jun</v>
      </c>
      <c r="N188" t="s">
        <v>822</v>
      </c>
      <c r="O188" s="17">
        <f t="shared" si="23"/>
        <v>45868</v>
      </c>
      <c r="P188" s="25">
        <f t="shared" si="24"/>
        <v>0</v>
      </c>
      <c r="Q188" t="str">
        <f t="shared" si="25"/>
        <v>Paid</v>
      </c>
      <c r="R188" t="str">
        <f t="shared" si="26"/>
        <v>Not Due</v>
      </c>
    </row>
    <row r="189" spans="1:18" x14ac:dyDescent="0.35">
      <c r="A189" t="s">
        <v>196</v>
      </c>
      <c r="B189" t="s">
        <v>810</v>
      </c>
      <c r="C189" s="9">
        <v>45279</v>
      </c>
      <c r="D189" s="28" t="str">
        <f t="shared" si="18"/>
        <v>Dec 2023</v>
      </c>
      <c r="E189" s="9">
        <v>45309</v>
      </c>
      <c r="F189" t="s">
        <v>817</v>
      </c>
      <c r="G189">
        <v>4356.53</v>
      </c>
      <c r="H189" t="s">
        <v>820</v>
      </c>
      <c r="I189" s="15">
        <f t="shared" si="19"/>
        <v>0</v>
      </c>
      <c r="J189" s="18" t="str">
        <f t="shared" si="20"/>
        <v>N/A</v>
      </c>
      <c r="L189" s="54" t="str">
        <f t="shared" si="21"/>
        <v/>
      </c>
      <c r="M189" s="9" t="str">
        <f t="shared" si="22"/>
        <v/>
      </c>
      <c r="N189" t="s">
        <v>822</v>
      </c>
      <c r="O189" s="17">
        <f t="shared" si="23"/>
        <v>45868</v>
      </c>
      <c r="P189" s="25">
        <f t="shared" si="24"/>
        <v>559</v>
      </c>
      <c r="Q189" t="str">
        <f t="shared" si="25"/>
        <v>90+</v>
      </c>
      <c r="R189" t="str">
        <f t="shared" si="26"/>
        <v>Due</v>
      </c>
    </row>
    <row r="190" spans="1:18" x14ac:dyDescent="0.35">
      <c r="A190" t="s">
        <v>197</v>
      </c>
      <c r="B190" t="s">
        <v>809</v>
      </c>
      <c r="C190" s="9">
        <v>45399</v>
      </c>
      <c r="D190" s="28" t="str">
        <f t="shared" si="18"/>
        <v>Apr 2024</v>
      </c>
      <c r="E190" s="9">
        <v>45429</v>
      </c>
      <c r="F190" t="s">
        <v>818</v>
      </c>
      <c r="G190">
        <v>2091.1799999999998</v>
      </c>
      <c r="H190" t="s">
        <v>819</v>
      </c>
      <c r="I190" s="15">
        <f t="shared" si="19"/>
        <v>0</v>
      </c>
      <c r="J190" s="18">
        <f t="shared" si="20"/>
        <v>2091.1799999999998</v>
      </c>
      <c r="L190" s="54" t="str">
        <f t="shared" si="21"/>
        <v/>
      </c>
      <c r="M190" s="9" t="str">
        <f t="shared" si="22"/>
        <v/>
      </c>
      <c r="N190" t="s">
        <v>822</v>
      </c>
      <c r="O190" s="17">
        <f t="shared" si="23"/>
        <v>45868</v>
      </c>
      <c r="P190" s="25">
        <f t="shared" si="24"/>
        <v>439</v>
      </c>
      <c r="Q190" t="str">
        <f t="shared" si="25"/>
        <v>90+</v>
      </c>
      <c r="R190" t="str">
        <f t="shared" si="26"/>
        <v>Due</v>
      </c>
    </row>
    <row r="191" spans="1:18" x14ac:dyDescent="0.35">
      <c r="A191" t="s">
        <v>198</v>
      </c>
      <c r="B191" t="s">
        <v>812</v>
      </c>
      <c r="C191" s="9">
        <v>45414</v>
      </c>
      <c r="D191" s="28" t="str">
        <f t="shared" si="18"/>
        <v>May 2024</v>
      </c>
      <c r="E191" s="9">
        <v>45444</v>
      </c>
      <c r="F191" t="s">
        <v>815</v>
      </c>
      <c r="G191">
        <v>679.37</v>
      </c>
      <c r="H191" t="s">
        <v>821</v>
      </c>
      <c r="I191" s="15">
        <f t="shared" si="19"/>
        <v>679.37</v>
      </c>
      <c r="J191" s="18">
        <f t="shared" si="20"/>
        <v>0</v>
      </c>
      <c r="K191" s="9">
        <v>45444</v>
      </c>
      <c r="L191" s="54">
        <f t="shared" si="21"/>
        <v>30</v>
      </c>
      <c r="M191" s="9" t="str">
        <f t="shared" si="22"/>
        <v>2024-Jun</v>
      </c>
      <c r="N191" t="s">
        <v>822</v>
      </c>
      <c r="O191" s="17">
        <f t="shared" si="23"/>
        <v>45868</v>
      </c>
      <c r="P191" s="25">
        <f t="shared" si="24"/>
        <v>0</v>
      </c>
      <c r="Q191" t="str">
        <f t="shared" si="25"/>
        <v>Paid</v>
      </c>
      <c r="R191" t="str">
        <f t="shared" si="26"/>
        <v>Not Due</v>
      </c>
    </row>
    <row r="192" spans="1:18" x14ac:dyDescent="0.35">
      <c r="A192" t="s">
        <v>199</v>
      </c>
      <c r="B192" t="s">
        <v>811</v>
      </c>
      <c r="C192" s="9">
        <v>44974</v>
      </c>
      <c r="D192" s="28" t="str">
        <f t="shared" si="18"/>
        <v>Feb 2023</v>
      </c>
      <c r="E192" s="9">
        <v>45004</v>
      </c>
      <c r="F192" t="s">
        <v>818</v>
      </c>
      <c r="G192">
        <v>3414.39</v>
      </c>
      <c r="H192" t="s">
        <v>820</v>
      </c>
      <c r="I192" s="15">
        <f t="shared" si="19"/>
        <v>0</v>
      </c>
      <c r="J192" s="18" t="str">
        <f t="shared" si="20"/>
        <v>N/A</v>
      </c>
      <c r="L192" s="54" t="str">
        <f t="shared" si="21"/>
        <v/>
      </c>
      <c r="M192" s="9" t="str">
        <f t="shared" si="22"/>
        <v/>
      </c>
      <c r="N192" t="s">
        <v>822</v>
      </c>
      <c r="O192" s="17">
        <f t="shared" si="23"/>
        <v>45868</v>
      </c>
      <c r="P192" s="25">
        <f t="shared" si="24"/>
        <v>864</v>
      </c>
      <c r="Q192" t="str">
        <f t="shared" si="25"/>
        <v>90+</v>
      </c>
      <c r="R192" t="str">
        <f t="shared" si="26"/>
        <v>Due</v>
      </c>
    </row>
    <row r="193" spans="1:18" x14ac:dyDescent="0.35">
      <c r="A193" t="s">
        <v>200</v>
      </c>
      <c r="B193" t="s">
        <v>812</v>
      </c>
      <c r="C193" s="9">
        <v>45710</v>
      </c>
      <c r="D193" s="28" t="str">
        <f t="shared" si="18"/>
        <v>Feb 2025</v>
      </c>
      <c r="E193" s="9">
        <v>45740</v>
      </c>
      <c r="F193" t="s">
        <v>818</v>
      </c>
      <c r="G193">
        <v>106.15</v>
      </c>
      <c r="H193" t="s">
        <v>821</v>
      </c>
      <c r="I193" s="15">
        <f t="shared" si="19"/>
        <v>106.15</v>
      </c>
      <c r="J193" s="18">
        <f t="shared" si="20"/>
        <v>0</v>
      </c>
      <c r="K193" s="9">
        <v>45740</v>
      </c>
      <c r="L193" s="54">
        <f t="shared" si="21"/>
        <v>30</v>
      </c>
      <c r="M193" s="9" t="str">
        <f t="shared" si="22"/>
        <v>2025-Mar</v>
      </c>
      <c r="N193" t="s">
        <v>822</v>
      </c>
      <c r="O193" s="17">
        <f t="shared" si="23"/>
        <v>45868</v>
      </c>
      <c r="P193" s="25">
        <f t="shared" si="24"/>
        <v>0</v>
      </c>
      <c r="Q193" t="str">
        <f t="shared" si="25"/>
        <v>Paid</v>
      </c>
      <c r="R193" t="str">
        <f t="shared" si="26"/>
        <v>Not Due</v>
      </c>
    </row>
    <row r="194" spans="1:18" x14ac:dyDescent="0.35">
      <c r="A194" t="s">
        <v>201</v>
      </c>
      <c r="B194" t="s">
        <v>813</v>
      </c>
      <c r="C194" s="9">
        <v>45817</v>
      </c>
      <c r="D194" s="28" t="str">
        <f t="shared" si="18"/>
        <v>Jun 2025</v>
      </c>
      <c r="E194" s="9">
        <v>45847</v>
      </c>
      <c r="F194" t="s">
        <v>815</v>
      </c>
      <c r="G194">
        <v>357.56</v>
      </c>
      <c r="H194" t="s">
        <v>820</v>
      </c>
      <c r="I194" s="15">
        <f t="shared" si="19"/>
        <v>0</v>
      </c>
      <c r="J194" s="18" t="str">
        <f t="shared" si="20"/>
        <v>N/A</v>
      </c>
      <c r="L194" s="54" t="str">
        <f t="shared" si="21"/>
        <v/>
      </c>
      <c r="M194" s="9" t="str">
        <f t="shared" si="22"/>
        <v/>
      </c>
      <c r="N194" t="s">
        <v>822</v>
      </c>
      <c r="O194" s="17">
        <f t="shared" si="23"/>
        <v>45868</v>
      </c>
      <c r="P194" s="25">
        <f t="shared" si="24"/>
        <v>21</v>
      </c>
      <c r="Q194" t="str">
        <f t="shared" si="25"/>
        <v>1-30</v>
      </c>
      <c r="R194" t="str">
        <f t="shared" si="26"/>
        <v>Due</v>
      </c>
    </row>
    <row r="195" spans="1:18" x14ac:dyDescent="0.35">
      <c r="A195" t="s">
        <v>202</v>
      </c>
      <c r="B195" t="s">
        <v>812</v>
      </c>
      <c r="C195" s="9">
        <v>45076</v>
      </c>
      <c r="D195" s="28" t="str">
        <f t="shared" ref="D195:D258" si="27">TEXT(C195,"MMM YYYY")</f>
        <v>May 2023</v>
      </c>
      <c r="E195" s="9">
        <v>45106</v>
      </c>
      <c r="F195" t="s">
        <v>816</v>
      </c>
      <c r="G195">
        <v>3394.11</v>
      </c>
      <c r="H195" t="s">
        <v>820</v>
      </c>
      <c r="I195" s="15">
        <f t="shared" ref="I195:I258" si="28">IF(H195="Paid",G195,0)</f>
        <v>0</v>
      </c>
      <c r="J195" s="18" t="str">
        <f t="shared" ref="J195:J258" si="29">IF(H195="Open",G195,IF(H195="Paid",0,"N/A"))</f>
        <v>N/A</v>
      </c>
      <c r="L195" s="54" t="str">
        <f t="shared" ref="L195:L258" si="30">IF(H195="Paid",K195-C195,"")</f>
        <v/>
      </c>
      <c r="M195" s="9" t="str">
        <f t="shared" ref="M195:M258" si="31">IF(K195="","",TEXT(K195, "YYYY-MMM"))</f>
        <v/>
      </c>
      <c r="N195" t="s">
        <v>822</v>
      </c>
      <c r="O195" s="17">
        <f t="shared" ref="O195:O258" si="32">MAX(MAX($C$2:$C$801), MAX($E$2:$E$801))</f>
        <v>45868</v>
      </c>
      <c r="P195" s="25">
        <f t="shared" ref="P195:P258" si="33">IF(K195="", O195-E195,0)</f>
        <v>762</v>
      </c>
      <c r="Q195" t="str">
        <f t="shared" ref="Q195:Q258" si="34">IF(H195="Paid","Paid",
   IF(P195&lt;=0,"Current",
      IF(P195&lt;=30,"1-30",
         IF(P195&lt;=60,"31-60",
            IF(P195&lt;=90,"61-90","90+")))))</f>
        <v>90+</v>
      </c>
      <c r="R195" t="str">
        <f t="shared" ref="R195:R258" si="35">IF(P195=0, "Not Due","Due")</f>
        <v>Due</v>
      </c>
    </row>
    <row r="196" spans="1:18" x14ac:dyDescent="0.35">
      <c r="A196" t="s">
        <v>203</v>
      </c>
      <c r="B196" t="s">
        <v>813</v>
      </c>
      <c r="C196" s="9">
        <v>45454</v>
      </c>
      <c r="D196" s="28" t="str">
        <f t="shared" si="27"/>
        <v>Jun 2024</v>
      </c>
      <c r="E196" s="9">
        <v>45484</v>
      </c>
      <c r="F196" t="s">
        <v>815</v>
      </c>
      <c r="G196">
        <v>1016.23</v>
      </c>
      <c r="H196" t="s">
        <v>819</v>
      </c>
      <c r="I196" s="15">
        <f t="shared" si="28"/>
        <v>0</v>
      </c>
      <c r="J196" s="18">
        <f t="shared" si="29"/>
        <v>1016.23</v>
      </c>
      <c r="L196" s="54" t="str">
        <f t="shared" si="30"/>
        <v/>
      </c>
      <c r="M196" s="9" t="str">
        <f t="shared" si="31"/>
        <v/>
      </c>
      <c r="N196" t="s">
        <v>822</v>
      </c>
      <c r="O196" s="17">
        <f t="shared" si="32"/>
        <v>45868</v>
      </c>
      <c r="P196" s="25">
        <f t="shared" si="33"/>
        <v>384</v>
      </c>
      <c r="Q196" t="str">
        <f t="shared" si="34"/>
        <v>90+</v>
      </c>
      <c r="R196" t="str">
        <f t="shared" si="35"/>
        <v>Due</v>
      </c>
    </row>
    <row r="197" spans="1:18" x14ac:dyDescent="0.35">
      <c r="A197" t="s">
        <v>204</v>
      </c>
      <c r="B197" t="s">
        <v>813</v>
      </c>
      <c r="C197" s="9">
        <v>45723</v>
      </c>
      <c r="D197" s="28" t="str">
        <f t="shared" si="27"/>
        <v>Mar 2025</v>
      </c>
      <c r="E197" s="9">
        <v>45753</v>
      </c>
      <c r="F197" t="s">
        <v>818</v>
      </c>
      <c r="G197">
        <v>1894.45</v>
      </c>
      <c r="H197" t="s">
        <v>820</v>
      </c>
      <c r="I197" s="15">
        <f t="shared" si="28"/>
        <v>0</v>
      </c>
      <c r="J197" s="18" t="str">
        <f t="shared" si="29"/>
        <v>N/A</v>
      </c>
      <c r="L197" s="54" t="str">
        <f t="shared" si="30"/>
        <v/>
      </c>
      <c r="M197" s="9" t="str">
        <f t="shared" si="31"/>
        <v/>
      </c>
      <c r="N197" t="s">
        <v>822</v>
      </c>
      <c r="O197" s="17">
        <f t="shared" si="32"/>
        <v>45868</v>
      </c>
      <c r="P197" s="25">
        <f t="shared" si="33"/>
        <v>115</v>
      </c>
      <c r="Q197" t="str">
        <f t="shared" si="34"/>
        <v>90+</v>
      </c>
      <c r="R197" t="str">
        <f t="shared" si="35"/>
        <v>Due</v>
      </c>
    </row>
    <row r="198" spans="1:18" x14ac:dyDescent="0.35">
      <c r="A198" t="s">
        <v>205</v>
      </c>
      <c r="B198" t="s">
        <v>810</v>
      </c>
      <c r="C198" s="9">
        <v>45384</v>
      </c>
      <c r="D198" s="28" t="str">
        <f t="shared" si="27"/>
        <v>Apr 2024</v>
      </c>
      <c r="E198" s="9">
        <v>45414</v>
      </c>
      <c r="F198" t="s">
        <v>816</v>
      </c>
      <c r="G198">
        <v>4424.1400000000003</v>
      </c>
      <c r="H198" t="s">
        <v>819</v>
      </c>
      <c r="I198" s="15">
        <f t="shared" si="28"/>
        <v>0</v>
      </c>
      <c r="J198" s="18">
        <f t="shared" si="29"/>
        <v>4424.1400000000003</v>
      </c>
      <c r="L198" s="54" t="str">
        <f t="shared" si="30"/>
        <v/>
      </c>
      <c r="M198" s="9" t="str">
        <f t="shared" si="31"/>
        <v/>
      </c>
      <c r="N198" t="s">
        <v>822</v>
      </c>
      <c r="O198" s="17">
        <f t="shared" si="32"/>
        <v>45868</v>
      </c>
      <c r="P198" s="25">
        <f t="shared" si="33"/>
        <v>454</v>
      </c>
      <c r="Q198" t="str">
        <f t="shared" si="34"/>
        <v>90+</v>
      </c>
      <c r="R198" t="str">
        <f t="shared" si="35"/>
        <v>Due</v>
      </c>
    </row>
    <row r="199" spans="1:18" x14ac:dyDescent="0.35">
      <c r="A199" t="s">
        <v>206</v>
      </c>
      <c r="B199" t="s">
        <v>809</v>
      </c>
      <c r="C199" s="9">
        <v>45190</v>
      </c>
      <c r="D199" s="28" t="str">
        <f t="shared" si="27"/>
        <v>Sep 2023</v>
      </c>
      <c r="E199" s="9">
        <v>45220</v>
      </c>
      <c r="F199" t="s">
        <v>817</v>
      </c>
      <c r="G199">
        <v>392.7</v>
      </c>
      <c r="H199" t="s">
        <v>821</v>
      </c>
      <c r="I199" s="15">
        <f t="shared" si="28"/>
        <v>392.7</v>
      </c>
      <c r="J199" s="18">
        <f t="shared" si="29"/>
        <v>0</v>
      </c>
      <c r="K199" s="9">
        <v>45220</v>
      </c>
      <c r="L199" s="54">
        <f t="shared" si="30"/>
        <v>30</v>
      </c>
      <c r="M199" s="9" t="str">
        <f t="shared" si="31"/>
        <v>2023-Oct</v>
      </c>
      <c r="N199" t="s">
        <v>822</v>
      </c>
      <c r="O199" s="17">
        <f t="shared" si="32"/>
        <v>45868</v>
      </c>
      <c r="P199" s="25">
        <f t="shared" si="33"/>
        <v>0</v>
      </c>
      <c r="Q199" t="str">
        <f t="shared" si="34"/>
        <v>Paid</v>
      </c>
      <c r="R199" t="str">
        <f t="shared" si="35"/>
        <v>Not Due</v>
      </c>
    </row>
    <row r="200" spans="1:18" x14ac:dyDescent="0.35">
      <c r="A200" t="s">
        <v>207</v>
      </c>
      <c r="B200" t="s">
        <v>810</v>
      </c>
      <c r="C200" s="9">
        <v>45388</v>
      </c>
      <c r="D200" s="28" t="str">
        <f t="shared" si="27"/>
        <v>Apr 2024</v>
      </c>
      <c r="E200" s="9">
        <v>45418</v>
      </c>
      <c r="F200" t="s">
        <v>817</v>
      </c>
      <c r="G200">
        <v>4366.6499999999996</v>
      </c>
      <c r="H200" t="s">
        <v>820</v>
      </c>
      <c r="I200" s="15">
        <f t="shared" si="28"/>
        <v>0</v>
      </c>
      <c r="J200" s="18" t="str">
        <f t="shared" si="29"/>
        <v>N/A</v>
      </c>
      <c r="L200" s="54" t="str">
        <f t="shared" si="30"/>
        <v/>
      </c>
      <c r="M200" s="9" t="str">
        <f t="shared" si="31"/>
        <v/>
      </c>
      <c r="N200" t="s">
        <v>822</v>
      </c>
      <c r="O200" s="17">
        <f t="shared" si="32"/>
        <v>45868</v>
      </c>
      <c r="P200" s="25">
        <f t="shared" si="33"/>
        <v>450</v>
      </c>
      <c r="Q200" t="str">
        <f t="shared" si="34"/>
        <v>90+</v>
      </c>
      <c r="R200" t="str">
        <f t="shared" si="35"/>
        <v>Due</v>
      </c>
    </row>
    <row r="201" spans="1:18" x14ac:dyDescent="0.35">
      <c r="A201" t="s">
        <v>208</v>
      </c>
      <c r="B201" t="s">
        <v>813</v>
      </c>
      <c r="C201" s="9">
        <v>45372</v>
      </c>
      <c r="D201" s="28" t="str">
        <f t="shared" si="27"/>
        <v>Mar 2024</v>
      </c>
      <c r="E201" s="9">
        <v>45402</v>
      </c>
      <c r="F201" t="s">
        <v>814</v>
      </c>
      <c r="G201">
        <v>1570.71</v>
      </c>
      <c r="H201" t="s">
        <v>821</v>
      </c>
      <c r="I201" s="15">
        <f t="shared" si="28"/>
        <v>1570.71</v>
      </c>
      <c r="J201" s="18">
        <f t="shared" si="29"/>
        <v>0</v>
      </c>
      <c r="K201" s="9">
        <v>45402</v>
      </c>
      <c r="L201" s="54">
        <f t="shared" si="30"/>
        <v>30</v>
      </c>
      <c r="M201" s="9" t="str">
        <f t="shared" si="31"/>
        <v>2024-Apr</v>
      </c>
      <c r="N201" t="s">
        <v>822</v>
      </c>
      <c r="O201" s="17">
        <f t="shared" si="32"/>
        <v>45868</v>
      </c>
      <c r="P201" s="25">
        <f t="shared" si="33"/>
        <v>0</v>
      </c>
      <c r="Q201" t="str">
        <f t="shared" si="34"/>
        <v>Paid</v>
      </c>
      <c r="R201" t="str">
        <f t="shared" si="35"/>
        <v>Not Due</v>
      </c>
    </row>
    <row r="202" spans="1:18" x14ac:dyDescent="0.35">
      <c r="A202" t="s">
        <v>209</v>
      </c>
      <c r="B202" t="s">
        <v>812</v>
      </c>
      <c r="C202" s="9">
        <v>45837</v>
      </c>
      <c r="D202" s="28" t="str">
        <f t="shared" si="27"/>
        <v>Jun 2025</v>
      </c>
      <c r="E202" s="9">
        <v>45867</v>
      </c>
      <c r="F202" t="s">
        <v>816</v>
      </c>
      <c r="G202">
        <v>5942.74</v>
      </c>
      <c r="H202" t="s">
        <v>819</v>
      </c>
      <c r="I202" s="15">
        <f t="shared" si="28"/>
        <v>0</v>
      </c>
      <c r="J202" s="18">
        <f t="shared" si="29"/>
        <v>5942.74</v>
      </c>
      <c r="L202" s="54" t="str">
        <f t="shared" si="30"/>
        <v/>
      </c>
      <c r="M202" s="9" t="str">
        <f t="shared" si="31"/>
        <v/>
      </c>
      <c r="N202" t="s">
        <v>822</v>
      </c>
      <c r="O202" s="17">
        <f t="shared" si="32"/>
        <v>45868</v>
      </c>
      <c r="P202" s="25">
        <f t="shared" si="33"/>
        <v>1</v>
      </c>
      <c r="Q202" t="str">
        <f t="shared" si="34"/>
        <v>1-30</v>
      </c>
      <c r="R202" t="str">
        <f t="shared" si="35"/>
        <v>Due</v>
      </c>
    </row>
    <row r="203" spans="1:18" x14ac:dyDescent="0.35">
      <c r="A203" t="s">
        <v>210</v>
      </c>
      <c r="B203" t="s">
        <v>812</v>
      </c>
      <c r="C203" s="9">
        <v>45232</v>
      </c>
      <c r="D203" s="28" t="str">
        <f t="shared" si="27"/>
        <v>Nov 2023</v>
      </c>
      <c r="E203" s="9">
        <v>45262</v>
      </c>
      <c r="F203" t="s">
        <v>817</v>
      </c>
      <c r="G203">
        <v>3414.97</v>
      </c>
      <c r="H203" t="s">
        <v>821</v>
      </c>
      <c r="I203" s="15">
        <f t="shared" si="28"/>
        <v>3414.97</v>
      </c>
      <c r="J203" s="18">
        <f t="shared" si="29"/>
        <v>0</v>
      </c>
      <c r="K203" s="9">
        <v>45262</v>
      </c>
      <c r="L203" s="54">
        <f t="shared" si="30"/>
        <v>30</v>
      </c>
      <c r="M203" s="9" t="str">
        <f t="shared" si="31"/>
        <v>2023-Dec</v>
      </c>
      <c r="N203" t="s">
        <v>822</v>
      </c>
      <c r="O203" s="17">
        <f t="shared" si="32"/>
        <v>45868</v>
      </c>
      <c r="P203" s="25">
        <f t="shared" si="33"/>
        <v>0</v>
      </c>
      <c r="Q203" t="str">
        <f t="shared" si="34"/>
        <v>Paid</v>
      </c>
      <c r="R203" t="str">
        <f t="shared" si="35"/>
        <v>Not Due</v>
      </c>
    </row>
    <row r="204" spans="1:18" x14ac:dyDescent="0.35">
      <c r="A204" t="s">
        <v>211</v>
      </c>
      <c r="B204" t="s">
        <v>812</v>
      </c>
      <c r="C204" s="9">
        <v>45665</v>
      </c>
      <c r="D204" s="28" t="str">
        <f t="shared" si="27"/>
        <v>Jan 2025</v>
      </c>
      <c r="E204" s="9">
        <v>45695</v>
      </c>
      <c r="F204" t="s">
        <v>815</v>
      </c>
      <c r="G204">
        <v>1188.79</v>
      </c>
      <c r="H204" t="s">
        <v>821</v>
      </c>
      <c r="I204" s="15">
        <f t="shared" si="28"/>
        <v>1188.79</v>
      </c>
      <c r="J204" s="18">
        <f t="shared" si="29"/>
        <v>0</v>
      </c>
      <c r="K204" s="9">
        <v>45695</v>
      </c>
      <c r="L204" s="54">
        <f t="shared" si="30"/>
        <v>30</v>
      </c>
      <c r="M204" s="9" t="str">
        <f t="shared" si="31"/>
        <v>2025-Feb</v>
      </c>
      <c r="N204" t="s">
        <v>822</v>
      </c>
      <c r="O204" s="17">
        <f t="shared" si="32"/>
        <v>45868</v>
      </c>
      <c r="P204" s="25">
        <f t="shared" si="33"/>
        <v>0</v>
      </c>
      <c r="Q204" t="str">
        <f t="shared" si="34"/>
        <v>Paid</v>
      </c>
      <c r="R204" t="str">
        <f t="shared" si="35"/>
        <v>Not Due</v>
      </c>
    </row>
    <row r="205" spans="1:18" x14ac:dyDescent="0.35">
      <c r="A205" t="s">
        <v>212</v>
      </c>
      <c r="B205" t="s">
        <v>810</v>
      </c>
      <c r="C205" s="9">
        <v>45727</v>
      </c>
      <c r="D205" s="28" t="str">
        <f t="shared" si="27"/>
        <v>Mar 2025</v>
      </c>
      <c r="E205" s="9">
        <v>45757</v>
      </c>
      <c r="F205" t="s">
        <v>814</v>
      </c>
      <c r="G205">
        <v>3130.93</v>
      </c>
      <c r="H205" t="s">
        <v>819</v>
      </c>
      <c r="I205" s="15">
        <f t="shared" si="28"/>
        <v>0</v>
      </c>
      <c r="J205" s="18">
        <f t="shared" si="29"/>
        <v>3130.93</v>
      </c>
      <c r="L205" s="54" t="str">
        <f t="shared" si="30"/>
        <v/>
      </c>
      <c r="M205" s="9" t="str">
        <f t="shared" si="31"/>
        <v/>
      </c>
      <c r="N205" t="s">
        <v>822</v>
      </c>
      <c r="O205" s="17">
        <f t="shared" si="32"/>
        <v>45868</v>
      </c>
      <c r="P205" s="25">
        <f t="shared" si="33"/>
        <v>111</v>
      </c>
      <c r="Q205" t="str">
        <f t="shared" si="34"/>
        <v>90+</v>
      </c>
      <c r="R205" t="str">
        <f t="shared" si="35"/>
        <v>Due</v>
      </c>
    </row>
    <row r="206" spans="1:18" x14ac:dyDescent="0.35">
      <c r="A206" t="s">
        <v>213</v>
      </c>
      <c r="B206" t="s">
        <v>811</v>
      </c>
      <c r="C206" s="9">
        <v>44933</v>
      </c>
      <c r="D206" s="28" t="str">
        <f t="shared" si="27"/>
        <v>Jan 2023</v>
      </c>
      <c r="E206" s="9">
        <v>44963</v>
      </c>
      <c r="F206" t="s">
        <v>818</v>
      </c>
      <c r="G206">
        <v>1574.05</v>
      </c>
      <c r="H206" t="s">
        <v>820</v>
      </c>
      <c r="I206" s="15">
        <f t="shared" si="28"/>
        <v>0</v>
      </c>
      <c r="J206" s="18" t="str">
        <f t="shared" si="29"/>
        <v>N/A</v>
      </c>
      <c r="L206" s="54" t="str">
        <f t="shared" si="30"/>
        <v/>
      </c>
      <c r="M206" s="9" t="str">
        <f t="shared" si="31"/>
        <v/>
      </c>
      <c r="N206" t="s">
        <v>822</v>
      </c>
      <c r="O206" s="17">
        <f t="shared" si="32"/>
        <v>45868</v>
      </c>
      <c r="P206" s="25">
        <f t="shared" si="33"/>
        <v>905</v>
      </c>
      <c r="Q206" t="str">
        <f t="shared" si="34"/>
        <v>90+</v>
      </c>
      <c r="R206" t="str">
        <f t="shared" si="35"/>
        <v>Due</v>
      </c>
    </row>
    <row r="207" spans="1:18" x14ac:dyDescent="0.35">
      <c r="A207" t="s">
        <v>214</v>
      </c>
      <c r="B207" t="s">
        <v>813</v>
      </c>
      <c r="C207" s="9">
        <v>45805</v>
      </c>
      <c r="D207" s="28" t="str">
        <f t="shared" si="27"/>
        <v>May 2025</v>
      </c>
      <c r="E207" s="9">
        <v>45835</v>
      </c>
      <c r="F207" t="s">
        <v>817</v>
      </c>
      <c r="G207">
        <v>3171.13</v>
      </c>
      <c r="H207" t="s">
        <v>821</v>
      </c>
      <c r="I207" s="15">
        <f t="shared" si="28"/>
        <v>3171.13</v>
      </c>
      <c r="J207" s="18">
        <f t="shared" si="29"/>
        <v>0</v>
      </c>
      <c r="K207" s="9">
        <v>45835</v>
      </c>
      <c r="L207" s="54">
        <f t="shared" si="30"/>
        <v>30</v>
      </c>
      <c r="M207" s="9" t="str">
        <f t="shared" si="31"/>
        <v>2025-Jun</v>
      </c>
      <c r="N207" t="s">
        <v>822</v>
      </c>
      <c r="O207" s="17">
        <f t="shared" si="32"/>
        <v>45868</v>
      </c>
      <c r="P207" s="25">
        <f t="shared" si="33"/>
        <v>0</v>
      </c>
      <c r="Q207" t="str">
        <f t="shared" si="34"/>
        <v>Paid</v>
      </c>
      <c r="R207" t="str">
        <f t="shared" si="35"/>
        <v>Not Due</v>
      </c>
    </row>
    <row r="208" spans="1:18" x14ac:dyDescent="0.35">
      <c r="A208" t="s">
        <v>215</v>
      </c>
      <c r="B208" t="s">
        <v>809</v>
      </c>
      <c r="C208" s="9">
        <v>45437</v>
      </c>
      <c r="D208" s="28" t="str">
        <f t="shared" si="27"/>
        <v>May 2024</v>
      </c>
      <c r="E208" s="9">
        <v>45467</v>
      </c>
      <c r="F208" t="s">
        <v>814</v>
      </c>
      <c r="G208">
        <v>2602.98</v>
      </c>
      <c r="H208" t="s">
        <v>821</v>
      </c>
      <c r="I208" s="15">
        <f t="shared" si="28"/>
        <v>2602.98</v>
      </c>
      <c r="J208" s="18">
        <f t="shared" si="29"/>
        <v>0</v>
      </c>
      <c r="K208" s="9">
        <v>45467</v>
      </c>
      <c r="L208" s="54">
        <f t="shared" si="30"/>
        <v>30</v>
      </c>
      <c r="M208" s="9" t="str">
        <f t="shared" si="31"/>
        <v>2024-Jun</v>
      </c>
      <c r="N208" t="s">
        <v>822</v>
      </c>
      <c r="O208" s="17">
        <f t="shared" si="32"/>
        <v>45868</v>
      </c>
      <c r="P208" s="25">
        <f t="shared" si="33"/>
        <v>0</v>
      </c>
      <c r="Q208" t="str">
        <f t="shared" si="34"/>
        <v>Paid</v>
      </c>
      <c r="R208" t="str">
        <f t="shared" si="35"/>
        <v>Not Due</v>
      </c>
    </row>
    <row r="209" spans="1:18" x14ac:dyDescent="0.35">
      <c r="A209" t="s">
        <v>216</v>
      </c>
      <c r="B209" t="s">
        <v>809</v>
      </c>
      <c r="C209" s="9">
        <v>45445</v>
      </c>
      <c r="D209" s="28" t="str">
        <f t="shared" si="27"/>
        <v>Jun 2024</v>
      </c>
      <c r="E209" s="9">
        <v>45475</v>
      </c>
      <c r="F209" t="s">
        <v>817</v>
      </c>
      <c r="G209">
        <v>4392.95</v>
      </c>
      <c r="H209" t="s">
        <v>821</v>
      </c>
      <c r="I209" s="15">
        <f t="shared" si="28"/>
        <v>4392.95</v>
      </c>
      <c r="J209" s="18">
        <f t="shared" si="29"/>
        <v>0</v>
      </c>
      <c r="K209" s="9">
        <v>45475</v>
      </c>
      <c r="L209" s="54">
        <f t="shared" si="30"/>
        <v>30</v>
      </c>
      <c r="M209" s="9" t="str">
        <f t="shared" si="31"/>
        <v>2024-Jul</v>
      </c>
      <c r="N209" t="s">
        <v>822</v>
      </c>
      <c r="O209" s="17">
        <f t="shared" si="32"/>
        <v>45868</v>
      </c>
      <c r="P209" s="25">
        <f t="shared" si="33"/>
        <v>0</v>
      </c>
      <c r="Q209" t="str">
        <f t="shared" si="34"/>
        <v>Paid</v>
      </c>
      <c r="R209" t="str">
        <f t="shared" si="35"/>
        <v>Not Due</v>
      </c>
    </row>
    <row r="210" spans="1:18" x14ac:dyDescent="0.35">
      <c r="A210" t="s">
        <v>217</v>
      </c>
      <c r="B210" t="s">
        <v>812</v>
      </c>
      <c r="C210" s="9">
        <v>45204</v>
      </c>
      <c r="D210" s="28" t="str">
        <f t="shared" si="27"/>
        <v>Oct 2023</v>
      </c>
      <c r="E210" s="9">
        <v>45234</v>
      </c>
      <c r="F210" t="s">
        <v>814</v>
      </c>
      <c r="G210">
        <v>890.81</v>
      </c>
      <c r="H210" t="s">
        <v>821</v>
      </c>
      <c r="I210" s="15">
        <f t="shared" si="28"/>
        <v>890.81</v>
      </c>
      <c r="J210" s="18">
        <f t="shared" si="29"/>
        <v>0</v>
      </c>
      <c r="K210" s="9">
        <v>45234</v>
      </c>
      <c r="L210" s="54">
        <f t="shared" si="30"/>
        <v>30</v>
      </c>
      <c r="M210" s="9" t="str">
        <f t="shared" si="31"/>
        <v>2023-Nov</v>
      </c>
      <c r="N210" t="s">
        <v>822</v>
      </c>
      <c r="O210" s="17">
        <f t="shared" si="32"/>
        <v>45868</v>
      </c>
      <c r="P210" s="25">
        <f t="shared" si="33"/>
        <v>0</v>
      </c>
      <c r="Q210" t="str">
        <f t="shared" si="34"/>
        <v>Paid</v>
      </c>
      <c r="R210" t="str">
        <f t="shared" si="35"/>
        <v>Not Due</v>
      </c>
    </row>
    <row r="211" spans="1:18" x14ac:dyDescent="0.35">
      <c r="A211" t="s">
        <v>218</v>
      </c>
      <c r="B211" t="s">
        <v>809</v>
      </c>
      <c r="C211" s="9">
        <v>45392</v>
      </c>
      <c r="D211" s="28" t="str">
        <f t="shared" si="27"/>
        <v>Apr 2024</v>
      </c>
      <c r="E211" s="9">
        <v>45422</v>
      </c>
      <c r="F211" t="s">
        <v>817</v>
      </c>
      <c r="G211">
        <v>4435.17</v>
      </c>
      <c r="H211" t="s">
        <v>819</v>
      </c>
      <c r="I211" s="15">
        <f t="shared" si="28"/>
        <v>0</v>
      </c>
      <c r="J211" s="18">
        <f t="shared" si="29"/>
        <v>4435.17</v>
      </c>
      <c r="L211" s="54" t="str">
        <f t="shared" si="30"/>
        <v/>
      </c>
      <c r="M211" s="9" t="str">
        <f t="shared" si="31"/>
        <v/>
      </c>
      <c r="N211" t="s">
        <v>822</v>
      </c>
      <c r="O211" s="17">
        <f t="shared" si="32"/>
        <v>45868</v>
      </c>
      <c r="P211" s="25">
        <f t="shared" si="33"/>
        <v>446</v>
      </c>
      <c r="Q211" t="str">
        <f t="shared" si="34"/>
        <v>90+</v>
      </c>
      <c r="R211" t="str">
        <f t="shared" si="35"/>
        <v>Due</v>
      </c>
    </row>
    <row r="212" spans="1:18" x14ac:dyDescent="0.35">
      <c r="A212" t="s">
        <v>219</v>
      </c>
      <c r="B212" t="s">
        <v>809</v>
      </c>
      <c r="C212" s="9">
        <v>44948</v>
      </c>
      <c r="D212" s="28" t="str">
        <f t="shared" si="27"/>
        <v>Jan 2023</v>
      </c>
      <c r="E212" s="9">
        <v>44978</v>
      </c>
      <c r="F212" t="s">
        <v>815</v>
      </c>
      <c r="G212">
        <v>1896.59</v>
      </c>
      <c r="H212" t="s">
        <v>819</v>
      </c>
      <c r="I212" s="15">
        <f t="shared" si="28"/>
        <v>0</v>
      </c>
      <c r="J212" s="18">
        <f t="shared" si="29"/>
        <v>1896.59</v>
      </c>
      <c r="L212" s="54" t="str">
        <f t="shared" si="30"/>
        <v/>
      </c>
      <c r="M212" s="9" t="str">
        <f t="shared" si="31"/>
        <v/>
      </c>
      <c r="N212" t="s">
        <v>822</v>
      </c>
      <c r="O212" s="17">
        <f t="shared" si="32"/>
        <v>45868</v>
      </c>
      <c r="P212" s="25">
        <f t="shared" si="33"/>
        <v>890</v>
      </c>
      <c r="Q212" t="str">
        <f t="shared" si="34"/>
        <v>90+</v>
      </c>
      <c r="R212" t="str">
        <f t="shared" si="35"/>
        <v>Due</v>
      </c>
    </row>
    <row r="213" spans="1:18" x14ac:dyDescent="0.35">
      <c r="A213" t="s">
        <v>220</v>
      </c>
      <c r="B213" t="s">
        <v>809</v>
      </c>
      <c r="C213" s="9">
        <v>45460</v>
      </c>
      <c r="D213" s="28" t="str">
        <f t="shared" si="27"/>
        <v>Jun 2024</v>
      </c>
      <c r="E213" s="9">
        <v>45490</v>
      </c>
      <c r="F213" t="s">
        <v>817</v>
      </c>
      <c r="G213">
        <v>4803.24</v>
      </c>
      <c r="H213" t="s">
        <v>820</v>
      </c>
      <c r="I213" s="15">
        <f t="shared" si="28"/>
        <v>0</v>
      </c>
      <c r="J213" s="18" t="str">
        <f t="shared" si="29"/>
        <v>N/A</v>
      </c>
      <c r="L213" s="54" t="str">
        <f t="shared" si="30"/>
        <v/>
      </c>
      <c r="M213" s="9" t="str">
        <f t="shared" si="31"/>
        <v/>
      </c>
      <c r="N213" t="s">
        <v>822</v>
      </c>
      <c r="O213" s="17">
        <f t="shared" si="32"/>
        <v>45868</v>
      </c>
      <c r="P213" s="25">
        <f t="shared" si="33"/>
        <v>378</v>
      </c>
      <c r="Q213" t="str">
        <f t="shared" si="34"/>
        <v>90+</v>
      </c>
      <c r="R213" t="str">
        <f t="shared" si="35"/>
        <v>Due</v>
      </c>
    </row>
    <row r="214" spans="1:18" x14ac:dyDescent="0.35">
      <c r="A214" t="s">
        <v>221</v>
      </c>
      <c r="B214" t="s">
        <v>810</v>
      </c>
      <c r="C214" s="9">
        <v>45496</v>
      </c>
      <c r="D214" s="28" t="str">
        <f t="shared" si="27"/>
        <v>Jul 2024</v>
      </c>
      <c r="E214" s="9">
        <v>45526</v>
      </c>
      <c r="F214" t="s">
        <v>817</v>
      </c>
      <c r="G214">
        <v>3007.22</v>
      </c>
      <c r="H214" t="s">
        <v>821</v>
      </c>
      <c r="I214" s="15">
        <f t="shared" si="28"/>
        <v>3007.22</v>
      </c>
      <c r="J214" s="18">
        <f t="shared" si="29"/>
        <v>0</v>
      </c>
      <c r="K214" s="9">
        <v>45526</v>
      </c>
      <c r="L214" s="54">
        <f t="shared" si="30"/>
        <v>30</v>
      </c>
      <c r="M214" s="9" t="str">
        <f t="shared" si="31"/>
        <v>2024-Aug</v>
      </c>
      <c r="N214" t="s">
        <v>822</v>
      </c>
      <c r="O214" s="17">
        <f t="shared" si="32"/>
        <v>45868</v>
      </c>
      <c r="P214" s="25">
        <f t="shared" si="33"/>
        <v>0</v>
      </c>
      <c r="Q214" t="str">
        <f t="shared" si="34"/>
        <v>Paid</v>
      </c>
      <c r="R214" t="str">
        <f t="shared" si="35"/>
        <v>Not Due</v>
      </c>
    </row>
    <row r="215" spans="1:18" x14ac:dyDescent="0.35">
      <c r="A215" t="s">
        <v>222</v>
      </c>
      <c r="B215" t="s">
        <v>809</v>
      </c>
      <c r="C215" s="9">
        <v>45704</v>
      </c>
      <c r="D215" s="28" t="str">
        <f t="shared" si="27"/>
        <v>Feb 2025</v>
      </c>
      <c r="E215" s="9">
        <v>45734</v>
      </c>
      <c r="F215" t="s">
        <v>815</v>
      </c>
      <c r="G215">
        <v>3559.28</v>
      </c>
      <c r="H215" t="s">
        <v>819</v>
      </c>
      <c r="I215" s="15">
        <f t="shared" si="28"/>
        <v>0</v>
      </c>
      <c r="J215" s="18">
        <f t="shared" si="29"/>
        <v>3559.28</v>
      </c>
      <c r="L215" s="54" t="str">
        <f t="shared" si="30"/>
        <v/>
      </c>
      <c r="M215" s="9" t="str">
        <f t="shared" si="31"/>
        <v/>
      </c>
      <c r="N215" t="s">
        <v>822</v>
      </c>
      <c r="O215" s="17">
        <f t="shared" si="32"/>
        <v>45868</v>
      </c>
      <c r="P215" s="25">
        <f t="shared" si="33"/>
        <v>134</v>
      </c>
      <c r="Q215" t="str">
        <f t="shared" si="34"/>
        <v>90+</v>
      </c>
      <c r="R215" t="str">
        <f t="shared" si="35"/>
        <v>Due</v>
      </c>
    </row>
    <row r="216" spans="1:18" x14ac:dyDescent="0.35">
      <c r="A216" t="s">
        <v>223</v>
      </c>
      <c r="B216" t="s">
        <v>810</v>
      </c>
      <c r="C216" s="9">
        <v>45449</v>
      </c>
      <c r="D216" s="28" t="str">
        <f t="shared" si="27"/>
        <v>Jun 2024</v>
      </c>
      <c r="E216" s="9">
        <v>45479</v>
      </c>
      <c r="F216" t="s">
        <v>814</v>
      </c>
      <c r="G216">
        <v>1788.75</v>
      </c>
      <c r="H216" t="s">
        <v>820</v>
      </c>
      <c r="I216" s="15">
        <f t="shared" si="28"/>
        <v>0</v>
      </c>
      <c r="J216" s="18" t="str">
        <f t="shared" si="29"/>
        <v>N/A</v>
      </c>
      <c r="L216" s="54" t="str">
        <f t="shared" si="30"/>
        <v/>
      </c>
      <c r="M216" s="9" t="str">
        <f t="shared" si="31"/>
        <v/>
      </c>
      <c r="N216" t="s">
        <v>822</v>
      </c>
      <c r="O216" s="17">
        <f t="shared" si="32"/>
        <v>45868</v>
      </c>
      <c r="P216" s="25">
        <f t="shared" si="33"/>
        <v>389</v>
      </c>
      <c r="Q216" t="str">
        <f t="shared" si="34"/>
        <v>90+</v>
      </c>
      <c r="R216" t="str">
        <f t="shared" si="35"/>
        <v>Due</v>
      </c>
    </row>
    <row r="217" spans="1:18" x14ac:dyDescent="0.35">
      <c r="A217" t="s">
        <v>224</v>
      </c>
      <c r="B217" t="s">
        <v>810</v>
      </c>
      <c r="C217" s="9">
        <v>45491</v>
      </c>
      <c r="D217" s="28" t="str">
        <f t="shared" si="27"/>
        <v>Jul 2024</v>
      </c>
      <c r="E217" s="9">
        <v>45521</v>
      </c>
      <c r="F217" t="s">
        <v>816</v>
      </c>
      <c r="G217">
        <v>4047.47</v>
      </c>
      <c r="H217" t="s">
        <v>820</v>
      </c>
      <c r="I217" s="15">
        <f t="shared" si="28"/>
        <v>0</v>
      </c>
      <c r="J217" s="18" t="str">
        <f t="shared" si="29"/>
        <v>N/A</v>
      </c>
      <c r="L217" s="54" t="str">
        <f t="shared" si="30"/>
        <v/>
      </c>
      <c r="M217" s="9" t="str">
        <f t="shared" si="31"/>
        <v/>
      </c>
      <c r="N217" t="s">
        <v>822</v>
      </c>
      <c r="O217" s="17">
        <f t="shared" si="32"/>
        <v>45868</v>
      </c>
      <c r="P217" s="25">
        <f t="shared" si="33"/>
        <v>347</v>
      </c>
      <c r="Q217" t="str">
        <f t="shared" si="34"/>
        <v>90+</v>
      </c>
      <c r="R217" t="str">
        <f t="shared" si="35"/>
        <v>Due</v>
      </c>
    </row>
    <row r="218" spans="1:18" x14ac:dyDescent="0.35">
      <c r="A218" t="s">
        <v>225</v>
      </c>
      <c r="B218" t="s">
        <v>812</v>
      </c>
      <c r="C218" s="9">
        <v>45326</v>
      </c>
      <c r="D218" s="28" t="str">
        <f t="shared" si="27"/>
        <v>Feb 2024</v>
      </c>
      <c r="E218" s="9">
        <v>45356</v>
      </c>
      <c r="F218" t="s">
        <v>816</v>
      </c>
      <c r="G218">
        <v>1243.53</v>
      </c>
      <c r="H218" t="s">
        <v>821</v>
      </c>
      <c r="I218" s="15">
        <f t="shared" si="28"/>
        <v>1243.53</v>
      </c>
      <c r="J218" s="18">
        <f t="shared" si="29"/>
        <v>0</v>
      </c>
      <c r="K218" s="9">
        <v>45356</v>
      </c>
      <c r="L218" s="54">
        <f t="shared" si="30"/>
        <v>30</v>
      </c>
      <c r="M218" s="9" t="str">
        <f t="shared" si="31"/>
        <v>2024-Mar</v>
      </c>
      <c r="N218" t="s">
        <v>822</v>
      </c>
      <c r="O218" s="17">
        <f t="shared" si="32"/>
        <v>45868</v>
      </c>
      <c r="P218" s="25">
        <f t="shared" si="33"/>
        <v>0</v>
      </c>
      <c r="Q218" t="str">
        <f t="shared" si="34"/>
        <v>Paid</v>
      </c>
      <c r="R218" t="str">
        <f t="shared" si="35"/>
        <v>Not Due</v>
      </c>
    </row>
    <row r="219" spans="1:18" x14ac:dyDescent="0.35">
      <c r="A219" t="s">
        <v>226</v>
      </c>
      <c r="B219" t="s">
        <v>810</v>
      </c>
      <c r="C219" s="9">
        <v>45109</v>
      </c>
      <c r="D219" s="28" t="str">
        <f t="shared" si="27"/>
        <v>Jul 2023</v>
      </c>
      <c r="E219" s="9">
        <v>45139</v>
      </c>
      <c r="F219" t="s">
        <v>816</v>
      </c>
      <c r="G219">
        <v>4332.5600000000004</v>
      </c>
      <c r="H219" t="s">
        <v>820</v>
      </c>
      <c r="I219" s="15">
        <f t="shared" si="28"/>
        <v>0</v>
      </c>
      <c r="J219" s="18" t="str">
        <f t="shared" si="29"/>
        <v>N/A</v>
      </c>
      <c r="L219" s="54" t="str">
        <f t="shared" si="30"/>
        <v/>
      </c>
      <c r="M219" s="9" t="str">
        <f t="shared" si="31"/>
        <v/>
      </c>
      <c r="N219" t="s">
        <v>822</v>
      </c>
      <c r="O219" s="17">
        <f t="shared" si="32"/>
        <v>45868</v>
      </c>
      <c r="P219" s="25">
        <f t="shared" si="33"/>
        <v>729</v>
      </c>
      <c r="Q219" t="str">
        <f t="shared" si="34"/>
        <v>90+</v>
      </c>
      <c r="R219" t="str">
        <f t="shared" si="35"/>
        <v>Due</v>
      </c>
    </row>
    <row r="220" spans="1:18" x14ac:dyDescent="0.35">
      <c r="A220" t="s">
        <v>227</v>
      </c>
      <c r="B220" t="s">
        <v>811</v>
      </c>
      <c r="C220" s="9">
        <v>45432</v>
      </c>
      <c r="D220" s="28" t="str">
        <f t="shared" si="27"/>
        <v>May 2024</v>
      </c>
      <c r="E220" s="9">
        <v>45462</v>
      </c>
      <c r="F220" t="s">
        <v>817</v>
      </c>
      <c r="G220">
        <v>2307.79</v>
      </c>
      <c r="H220" t="s">
        <v>820</v>
      </c>
      <c r="I220" s="15">
        <f t="shared" si="28"/>
        <v>0</v>
      </c>
      <c r="J220" s="18" t="str">
        <f t="shared" si="29"/>
        <v>N/A</v>
      </c>
      <c r="L220" s="54" t="str">
        <f t="shared" si="30"/>
        <v/>
      </c>
      <c r="M220" s="9" t="str">
        <f t="shared" si="31"/>
        <v/>
      </c>
      <c r="N220" t="s">
        <v>822</v>
      </c>
      <c r="O220" s="17">
        <f t="shared" si="32"/>
        <v>45868</v>
      </c>
      <c r="P220" s="25">
        <f t="shared" si="33"/>
        <v>406</v>
      </c>
      <c r="Q220" t="str">
        <f t="shared" si="34"/>
        <v>90+</v>
      </c>
      <c r="R220" t="str">
        <f t="shared" si="35"/>
        <v>Due</v>
      </c>
    </row>
    <row r="221" spans="1:18" x14ac:dyDescent="0.35">
      <c r="A221" t="s">
        <v>228</v>
      </c>
      <c r="B221" t="s">
        <v>811</v>
      </c>
      <c r="C221" s="9">
        <v>45251</v>
      </c>
      <c r="D221" s="28" t="str">
        <f t="shared" si="27"/>
        <v>Nov 2023</v>
      </c>
      <c r="E221" s="9">
        <v>45281</v>
      </c>
      <c r="F221" t="s">
        <v>814</v>
      </c>
      <c r="G221">
        <v>3381.08</v>
      </c>
      <c r="H221" t="s">
        <v>820</v>
      </c>
      <c r="I221" s="15">
        <f t="shared" si="28"/>
        <v>0</v>
      </c>
      <c r="J221" s="18" t="str">
        <f t="shared" si="29"/>
        <v>N/A</v>
      </c>
      <c r="L221" s="54" t="str">
        <f t="shared" si="30"/>
        <v/>
      </c>
      <c r="M221" s="9" t="str">
        <f t="shared" si="31"/>
        <v/>
      </c>
      <c r="N221" t="s">
        <v>822</v>
      </c>
      <c r="O221" s="17">
        <f t="shared" si="32"/>
        <v>45868</v>
      </c>
      <c r="P221" s="25">
        <f t="shared" si="33"/>
        <v>587</v>
      </c>
      <c r="Q221" t="str">
        <f t="shared" si="34"/>
        <v>90+</v>
      </c>
      <c r="R221" t="str">
        <f t="shared" si="35"/>
        <v>Due</v>
      </c>
    </row>
    <row r="222" spans="1:18" x14ac:dyDescent="0.35">
      <c r="A222" t="s">
        <v>229</v>
      </c>
      <c r="B222" t="s">
        <v>811</v>
      </c>
      <c r="C222" s="9">
        <v>45432</v>
      </c>
      <c r="D222" s="28" t="str">
        <f t="shared" si="27"/>
        <v>May 2024</v>
      </c>
      <c r="E222" s="9">
        <v>45462</v>
      </c>
      <c r="F222" t="s">
        <v>817</v>
      </c>
      <c r="G222">
        <v>2565.02</v>
      </c>
      <c r="H222" t="s">
        <v>820</v>
      </c>
      <c r="I222" s="15">
        <f t="shared" si="28"/>
        <v>0</v>
      </c>
      <c r="J222" s="18" t="str">
        <f t="shared" si="29"/>
        <v>N/A</v>
      </c>
      <c r="L222" s="54" t="str">
        <f t="shared" si="30"/>
        <v/>
      </c>
      <c r="M222" s="9" t="str">
        <f t="shared" si="31"/>
        <v/>
      </c>
      <c r="N222" t="s">
        <v>822</v>
      </c>
      <c r="O222" s="17">
        <f t="shared" si="32"/>
        <v>45868</v>
      </c>
      <c r="P222" s="25">
        <f t="shared" si="33"/>
        <v>406</v>
      </c>
      <c r="Q222" t="str">
        <f t="shared" si="34"/>
        <v>90+</v>
      </c>
      <c r="R222" t="str">
        <f t="shared" si="35"/>
        <v>Due</v>
      </c>
    </row>
    <row r="223" spans="1:18" x14ac:dyDescent="0.35">
      <c r="A223" t="s">
        <v>230</v>
      </c>
      <c r="B223" t="s">
        <v>810</v>
      </c>
      <c r="C223" s="9">
        <v>45790</v>
      </c>
      <c r="D223" s="28" t="str">
        <f t="shared" si="27"/>
        <v>May 2025</v>
      </c>
      <c r="E223" s="9">
        <v>45820</v>
      </c>
      <c r="F223" t="s">
        <v>817</v>
      </c>
      <c r="G223">
        <v>2121.21</v>
      </c>
      <c r="H223" t="s">
        <v>819</v>
      </c>
      <c r="I223" s="15">
        <f t="shared" si="28"/>
        <v>0</v>
      </c>
      <c r="J223" s="18">
        <f t="shared" si="29"/>
        <v>2121.21</v>
      </c>
      <c r="L223" s="54" t="str">
        <f t="shared" si="30"/>
        <v/>
      </c>
      <c r="M223" s="9" t="str">
        <f t="shared" si="31"/>
        <v/>
      </c>
      <c r="N223" t="s">
        <v>822</v>
      </c>
      <c r="O223" s="17">
        <f t="shared" si="32"/>
        <v>45868</v>
      </c>
      <c r="P223" s="25">
        <f t="shared" si="33"/>
        <v>48</v>
      </c>
      <c r="Q223" t="str">
        <f t="shared" si="34"/>
        <v>31-60</v>
      </c>
      <c r="R223" t="str">
        <f t="shared" si="35"/>
        <v>Due</v>
      </c>
    </row>
    <row r="224" spans="1:18" x14ac:dyDescent="0.35">
      <c r="A224" t="s">
        <v>231</v>
      </c>
      <c r="B224" t="s">
        <v>810</v>
      </c>
      <c r="C224" s="9">
        <v>45748</v>
      </c>
      <c r="D224" s="28" t="str">
        <f t="shared" si="27"/>
        <v>Apr 2025</v>
      </c>
      <c r="E224" s="9">
        <v>45778</v>
      </c>
      <c r="F224" t="s">
        <v>814</v>
      </c>
      <c r="G224">
        <v>1483.33</v>
      </c>
      <c r="H224" t="s">
        <v>819</v>
      </c>
      <c r="I224" s="15">
        <f t="shared" si="28"/>
        <v>0</v>
      </c>
      <c r="J224" s="18">
        <f t="shared" si="29"/>
        <v>1483.33</v>
      </c>
      <c r="L224" s="54" t="str">
        <f t="shared" si="30"/>
        <v/>
      </c>
      <c r="M224" s="9" t="str">
        <f t="shared" si="31"/>
        <v/>
      </c>
      <c r="N224" t="s">
        <v>822</v>
      </c>
      <c r="O224" s="17">
        <f t="shared" si="32"/>
        <v>45868</v>
      </c>
      <c r="P224" s="25">
        <f t="shared" si="33"/>
        <v>90</v>
      </c>
      <c r="Q224" t="str">
        <f t="shared" si="34"/>
        <v>61-90</v>
      </c>
      <c r="R224" t="str">
        <f t="shared" si="35"/>
        <v>Due</v>
      </c>
    </row>
    <row r="225" spans="1:18" x14ac:dyDescent="0.35">
      <c r="A225" t="s">
        <v>232</v>
      </c>
      <c r="B225" t="s">
        <v>810</v>
      </c>
      <c r="C225" s="9">
        <v>45711</v>
      </c>
      <c r="D225" s="28" t="str">
        <f t="shared" si="27"/>
        <v>Feb 2025</v>
      </c>
      <c r="E225" s="9">
        <v>45741</v>
      </c>
      <c r="F225" t="s">
        <v>818</v>
      </c>
      <c r="G225">
        <v>2861.17</v>
      </c>
      <c r="H225" t="s">
        <v>819</v>
      </c>
      <c r="I225" s="15">
        <f t="shared" si="28"/>
        <v>0</v>
      </c>
      <c r="J225" s="18">
        <f t="shared" si="29"/>
        <v>2861.17</v>
      </c>
      <c r="L225" s="54" t="str">
        <f t="shared" si="30"/>
        <v/>
      </c>
      <c r="M225" s="9" t="str">
        <f t="shared" si="31"/>
        <v/>
      </c>
      <c r="N225" t="s">
        <v>822</v>
      </c>
      <c r="O225" s="17">
        <f t="shared" si="32"/>
        <v>45868</v>
      </c>
      <c r="P225" s="25">
        <f t="shared" si="33"/>
        <v>127</v>
      </c>
      <c r="Q225" t="str">
        <f t="shared" si="34"/>
        <v>90+</v>
      </c>
      <c r="R225" t="str">
        <f t="shared" si="35"/>
        <v>Due</v>
      </c>
    </row>
    <row r="226" spans="1:18" x14ac:dyDescent="0.35">
      <c r="A226" t="s">
        <v>233</v>
      </c>
      <c r="B226" t="s">
        <v>809</v>
      </c>
      <c r="C226" s="9">
        <v>45588</v>
      </c>
      <c r="D226" s="28" t="str">
        <f t="shared" si="27"/>
        <v>Oct 2024</v>
      </c>
      <c r="E226" s="9">
        <v>45618</v>
      </c>
      <c r="F226" t="s">
        <v>818</v>
      </c>
      <c r="G226">
        <v>1742.71</v>
      </c>
      <c r="H226" t="s">
        <v>819</v>
      </c>
      <c r="I226" s="15">
        <f t="shared" si="28"/>
        <v>0</v>
      </c>
      <c r="J226" s="18">
        <f t="shared" si="29"/>
        <v>1742.71</v>
      </c>
      <c r="L226" s="54" t="str">
        <f t="shared" si="30"/>
        <v/>
      </c>
      <c r="M226" s="9" t="str">
        <f t="shared" si="31"/>
        <v/>
      </c>
      <c r="N226" t="s">
        <v>822</v>
      </c>
      <c r="O226" s="17">
        <f t="shared" si="32"/>
        <v>45868</v>
      </c>
      <c r="P226" s="25">
        <f t="shared" si="33"/>
        <v>250</v>
      </c>
      <c r="Q226" t="str">
        <f t="shared" si="34"/>
        <v>90+</v>
      </c>
      <c r="R226" t="str">
        <f t="shared" si="35"/>
        <v>Due</v>
      </c>
    </row>
    <row r="227" spans="1:18" x14ac:dyDescent="0.35">
      <c r="A227" t="s">
        <v>234</v>
      </c>
      <c r="B227" t="s">
        <v>809</v>
      </c>
      <c r="C227" s="9">
        <v>45688</v>
      </c>
      <c r="D227" s="28" t="str">
        <f t="shared" si="27"/>
        <v>Jan 2025</v>
      </c>
      <c r="E227" s="9">
        <v>45718</v>
      </c>
      <c r="F227" t="s">
        <v>814</v>
      </c>
      <c r="G227">
        <v>2862.11</v>
      </c>
      <c r="H227" t="s">
        <v>819</v>
      </c>
      <c r="I227" s="15">
        <f t="shared" si="28"/>
        <v>0</v>
      </c>
      <c r="J227" s="18">
        <f t="shared" si="29"/>
        <v>2862.11</v>
      </c>
      <c r="L227" s="54" t="str">
        <f t="shared" si="30"/>
        <v/>
      </c>
      <c r="M227" s="9" t="str">
        <f t="shared" si="31"/>
        <v/>
      </c>
      <c r="N227" t="s">
        <v>822</v>
      </c>
      <c r="O227" s="17">
        <f t="shared" si="32"/>
        <v>45868</v>
      </c>
      <c r="P227" s="25">
        <f t="shared" si="33"/>
        <v>150</v>
      </c>
      <c r="Q227" t="str">
        <f t="shared" si="34"/>
        <v>90+</v>
      </c>
      <c r="R227" t="str">
        <f t="shared" si="35"/>
        <v>Due</v>
      </c>
    </row>
    <row r="228" spans="1:18" x14ac:dyDescent="0.35">
      <c r="A228" t="s">
        <v>235</v>
      </c>
      <c r="B228" t="s">
        <v>809</v>
      </c>
      <c r="C228" s="9">
        <v>45136</v>
      </c>
      <c r="D228" s="28" t="str">
        <f t="shared" si="27"/>
        <v>Jul 2023</v>
      </c>
      <c r="E228" s="9">
        <v>45166</v>
      </c>
      <c r="F228" t="s">
        <v>814</v>
      </c>
      <c r="G228">
        <v>3323.65</v>
      </c>
      <c r="H228" t="s">
        <v>821</v>
      </c>
      <c r="I228" s="15">
        <f t="shared" si="28"/>
        <v>3323.65</v>
      </c>
      <c r="J228" s="18">
        <f t="shared" si="29"/>
        <v>0</v>
      </c>
      <c r="K228" s="9">
        <v>45166</v>
      </c>
      <c r="L228" s="54">
        <f t="shared" si="30"/>
        <v>30</v>
      </c>
      <c r="M228" s="9" t="str">
        <f t="shared" si="31"/>
        <v>2023-Aug</v>
      </c>
      <c r="N228" t="s">
        <v>822</v>
      </c>
      <c r="O228" s="17">
        <f t="shared" si="32"/>
        <v>45868</v>
      </c>
      <c r="P228" s="25">
        <f t="shared" si="33"/>
        <v>0</v>
      </c>
      <c r="Q228" t="str">
        <f t="shared" si="34"/>
        <v>Paid</v>
      </c>
      <c r="R228" t="str">
        <f t="shared" si="35"/>
        <v>Not Due</v>
      </c>
    </row>
    <row r="229" spans="1:18" x14ac:dyDescent="0.35">
      <c r="A229" t="s">
        <v>236</v>
      </c>
      <c r="B229" t="s">
        <v>810</v>
      </c>
      <c r="C229" s="9">
        <v>45319</v>
      </c>
      <c r="D229" s="28" t="str">
        <f t="shared" si="27"/>
        <v>Jan 2024</v>
      </c>
      <c r="E229" s="9">
        <v>45349</v>
      </c>
      <c r="F229" t="s">
        <v>814</v>
      </c>
      <c r="G229">
        <v>3398.83</v>
      </c>
      <c r="H229" t="s">
        <v>819</v>
      </c>
      <c r="I229" s="15">
        <f t="shared" si="28"/>
        <v>0</v>
      </c>
      <c r="J229" s="18">
        <f t="shared" si="29"/>
        <v>3398.83</v>
      </c>
      <c r="L229" s="54" t="str">
        <f t="shared" si="30"/>
        <v/>
      </c>
      <c r="M229" s="9" t="str">
        <f t="shared" si="31"/>
        <v/>
      </c>
      <c r="N229" t="s">
        <v>822</v>
      </c>
      <c r="O229" s="17">
        <f t="shared" si="32"/>
        <v>45868</v>
      </c>
      <c r="P229" s="25">
        <f t="shared" si="33"/>
        <v>519</v>
      </c>
      <c r="Q229" t="str">
        <f t="shared" si="34"/>
        <v>90+</v>
      </c>
      <c r="R229" t="str">
        <f t="shared" si="35"/>
        <v>Due</v>
      </c>
    </row>
    <row r="230" spans="1:18" x14ac:dyDescent="0.35">
      <c r="A230" t="s">
        <v>237</v>
      </c>
      <c r="B230" t="s">
        <v>812</v>
      </c>
      <c r="C230" s="9">
        <v>44997</v>
      </c>
      <c r="D230" s="28" t="str">
        <f t="shared" si="27"/>
        <v>Mar 2023</v>
      </c>
      <c r="E230" s="9">
        <v>45027</v>
      </c>
      <c r="F230" t="s">
        <v>817</v>
      </c>
      <c r="G230">
        <v>328.97</v>
      </c>
      <c r="H230" t="s">
        <v>821</v>
      </c>
      <c r="I230" s="15">
        <f t="shared" si="28"/>
        <v>328.97</v>
      </c>
      <c r="J230" s="18">
        <f t="shared" si="29"/>
        <v>0</v>
      </c>
      <c r="K230" s="9">
        <v>45027</v>
      </c>
      <c r="L230" s="54">
        <f t="shared" si="30"/>
        <v>30</v>
      </c>
      <c r="M230" s="9" t="str">
        <f t="shared" si="31"/>
        <v>2023-Apr</v>
      </c>
      <c r="N230" t="s">
        <v>822</v>
      </c>
      <c r="O230" s="17">
        <f t="shared" si="32"/>
        <v>45868</v>
      </c>
      <c r="P230" s="25">
        <f t="shared" si="33"/>
        <v>0</v>
      </c>
      <c r="Q230" t="str">
        <f t="shared" si="34"/>
        <v>Paid</v>
      </c>
      <c r="R230" t="str">
        <f t="shared" si="35"/>
        <v>Not Due</v>
      </c>
    </row>
    <row r="231" spans="1:18" x14ac:dyDescent="0.35">
      <c r="A231" t="s">
        <v>238</v>
      </c>
      <c r="B231" t="s">
        <v>812</v>
      </c>
      <c r="C231" s="9">
        <v>45523</v>
      </c>
      <c r="D231" s="28" t="str">
        <f t="shared" si="27"/>
        <v>Aug 2024</v>
      </c>
      <c r="E231" s="9">
        <v>45553</v>
      </c>
      <c r="F231" t="s">
        <v>817</v>
      </c>
      <c r="G231">
        <v>1213.71</v>
      </c>
      <c r="H231" t="s">
        <v>819</v>
      </c>
      <c r="I231" s="15">
        <f t="shared" si="28"/>
        <v>0</v>
      </c>
      <c r="J231" s="18">
        <f t="shared" si="29"/>
        <v>1213.71</v>
      </c>
      <c r="L231" s="54" t="str">
        <f t="shared" si="30"/>
        <v/>
      </c>
      <c r="M231" s="9" t="str">
        <f t="shared" si="31"/>
        <v/>
      </c>
      <c r="N231" t="s">
        <v>822</v>
      </c>
      <c r="O231" s="17">
        <f t="shared" si="32"/>
        <v>45868</v>
      </c>
      <c r="P231" s="25">
        <f t="shared" si="33"/>
        <v>315</v>
      </c>
      <c r="Q231" t="str">
        <f t="shared" si="34"/>
        <v>90+</v>
      </c>
      <c r="R231" t="str">
        <f t="shared" si="35"/>
        <v>Due</v>
      </c>
    </row>
    <row r="232" spans="1:18" x14ac:dyDescent="0.35">
      <c r="A232" t="s">
        <v>239</v>
      </c>
      <c r="B232" t="s">
        <v>811</v>
      </c>
      <c r="C232" s="9">
        <v>45772</v>
      </c>
      <c r="D232" s="28" t="str">
        <f t="shared" si="27"/>
        <v>Apr 2025</v>
      </c>
      <c r="E232" s="9">
        <v>45802</v>
      </c>
      <c r="F232" t="s">
        <v>817</v>
      </c>
      <c r="G232">
        <v>454.59</v>
      </c>
      <c r="H232" t="s">
        <v>819</v>
      </c>
      <c r="I232" s="15">
        <f t="shared" si="28"/>
        <v>0</v>
      </c>
      <c r="J232" s="18">
        <f t="shared" si="29"/>
        <v>454.59</v>
      </c>
      <c r="L232" s="54" t="str">
        <f t="shared" si="30"/>
        <v/>
      </c>
      <c r="M232" s="9" t="str">
        <f t="shared" si="31"/>
        <v/>
      </c>
      <c r="N232" t="s">
        <v>822</v>
      </c>
      <c r="O232" s="17">
        <f t="shared" si="32"/>
        <v>45868</v>
      </c>
      <c r="P232" s="25">
        <f t="shared" si="33"/>
        <v>66</v>
      </c>
      <c r="Q232" t="str">
        <f t="shared" si="34"/>
        <v>61-90</v>
      </c>
      <c r="R232" t="str">
        <f t="shared" si="35"/>
        <v>Due</v>
      </c>
    </row>
    <row r="233" spans="1:18" x14ac:dyDescent="0.35">
      <c r="A233" t="s">
        <v>240</v>
      </c>
      <c r="B233" t="s">
        <v>811</v>
      </c>
      <c r="C233" s="9">
        <v>45040</v>
      </c>
      <c r="D233" s="28" t="str">
        <f t="shared" si="27"/>
        <v>Apr 2023</v>
      </c>
      <c r="E233" s="9">
        <v>45070</v>
      </c>
      <c r="F233" t="s">
        <v>815</v>
      </c>
      <c r="G233">
        <v>3088.98</v>
      </c>
      <c r="H233" t="s">
        <v>821</v>
      </c>
      <c r="I233" s="15">
        <f t="shared" si="28"/>
        <v>3088.98</v>
      </c>
      <c r="J233" s="18">
        <f t="shared" si="29"/>
        <v>0</v>
      </c>
      <c r="K233" s="9">
        <v>45070</v>
      </c>
      <c r="L233" s="54">
        <f t="shared" si="30"/>
        <v>30</v>
      </c>
      <c r="M233" s="9" t="str">
        <f t="shared" si="31"/>
        <v>2023-May</v>
      </c>
      <c r="N233" t="s">
        <v>822</v>
      </c>
      <c r="O233" s="17">
        <f t="shared" si="32"/>
        <v>45868</v>
      </c>
      <c r="P233" s="25">
        <f t="shared" si="33"/>
        <v>0</v>
      </c>
      <c r="Q233" t="str">
        <f t="shared" si="34"/>
        <v>Paid</v>
      </c>
      <c r="R233" t="str">
        <f t="shared" si="35"/>
        <v>Not Due</v>
      </c>
    </row>
    <row r="234" spans="1:18" x14ac:dyDescent="0.35">
      <c r="A234" t="s">
        <v>241</v>
      </c>
      <c r="B234" t="s">
        <v>809</v>
      </c>
      <c r="C234" s="9">
        <v>45524</v>
      </c>
      <c r="D234" s="28" t="str">
        <f t="shared" si="27"/>
        <v>Aug 2024</v>
      </c>
      <c r="E234" s="9">
        <v>45554</v>
      </c>
      <c r="F234" t="s">
        <v>817</v>
      </c>
      <c r="G234">
        <v>3048.16</v>
      </c>
      <c r="H234" t="s">
        <v>819</v>
      </c>
      <c r="I234" s="15">
        <f t="shared" si="28"/>
        <v>0</v>
      </c>
      <c r="J234" s="18">
        <f t="shared" si="29"/>
        <v>3048.16</v>
      </c>
      <c r="L234" s="54" t="str">
        <f t="shared" si="30"/>
        <v/>
      </c>
      <c r="M234" s="9" t="str">
        <f t="shared" si="31"/>
        <v/>
      </c>
      <c r="N234" t="s">
        <v>822</v>
      </c>
      <c r="O234" s="17">
        <f t="shared" si="32"/>
        <v>45868</v>
      </c>
      <c r="P234" s="25">
        <f t="shared" si="33"/>
        <v>314</v>
      </c>
      <c r="Q234" t="str">
        <f t="shared" si="34"/>
        <v>90+</v>
      </c>
      <c r="R234" t="str">
        <f t="shared" si="35"/>
        <v>Due</v>
      </c>
    </row>
    <row r="235" spans="1:18" x14ac:dyDescent="0.35">
      <c r="A235" t="s">
        <v>242</v>
      </c>
      <c r="B235" t="s">
        <v>812</v>
      </c>
      <c r="C235" s="9">
        <v>45065</v>
      </c>
      <c r="D235" s="28" t="str">
        <f t="shared" si="27"/>
        <v>May 2023</v>
      </c>
      <c r="E235" s="9">
        <v>45095</v>
      </c>
      <c r="F235" t="s">
        <v>818</v>
      </c>
      <c r="G235">
        <v>3319.17</v>
      </c>
      <c r="H235" t="s">
        <v>820</v>
      </c>
      <c r="I235" s="15">
        <f t="shared" si="28"/>
        <v>0</v>
      </c>
      <c r="J235" s="18" t="str">
        <f t="shared" si="29"/>
        <v>N/A</v>
      </c>
      <c r="L235" s="54" t="str">
        <f t="shared" si="30"/>
        <v/>
      </c>
      <c r="M235" s="9" t="str">
        <f t="shared" si="31"/>
        <v/>
      </c>
      <c r="N235" t="s">
        <v>822</v>
      </c>
      <c r="O235" s="17">
        <f t="shared" si="32"/>
        <v>45868</v>
      </c>
      <c r="P235" s="25">
        <f t="shared" si="33"/>
        <v>773</v>
      </c>
      <c r="Q235" t="str">
        <f t="shared" si="34"/>
        <v>90+</v>
      </c>
      <c r="R235" t="str">
        <f t="shared" si="35"/>
        <v>Due</v>
      </c>
    </row>
    <row r="236" spans="1:18" x14ac:dyDescent="0.35">
      <c r="A236" t="s">
        <v>243</v>
      </c>
      <c r="B236" t="s">
        <v>809</v>
      </c>
      <c r="C236" s="9">
        <v>45315</v>
      </c>
      <c r="D236" s="28" t="str">
        <f t="shared" si="27"/>
        <v>Jan 2024</v>
      </c>
      <c r="E236" s="9">
        <v>45345</v>
      </c>
      <c r="F236" t="s">
        <v>817</v>
      </c>
      <c r="G236">
        <v>2206.77</v>
      </c>
      <c r="H236" t="s">
        <v>819</v>
      </c>
      <c r="I236" s="15">
        <f t="shared" si="28"/>
        <v>0</v>
      </c>
      <c r="J236" s="18">
        <f t="shared" si="29"/>
        <v>2206.77</v>
      </c>
      <c r="L236" s="54" t="str">
        <f t="shared" si="30"/>
        <v/>
      </c>
      <c r="M236" s="9" t="str">
        <f t="shared" si="31"/>
        <v/>
      </c>
      <c r="N236" t="s">
        <v>822</v>
      </c>
      <c r="O236" s="17">
        <f t="shared" si="32"/>
        <v>45868</v>
      </c>
      <c r="P236" s="25">
        <f t="shared" si="33"/>
        <v>523</v>
      </c>
      <c r="Q236" t="str">
        <f t="shared" si="34"/>
        <v>90+</v>
      </c>
      <c r="R236" t="str">
        <f t="shared" si="35"/>
        <v>Due</v>
      </c>
    </row>
    <row r="237" spans="1:18" x14ac:dyDescent="0.35">
      <c r="A237" t="s">
        <v>244</v>
      </c>
      <c r="B237" t="s">
        <v>809</v>
      </c>
      <c r="C237" s="9">
        <v>45269</v>
      </c>
      <c r="D237" s="28" t="str">
        <f t="shared" si="27"/>
        <v>Dec 2023</v>
      </c>
      <c r="E237" s="9">
        <v>45299</v>
      </c>
      <c r="F237" t="s">
        <v>817</v>
      </c>
      <c r="G237">
        <v>1191.52</v>
      </c>
      <c r="H237" t="s">
        <v>821</v>
      </c>
      <c r="I237" s="15">
        <f t="shared" si="28"/>
        <v>1191.52</v>
      </c>
      <c r="J237" s="18">
        <f t="shared" si="29"/>
        <v>0</v>
      </c>
      <c r="K237" s="9">
        <v>45299</v>
      </c>
      <c r="L237" s="54">
        <f t="shared" si="30"/>
        <v>30</v>
      </c>
      <c r="M237" s="9" t="str">
        <f t="shared" si="31"/>
        <v>2024-Jan</v>
      </c>
      <c r="N237" t="s">
        <v>822</v>
      </c>
      <c r="O237" s="17">
        <f t="shared" si="32"/>
        <v>45868</v>
      </c>
      <c r="P237" s="25">
        <f t="shared" si="33"/>
        <v>0</v>
      </c>
      <c r="Q237" t="str">
        <f t="shared" si="34"/>
        <v>Paid</v>
      </c>
      <c r="R237" t="str">
        <f t="shared" si="35"/>
        <v>Not Due</v>
      </c>
    </row>
    <row r="238" spans="1:18" x14ac:dyDescent="0.35">
      <c r="A238" t="s">
        <v>245</v>
      </c>
      <c r="B238" t="s">
        <v>809</v>
      </c>
      <c r="C238" s="9">
        <v>44938</v>
      </c>
      <c r="D238" s="28" t="str">
        <f t="shared" si="27"/>
        <v>Jan 2023</v>
      </c>
      <c r="E238" s="9">
        <v>44968</v>
      </c>
      <c r="F238" t="s">
        <v>815</v>
      </c>
      <c r="G238">
        <v>1238.8800000000001</v>
      </c>
      <c r="H238" t="s">
        <v>820</v>
      </c>
      <c r="I238" s="15">
        <f t="shared" si="28"/>
        <v>0</v>
      </c>
      <c r="J238" s="18" t="str">
        <f t="shared" si="29"/>
        <v>N/A</v>
      </c>
      <c r="L238" s="54" t="str">
        <f t="shared" si="30"/>
        <v/>
      </c>
      <c r="M238" s="9" t="str">
        <f t="shared" si="31"/>
        <v/>
      </c>
      <c r="N238" t="s">
        <v>822</v>
      </c>
      <c r="O238" s="17">
        <f t="shared" si="32"/>
        <v>45868</v>
      </c>
      <c r="P238" s="25">
        <f t="shared" si="33"/>
        <v>900</v>
      </c>
      <c r="Q238" t="str">
        <f t="shared" si="34"/>
        <v>90+</v>
      </c>
      <c r="R238" t="str">
        <f t="shared" si="35"/>
        <v>Due</v>
      </c>
    </row>
    <row r="239" spans="1:18" x14ac:dyDescent="0.35">
      <c r="A239" t="s">
        <v>246</v>
      </c>
      <c r="B239" t="s">
        <v>810</v>
      </c>
      <c r="C239" s="9">
        <v>44956</v>
      </c>
      <c r="D239" s="28" t="str">
        <f t="shared" si="27"/>
        <v>Jan 2023</v>
      </c>
      <c r="E239" s="9">
        <v>44986</v>
      </c>
      <c r="F239" t="s">
        <v>816</v>
      </c>
      <c r="G239">
        <v>3099.83</v>
      </c>
      <c r="H239" t="s">
        <v>821</v>
      </c>
      <c r="I239" s="15">
        <f t="shared" si="28"/>
        <v>3099.83</v>
      </c>
      <c r="J239" s="18">
        <f t="shared" si="29"/>
        <v>0</v>
      </c>
      <c r="K239" s="9">
        <v>44986</v>
      </c>
      <c r="L239" s="54">
        <f t="shared" si="30"/>
        <v>30</v>
      </c>
      <c r="M239" s="9" t="str">
        <f t="shared" si="31"/>
        <v>2023-Mar</v>
      </c>
      <c r="N239" t="s">
        <v>822</v>
      </c>
      <c r="O239" s="17">
        <f t="shared" si="32"/>
        <v>45868</v>
      </c>
      <c r="P239" s="25">
        <f t="shared" si="33"/>
        <v>0</v>
      </c>
      <c r="Q239" t="str">
        <f t="shared" si="34"/>
        <v>Paid</v>
      </c>
      <c r="R239" t="str">
        <f t="shared" si="35"/>
        <v>Not Due</v>
      </c>
    </row>
    <row r="240" spans="1:18" x14ac:dyDescent="0.35">
      <c r="A240" t="s">
        <v>247</v>
      </c>
      <c r="B240" t="s">
        <v>811</v>
      </c>
      <c r="C240" s="9">
        <v>45362</v>
      </c>
      <c r="D240" s="28" t="str">
        <f t="shared" si="27"/>
        <v>Mar 2024</v>
      </c>
      <c r="E240" s="9">
        <v>45392</v>
      </c>
      <c r="F240" t="s">
        <v>816</v>
      </c>
      <c r="G240">
        <v>5197.8599999999997</v>
      </c>
      <c r="H240" t="s">
        <v>819</v>
      </c>
      <c r="I240" s="15">
        <f t="shared" si="28"/>
        <v>0</v>
      </c>
      <c r="J240" s="18">
        <f t="shared" si="29"/>
        <v>5197.8599999999997</v>
      </c>
      <c r="L240" s="54" t="str">
        <f t="shared" si="30"/>
        <v/>
      </c>
      <c r="M240" s="9" t="str">
        <f t="shared" si="31"/>
        <v/>
      </c>
      <c r="N240" t="s">
        <v>822</v>
      </c>
      <c r="O240" s="17">
        <f t="shared" si="32"/>
        <v>45868</v>
      </c>
      <c r="P240" s="25">
        <f t="shared" si="33"/>
        <v>476</v>
      </c>
      <c r="Q240" t="str">
        <f t="shared" si="34"/>
        <v>90+</v>
      </c>
      <c r="R240" t="str">
        <f t="shared" si="35"/>
        <v>Due</v>
      </c>
    </row>
    <row r="241" spans="1:18" x14ac:dyDescent="0.35">
      <c r="A241" t="s">
        <v>248</v>
      </c>
      <c r="B241" t="s">
        <v>811</v>
      </c>
      <c r="C241" s="9">
        <v>45008</v>
      </c>
      <c r="D241" s="28" t="str">
        <f t="shared" si="27"/>
        <v>Mar 2023</v>
      </c>
      <c r="E241" s="9">
        <v>45038</v>
      </c>
      <c r="F241" t="s">
        <v>818</v>
      </c>
      <c r="G241">
        <v>3434.12</v>
      </c>
      <c r="H241" t="s">
        <v>820</v>
      </c>
      <c r="I241" s="15">
        <f t="shared" si="28"/>
        <v>0</v>
      </c>
      <c r="J241" s="18" t="str">
        <f t="shared" si="29"/>
        <v>N/A</v>
      </c>
      <c r="L241" s="54" t="str">
        <f t="shared" si="30"/>
        <v/>
      </c>
      <c r="M241" s="9" t="str">
        <f t="shared" si="31"/>
        <v/>
      </c>
      <c r="N241" t="s">
        <v>822</v>
      </c>
      <c r="O241" s="17">
        <f t="shared" si="32"/>
        <v>45868</v>
      </c>
      <c r="P241" s="25">
        <f t="shared" si="33"/>
        <v>830</v>
      </c>
      <c r="Q241" t="str">
        <f t="shared" si="34"/>
        <v>90+</v>
      </c>
      <c r="R241" t="str">
        <f t="shared" si="35"/>
        <v>Due</v>
      </c>
    </row>
    <row r="242" spans="1:18" x14ac:dyDescent="0.35">
      <c r="A242" t="s">
        <v>249</v>
      </c>
      <c r="B242" t="s">
        <v>811</v>
      </c>
      <c r="C242" s="9">
        <v>45474</v>
      </c>
      <c r="D242" s="28" t="str">
        <f t="shared" si="27"/>
        <v>Jul 2024</v>
      </c>
      <c r="E242" s="9">
        <v>45504</v>
      </c>
      <c r="F242" t="s">
        <v>817</v>
      </c>
      <c r="G242">
        <v>3536.61</v>
      </c>
      <c r="H242" t="s">
        <v>820</v>
      </c>
      <c r="I242" s="15">
        <f t="shared" si="28"/>
        <v>0</v>
      </c>
      <c r="J242" s="18" t="str">
        <f t="shared" si="29"/>
        <v>N/A</v>
      </c>
      <c r="L242" s="54" t="str">
        <f t="shared" si="30"/>
        <v/>
      </c>
      <c r="M242" s="9" t="str">
        <f t="shared" si="31"/>
        <v/>
      </c>
      <c r="N242" t="s">
        <v>822</v>
      </c>
      <c r="O242" s="17">
        <f t="shared" si="32"/>
        <v>45868</v>
      </c>
      <c r="P242" s="25">
        <f t="shared" si="33"/>
        <v>364</v>
      </c>
      <c r="Q242" t="str">
        <f t="shared" si="34"/>
        <v>90+</v>
      </c>
      <c r="R242" t="str">
        <f t="shared" si="35"/>
        <v>Due</v>
      </c>
    </row>
    <row r="243" spans="1:18" x14ac:dyDescent="0.35">
      <c r="A243" t="s">
        <v>250</v>
      </c>
      <c r="B243" t="s">
        <v>813</v>
      </c>
      <c r="C243" s="9">
        <v>45087</v>
      </c>
      <c r="D243" s="28" t="str">
        <f t="shared" si="27"/>
        <v>Jun 2023</v>
      </c>
      <c r="E243" s="9">
        <v>45117</v>
      </c>
      <c r="F243" t="s">
        <v>814</v>
      </c>
      <c r="G243">
        <v>5674.68</v>
      </c>
      <c r="H243" t="s">
        <v>821</v>
      </c>
      <c r="I243" s="15">
        <f t="shared" si="28"/>
        <v>5674.68</v>
      </c>
      <c r="J243" s="18">
        <f t="shared" si="29"/>
        <v>0</v>
      </c>
      <c r="K243" s="9">
        <v>45117</v>
      </c>
      <c r="L243" s="54">
        <f t="shared" si="30"/>
        <v>30</v>
      </c>
      <c r="M243" s="9" t="str">
        <f t="shared" si="31"/>
        <v>2023-Jul</v>
      </c>
      <c r="N243" t="s">
        <v>822</v>
      </c>
      <c r="O243" s="17">
        <f t="shared" si="32"/>
        <v>45868</v>
      </c>
      <c r="P243" s="25">
        <f t="shared" si="33"/>
        <v>0</v>
      </c>
      <c r="Q243" t="str">
        <f t="shared" si="34"/>
        <v>Paid</v>
      </c>
      <c r="R243" t="str">
        <f t="shared" si="35"/>
        <v>Not Due</v>
      </c>
    </row>
    <row r="244" spans="1:18" x14ac:dyDescent="0.35">
      <c r="A244" t="s">
        <v>251</v>
      </c>
      <c r="B244" t="s">
        <v>809</v>
      </c>
      <c r="C244" s="9">
        <v>45618</v>
      </c>
      <c r="D244" s="28" t="str">
        <f t="shared" si="27"/>
        <v>Nov 2024</v>
      </c>
      <c r="E244" s="9">
        <v>45648</v>
      </c>
      <c r="F244" t="s">
        <v>818</v>
      </c>
      <c r="G244">
        <v>2708.83</v>
      </c>
      <c r="H244" t="s">
        <v>820</v>
      </c>
      <c r="I244" s="15">
        <f t="shared" si="28"/>
        <v>0</v>
      </c>
      <c r="J244" s="18" t="str">
        <f t="shared" si="29"/>
        <v>N/A</v>
      </c>
      <c r="L244" s="54" t="str">
        <f t="shared" si="30"/>
        <v/>
      </c>
      <c r="M244" s="9" t="str">
        <f t="shared" si="31"/>
        <v/>
      </c>
      <c r="N244" t="s">
        <v>822</v>
      </c>
      <c r="O244" s="17">
        <f t="shared" si="32"/>
        <v>45868</v>
      </c>
      <c r="P244" s="25">
        <f t="shared" si="33"/>
        <v>220</v>
      </c>
      <c r="Q244" t="str">
        <f t="shared" si="34"/>
        <v>90+</v>
      </c>
      <c r="R244" t="str">
        <f t="shared" si="35"/>
        <v>Due</v>
      </c>
    </row>
    <row r="245" spans="1:18" x14ac:dyDescent="0.35">
      <c r="A245" t="s">
        <v>252</v>
      </c>
      <c r="B245" t="s">
        <v>809</v>
      </c>
      <c r="C245" s="9">
        <v>45045</v>
      </c>
      <c r="D245" s="28" t="str">
        <f t="shared" si="27"/>
        <v>Apr 2023</v>
      </c>
      <c r="E245" s="9">
        <v>45075</v>
      </c>
      <c r="F245" t="s">
        <v>815</v>
      </c>
      <c r="G245">
        <v>1412.78</v>
      </c>
      <c r="H245" t="s">
        <v>820</v>
      </c>
      <c r="I245" s="15">
        <f t="shared" si="28"/>
        <v>0</v>
      </c>
      <c r="J245" s="18" t="str">
        <f t="shared" si="29"/>
        <v>N/A</v>
      </c>
      <c r="L245" s="54" t="str">
        <f t="shared" si="30"/>
        <v/>
      </c>
      <c r="M245" s="9" t="str">
        <f t="shared" si="31"/>
        <v/>
      </c>
      <c r="N245" t="s">
        <v>822</v>
      </c>
      <c r="O245" s="17">
        <f t="shared" si="32"/>
        <v>45868</v>
      </c>
      <c r="P245" s="25">
        <f t="shared" si="33"/>
        <v>793</v>
      </c>
      <c r="Q245" t="str">
        <f t="shared" si="34"/>
        <v>90+</v>
      </c>
      <c r="R245" t="str">
        <f t="shared" si="35"/>
        <v>Due</v>
      </c>
    </row>
    <row r="246" spans="1:18" x14ac:dyDescent="0.35">
      <c r="A246" t="s">
        <v>253</v>
      </c>
      <c r="B246" t="s">
        <v>809</v>
      </c>
      <c r="C246" s="9">
        <v>45396</v>
      </c>
      <c r="D246" s="28" t="str">
        <f t="shared" si="27"/>
        <v>Apr 2024</v>
      </c>
      <c r="E246" s="9">
        <v>45426</v>
      </c>
      <c r="F246" t="s">
        <v>818</v>
      </c>
      <c r="G246">
        <v>3268.18</v>
      </c>
      <c r="H246" t="s">
        <v>820</v>
      </c>
      <c r="I246" s="15">
        <f t="shared" si="28"/>
        <v>0</v>
      </c>
      <c r="J246" s="18" t="str">
        <f t="shared" si="29"/>
        <v>N/A</v>
      </c>
      <c r="L246" s="54" t="str">
        <f t="shared" si="30"/>
        <v/>
      </c>
      <c r="M246" s="9" t="str">
        <f t="shared" si="31"/>
        <v/>
      </c>
      <c r="N246" t="s">
        <v>822</v>
      </c>
      <c r="O246" s="17">
        <f t="shared" si="32"/>
        <v>45868</v>
      </c>
      <c r="P246" s="25">
        <f t="shared" si="33"/>
        <v>442</v>
      </c>
      <c r="Q246" t="str">
        <f t="shared" si="34"/>
        <v>90+</v>
      </c>
      <c r="R246" t="str">
        <f t="shared" si="35"/>
        <v>Due</v>
      </c>
    </row>
    <row r="247" spans="1:18" x14ac:dyDescent="0.35">
      <c r="A247" t="s">
        <v>254</v>
      </c>
      <c r="B247" t="s">
        <v>811</v>
      </c>
      <c r="C247" s="9">
        <v>45203</v>
      </c>
      <c r="D247" s="28" t="str">
        <f t="shared" si="27"/>
        <v>Oct 2023</v>
      </c>
      <c r="E247" s="9">
        <v>45233</v>
      </c>
      <c r="F247" t="s">
        <v>817</v>
      </c>
      <c r="G247">
        <v>3118.33</v>
      </c>
      <c r="H247" t="s">
        <v>820</v>
      </c>
      <c r="I247" s="15">
        <f t="shared" si="28"/>
        <v>0</v>
      </c>
      <c r="J247" s="18" t="str">
        <f t="shared" si="29"/>
        <v>N/A</v>
      </c>
      <c r="L247" s="54" t="str">
        <f t="shared" si="30"/>
        <v/>
      </c>
      <c r="M247" s="9" t="str">
        <f t="shared" si="31"/>
        <v/>
      </c>
      <c r="N247" t="s">
        <v>822</v>
      </c>
      <c r="O247" s="17">
        <f t="shared" si="32"/>
        <v>45868</v>
      </c>
      <c r="P247" s="25">
        <f t="shared" si="33"/>
        <v>635</v>
      </c>
      <c r="Q247" t="str">
        <f t="shared" si="34"/>
        <v>90+</v>
      </c>
      <c r="R247" t="str">
        <f t="shared" si="35"/>
        <v>Due</v>
      </c>
    </row>
    <row r="248" spans="1:18" x14ac:dyDescent="0.35">
      <c r="A248" t="s">
        <v>255</v>
      </c>
      <c r="B248" t="s">
        <v>811</v>
      </c>
      <c r="C248" s="9">
        <v>45503</v>
      </c>
      <c r="D248" s="28" t="str">
        <f t="shared" si="27"/>
        <v>Jul 2024</v>
      </c>
      <c r="E248" s="9">
        <v>45533</v>
      </c>
      <c r="F248" t="s">
        <v>815</v>
      </c>
      <c r="G248">
        <v>3483.81</v>
      </c>
      <c r="H248" t="s">
        <v>821</v>
      </c>
      <c r="I248" s="15">
        <f t="shared" si="28"/>
        <v>3483.81</v>
      </c>
      <c r="J248" s="18">
        <f t="shared" si="29"/>
        <v>0</v>
      </c>
      <c r="K248" s="9">
        <v>45533</v>
      </c>
      <c r="L248" s="54">
        <f t="shared" si="30"/>
        <v>30</v>
      </c>
      <c r="M248" s="9" t="str">
        <f t="shared" si="31"/>
        <v>2024-Aug</v>
      </c>
      <c r="N248" t="s">
        <v>822</v>
      </c>
      <c r="O248" s="17">
        <f t="shared" si="32"/>
        <v>45868</v>
      </c>
      <c r="P248" s="25">
        <f t="shared" si="33"/>
        <v>0</v>
      </c>
      <c r="Q248" t="str">
        <f t="shared" si="34"/>
        <v>Paid</v>
      </c>
      <c r="R248" t="str">
        <f t="shared" si="35"/>
        <v>Not Due</v>
      </c>
    </row>
    <row r="249" spans="1:18" x14ac:dyDescent="0.35">
      <c r="A249" t="s">
        <v>256</v>
      </c>
      <c r="B249" t="s">
        <v>813</v>
      </c>
      <c r="C249" s="9">
        <v>45712</v>
      </c>
      <c r="D249" s="28" t="str">
        <f t="shared" si="27"/>
        <v>Feb 2025</v>
      </c>
      <c r="E249" s="9">
        <v>45742</v>
      </c>
      <c r="F249" t="s">
        <v>818</v>
      </c>
      <c r="G249">
        <v>2543.87</v>
      </c>
      <c r="H249" t="s">
        <v>820</v>
      </c>
      <c r="I249" s="15">
        <f t="shared" si="28"/>
        <v>0</v>
      </c>
      <c r="J249" s="18" t="str">
        <f t="shared" si="29"/>
        <v>N/A</v>
      </c>
      <c r="L249" s="54" t="str">
        <f t="shared" si="30"/>
        <v/>
      </c>
      <c r="M249" s="9" t="str">
        <f t="shared" si="31"/>
        <v/>
      </c>
      <c r="N249" t="s">
        <v>822</v>
      </c>
      <c r="O249" s="17">
        <f t="shared" si="32"/>
        <v>45868</v>
      </c>
      <c r="P249" s="25">
        <f t="shared" si="33"/>
        <v>126</v>
      </c>
      <c r="Q249" t="str">
        <f t="shared" si="34"/>
        <v>90+</v>
      </c>
      <c r="R249" t="str">
        <f t="shared" si="35"/>
        <v>Due</v>
      </c>
    </row>
    <row r="250" spans="1:18" x14ac:dyDescent="0.35">
      <c r="A250" t="s">
        <v>257</v>
      </c>
      <c r="B250" t="s">
        <v>811</v>
      </c>
      <c r="C250" s="9">
        <v>45075</v>
      </c>
      <c r="D250" s="28" t="str">
        <f t="shared" si="27"/>
        <v>May 2023</v>
      </c>
      <c r="E250" s="9">
        <v>45105</v>
      </c>
      <c r="F250" t="s">
        <v>816</v>
      </c>
      <c r="G250">
        <v>3783.17</v>
      </c>
      <c r="H250" t="s">
        <v>821</v>
      </c>
      <c r="I250" s="15">
        <f t="shared" si="28"/>
        <v>3783.17</v>
      </c>
      <c r="J250" s="18">
        <f t="shared" si="29"/>
        <v>0</v>
      </c>
      <c r="K250" s="9">
        <v>45105</v>
      </c>
      <c r="L250" s="54">
        <f t="shared" si="30"/>
        <v>30</v>
      </c>
      <c r="M250" s="9" t="str">
        <f t="shared" si="31"/>
        <v>2023-Jun</v>
      </c>
      <c r="N250" t="s">
        <v>822</v>
      </c>
      <c r="O250" s="17">
        <f t="shared" si="32"/>
        <v>45868</v>
      </c>
      <c r="P250" s="25">
        <f t="shared" si="33"/>
        <v>0</v>
      </c>
      <c r="Q250" t="str">
        <f t="shared" si="34"/>
        <v>Paid</v>
      </c>
      <c r="R250" t="str">
        <f t="shared" si="35"/>
        <v>Not Due</v>
      </c>
    </row>
    <row r="251" spans="1:18" x14ac:dyDescent="0.35">
      <c r="A251" t="s">
        <v>258</v>
      </c>
      <c r="B251" t="s">
        <v>810</v>
      </c>
      <c r="C251" s="9">
        <v>45792</v>
      </c>
      <c r="D251" s="28" t="str">
        <f t="shared" si="27"/>
        <v>May 2025</v>
      </c>
      <c r="E251" s="9">
        <v>45822</v>
      </c>
      <c r="F251" t="s">
        <v>818</v>
      </c>
      <c r="G251">
        <v>3385.32</v>
      </c>
      <c r="H251" t="s">
        <v>819</v>
      </c>
      <c r="I251" s="15">
        <f t="shared" si="28"/>
        <v>0</v>
      </c>
      <c r="J251" s="18">
        <f t="shared" si="29"/>
        <v>3385.32</v>
      </c>
      <c r="L251" s="54" t="str">
        <f t="shared" si="30"/>
        <v/>
      </c>
      <c r="M251" s="9" t="str">
        <f t="shared" si="31"/>
        <v/>
      </c>
      <c r="N251" t="s">
        <v>822</v>
      </c>
      <c r="O251" s="17">
        <f t="shared" si="32"/>
        <v>45868</v>
      </c>
      <c r="P251" s="25">
        <f t="shared" si="33"/>
        <v>46</v>
      </c>
      <c r="Q251" t="str">
        <f t="shared" si="34"/>
        <v>31-60</v>
      </c>
      <c r="R251" t="str">
        <f t="shared" si="35"/>
        <v>Due</v>
      </c>
    </row>
    <row r="252" spans="1:18" x14ac:dyDescent="0.35">
      <c r="A252" t="s">
        <v>259</v>
      </c>
      <c r="B252" t="s">
        <v>813</v>
      </c>
      <c r="C252" s="9">
        <v>45423</v>
      </c>
      <c r="D252" s="28" t="str">
        <f t="shared" si="27"/>
        <v>May 2024</v>
      </c>
      <c r="E252" s="9">
        <v>45453</v>
      </c>
      <c r="F252" t="s">
        <v>818</v>
      </c>
      <c r="G252">
        <v>2581.0300000000002</v>
      </c>
      <c r="H252" t="s">
        <v>819</v>
      </c>
      <c r="I252" s="15">
        <f t="shared" si="28"/>
        <v>0</v>
      </c>
      <c r="J252" s="18">
        <f t="shared" si="29"/>
        <v>2581.0300000000002</v>
      </c>
      <c r="L252" s="54" t="str">
        <f t="shared" si="30"/>
        <v/>
      </c>
      <c r="M252" s="9" t="str">
        <f t="shared" si="31"/>
        <v/>
      </c>
      <c r="N252" t="s">
        <v>822</v>
      </c>
      <c r="O252" s="17">
        <f t="shared" si="32"/>
        <v>45868</v>
      </c>
      <c r="P252" s="25">
        <f t="shared" si="33"/>
        <v>415</v>
      </c>
      <c r="Q252" t="str">
        <f t="shared" si="34"/>
        <v>90+</v>
      </c>
      <c r="R252" t="str">
        <f t="shared" si="35"/>
        <v>Due</v>
      </c>
    </row>
    <row r="253" spans="1:18" x14ac:dyDescent="0.35">
      <c r="A253" t="s">
        <v>260</v>
      </c>
      <c r="B253" t="s">
        <v>809</v>
      </c>
      <c r="C253" s="9">
        <v>45373</v>
      </c>
      <c r="D253" s="28" t="str">
        <f t="shared" si="27"/>
        <v>Mar 2024</v>
      </c>
      <c r="E253" s="9">
        <v>45403</v>
      </c>
      <c r="F253" t="s">
        <v>817</v>
      </c>
      <c r="G253">
        <v>2609.4499999999998</v>
      </c>
      <c r="H253" t="s">
        <v>821</v>
      </c>
      <c r="I253" s="15">
        <f t="shared" si="28"/>
        <v>2609.4499999999998</v>
      </c>
      <c r="J253" s="18">
        <f t="shared" si="29"/>
        <v>0</v>
      </c>
      <c r="K253" s="9">
        <v>45403</v>
      </c>
      <c r="L253" s="54">
        <f t="shared" si="30"/>
        <v>30</v>
      </c>
      <c r="M253" s="9" t="str">
        <f t="shared" si="31"/>
        <v>2024-Apr</v>
      </c>
      <c r="N253" t="s">
        <v>822</v>
      </c>
      <c r="O253" s="17">
        <f t="shared" si="32"/>
        <v>45868</v>
      </c>
      <c r="P253" s="25">
        <f t="shared" si="33"/>
        <v>0</v>
      </c>
      <c r="Q253" t="str">
        <f t="shared" si="34"/>
        <v>Paid</v>
      </c>
      <c r="R253" t="str">
        <f t="shared" si="35"/>
        <v>Not Due</v>
      </c>
    </row>
    <row r="254" spans="1:18" x14ac:dyDescent="0.35">
      <c r="A254" t="s">
        <v>261</v>
      </c>
      <c r="B254" t="s">
        <v>809</v>
      </c>
      <c r="C254" s="9">
        <v>44999</v>
      </c>
      <c r="D254" s="28" t="str">
        <f t="shared" si="27"/>
        <v>Mar 2023</v>
      </c>
      <c r="E254" s="9">
        <v>45029</v>
      </c>
      <c r="F254" t="s">
        <v>816</v>
      </c>
      <c r="G254">
        <v>716.33</v>
      </c>
      <c r="H254" t="s">
        <v>821</v>
      </c>
      <c r="I254" s="15">
        <f t="shared" si="28"/>
        <v>716.33</v>
      </c>
      <c r="J254" s="18">
        <f t="shared" si="29"/>
        <v>0</v>
      </c>
      <c r="K254" s="9">
        <v>45029</v>
      </c>
      <c r="L254" s="54">
        <f t="shared" si="30"/>
        <v>30</v>
      </c>
      <c r="M254" s="9" t="str">
        <f t="shared" si="31"/>
        <v>2023-Apr</v>
      </c>
      <c r="N254" t="s">
        <v>822</v>
      </c>
      <c r="O254" s="17">
        <f t="shared" si="32"/>
        <v>45868</v>
      </c>
      <c r="P254" s="25">
        <f t="shared" si="33"/>
        <v>0</v>
      </c>
      <c r="Q254" t="str">
        <f t="shared" si="34"/>
        <v>Paid</v>
      </c>
      <c r="R254" t="str">
        <f t="shared" si="35"/>
        <v>Not Due</v>
      </c>
    </row>
    <row r="255" spans="1:18" x14ac:dyDescent="0.35">
      <c r="A255" t="s">
        <v>262</v>
      </c>
      <c r="B255" t="s">
        <v>812</v>
      </c>
      <c r="C255" s="9">
        <v>45086</v>
      </c>
      <c r="D255" s="28" t="str">
        <f t="shared" si="27"/>
        <v>Jun 2023</v>
      </c>
      <c r="E255" s="9">
        <v>45116</v>
      </c>
      <c r="F255" t="s">
        <v>818</v>
      </c>
      <c r="G255">
        <v>2666.51</v>
      </c>
      <c r="H255" t="s">
        <v>820</v>
      </c>
      <c r="I255" s="15">
        <f t="shared" si="28"/>
        <v>0</v>
      </c>
      <c r="J255" s="18" t="str">
        <f t="shared" si="29"/>
        <v>N/A</v>
      </c>
      <c r="L255" s="54" t="str">
        <f t="shared" si="30"/>
        <v/>
      </c>
      <c r="M255" s="9" t="str">
        <f t="shared" si="31"/>
        <v/>
      </c>
      <c r="N255" t="s">
        <v>822</v>
      </c>
      <c r="O255" s="17">
        <f t="shared" si="32"/>
        <v>45868</v>
      </c>
      <c r="P255" s="25">
        <f t="shared" si="33"/>
        <v>752</v>
      </c>
      <c r="Q255" t="str">
        <f t="shared" si="34"/>
        <v>90+</v>
      </c>
      <c r="R255" t="str">
        <f t="shared" si="35"/>
        <v>Due</v>
      </c>
    </row>
    <row r="256" spans="1:18" x14ac:dyDescent="0.35">
      <c r="A256" t="s">
        <v>263</v>
      </c>
      <c r="B256" t="s">
        <v>809</v>
      </c>
      <c r="C256" s="9">
        <v>45440</v>
      </c>
      <c r="D256" s="28" t="str">
        <f t="shared" si="27"/>
        <v>May 2024</v>
      </c>
      <c r="E256" s="9">
        <v>45470</v>
      </c>
      <c r="F256" t="s">
        <v>818</v>
      </c>
      <c r="G256">
        <v>917.3</v>
      </c>
      <c r="H256" t="s">
        <v>819</v>
      </c>
      <c r="I256" s="15">
        <f t="shared" si="28"/>
        <v>0</v>
      </c>
      <c r="J256" s="18">
        <f t="shared" si="29"/>
        <v>917.3</v>
      </c>
      <c r="L256" s="54" t="str">
        <f t="shared" si="30"/>
        <v/>
      </c>
      <c r="M256" s="9" t="str">
        <f t="shared" si="31"/>
        <v/>
      </c>
      <c r="N256" t="s">
        <v>822</v>
      </c>
      <c r="O256" s="17">
        <f t="shared" si="32"/>
        <v>45868</v>
      </c>
      <c r="P256" s="25">
        <f t="shared" si="33"/>
        <v>398</v>
      </c>
      <c r="Q256" t="str">
        <f t="shared" si="34"/>
        <v>90+</v>
      </c>
      <c r="R256" t="str">
        <f t="shared" si="35"/>
        <v>Due</v>
      </c>
    </row>
    <row r="257" spans="1:18" x14ac:dyDescent="0.35">
      <c r="A257" t="s">
        <v>264</v>
      </c>
      <c r="B257" t="s">
        <v>810</v>
      </c>
      <c r="C257" s="9">
        <v>45815</v>
      </c>
      <c r="D257" s="28" t="str">
        <f t="shared" si="27"/>
        <v>Jun 2025</v>
      </c>
      <c r="E257" s="9">
        <v>45845</v>
      </c>
      <c r="F257" t="s">
        <v>814</v>
      </c>
      <c r="G257">
        <v>1080.7</v>
      </c>
      <c r="H257" t="s">
        <v>821</v>
      </c>
      <c r="I257" s="15">
        <f t="shared" si="28"/>
        <v>1080.7</v>
      </c>
      <c r="J257" s="18">
        <f t="shared" si="29"/>
        <v>0</v>
      </c>
      <c r="K257" s="9">
        <v>45845</v>
      </c>
      <c r="L257" s="54">
        <f t="shared" si="30"/>
        <v>30</v>
      </c>
      <c r="M257" s="9" t="str">
        <f t="shared" si="31"/>
        <v>2025-Jul</v>
      </c>
      <c r="N257" t="s">
        <v>822</v>
      </c>
      <c r="O257" s="17">
        <f t="shared" si="32"/>
        <v>45868</v>
      </c>
      <c r="P257" s="25">
        <f t="shared" si="33"/>
        <v>0</v>
      </c>
      <c r="Q257" t="str">
        <f t="shared" si="34"/>
        <v>Paid</v>
      </c>
      <c r="R257" t="str">
        <f t="shared" si="35"/>
        <v>Not Due</v>
      </c>
    </row>
    <row r="258" spans="1:18" x14ac:dyDescent="0.35">
      <c r="A258" t="s">
        <v>265</v>
      </c>
      <c r="B258" t="s">
        <v>813</v>
      </c>
      <c r="C258" s="9">
        <v>45695</v>
      </c>
      <c r="D258" s="28" t="str">
        <f t="shared" si="27"/>
        <v>Feb 2025</v>
      </c>
      <c r="E258" s="9">
        <v>45725</v>
      </c>
      <c r="F258" t="s">
        <v>816</v>
      </c>
      <c r="G258">
        <v>4593.3</v>
      </c>
      <c r="H258" t="s">
        <v>820</v>
      </c>
      <c r="I258" s="15">
        <f t="shared" si="28"/>
        <v>0</v>
      </c>
      <c r="J258" s="18" t="str">
        <f t="shared" si="29"/>
        <v>N/A</v>
      </c>
      <c r="L258" s="54" t="str">
        <f t="shared" si="30"/>
        <v/>
      </c>
      <c r="M258" s="9" t="str">
        <f t="shared" si="31"/>
        <v/>
      </c>
      <c r="N258" t="s">
        <v>822</v>
      </c>
      <c r="O258" s="17">
        <f t="shared" si="32"/>
        <v>45868</v>
      </c>
      <c r="P258" s="25">
        <f t="shared" si="33"/>
        <v>143</v>
      </c>
      <c r="Q258" t="str">
        <f t="shared" si="34"/>
        <v>90+</v>
      </c>
      <c r="R258" t="str">
        <f t="shared" si="35"/>
        <v>Due</v>
      </c>
    </row>
    <row r="259" spans="1:18" x14ac:dyDescent="0.35">
      <c r="A259" t="s">
        <v>266</v>
      </c>
      <c r="B259" t="s">
        <v>813</v>
      </c>
      <c r="C259" s="9">
        <v>44949</v>
      </c>
      <c r="D259" s="28" t="str">
        <f t="shared" ref="D259:D322" si="36">TEXT(C259,"MMM YYYY")</f>
        <v>Jan 2023</v>
      </c>
      <c r="E259" s="9">
        <v>44979</v>
      </c>
      <c r="F259" t="s">
        <v>814</v>
      </c>
      <c r="G259">
        <v>569.54</v>
      </c>
      <c r="H259" t="s">
        <v>819</v>
      </c>
      <c r="I259" s="15">
        <f t="shared" ref="I259:I322" si="37">IF(H259="Paid",G259,0)</f>
        <v>0</v>
      </c>
      <c r="J259" s="18">
        <f t="shared" ref="J259:J322" si="38">IF(H259="Open",G259,IF(H259="Paid",0,"N/A"))</f>
        <v>569.54</v>
      </c>
      <c r="L259" s="54" t="str">
        <f t="shared" ref="L259:L322" si="39">IF(H259="Paid",K259-C259,"")</f>
        <v/>
      </c>
      <c r="M259" s="9" t="str">
        <f t="shared" ref="M259:M322" si="40">IF(K259="","",TEXT(K259, "YYYY-MMM"))</f>
        <v/>
      </c>
      <c r="N259" t="s">
        <v>822</v>
      </c>
      <c r="O259" s="17">
        <f t="shared" ref="O259:O322" si="41">MAX(MAX($C$2:$C$801), MAX($E$2:$E$801))</f>
        <v>45868</v>
      </c>
      <c r="P259" s="25">
        <f t="shared" ref="P259:P322" si="42">IF(K259="", O259-E259,0)</f>
        <v>889</v>
      </c>
      <c r="Q259" t="str">
        <f t="shared" ref="Q259:Q322" si="43">IF(H259="Paid","Paid",
   IF(P259&lt;=0,"Current",
      IF(P259&lt;=30,"1-30",
         IF(P259&lt;=60,"31-60",
            IF(P259&lt;=90,"61-90","90+")))))</f>
        <v>90+</v>
      </c>
      <c r="R259" t="str">
        <f t="shared" ref="R259:R322" si="44">IF(P259=0, "Not Due","Due")</f>
        <v>Due</v>
      </c>
    </row>
    <row r="260" spans="1:18" x14ac:dyDescent="0.35">
      <c r="A260" t="s">
        <v>267</v>
      </c>
      <c r="B260" t="s">
        <v>810</v>
      </c>
      <c r="C260" s="9">
        <v>45237</v>
      </c>
      <c r="D260" s="28" t="str">
        <f t="shared" si="36"/>
        <v>Nov 2023</v>
      </c>
      <c r="E260" s="9">
        <v>45267</v>
      </c>
      <c r="F260" t="s">
        <v>817</v>
      </c>
      <c r="G260">
        <v>2309.52</v>
      </c>
      <c r="H260" t="s">
        <v>820</v>
      </c>
      <c r="I260" s="15">
        <f t="shared" si="37"/>
        <v>0</v>
      </c>
      <c r="J260" s="18" t="str">
        <f t="shared" si="38"/>
        <v>N/A</v>
      </c>
      <c r="L260" s="54" t="str">
        <f t="shared" si="39"/>
        <v/>
      </c>
      <c r="M260" s="9" t="str">
        <f t="shared" si="40"/>
        <v/>
      </c>
      <c r="N260" t="s">
        <v>822</v>
      </c>
      <c r="O260" s="17">
        <f t="shared" si="41"/>
        <v>45868</v>
      </c>
      <c r="P260" s="25">
        <f t="shared" si="42"/>
        <v>601</v>
      </c>
      <c r="Q260" t="str">
        <f t="shared" si="43"/>
        <v>90+</v>
      </c>
      <c r="R260" t="str">
        <f t="shared" si="44"/>
        <v>Due</v>
      </c>
    </row>
    <row r="261" spans="1:18" x14ac:dyDescent="0.35">
      <c r="A261" t="s">
        <v>268</v>
      </c>
      <c r="B261" t="s">
        <v>809</v>
      </c>
      <c r="C261" s="9">
        <v>45166</v>
      </c>
      <c r="D261" s="28" t="str">
        <f t="shared" si="36"/>
        <v>Aug 2023</v>
      </c>
      <c r="E261" s="9">
        <v>45196</v>
      </c>
      <c r="F261" t="s">
        <v>815</v>
      </c>
      <c r="G261">
        <v>1844.79</v>
      </c>
      <c r="H261" t="s">
        <v>819</v>
      </c>
      <c r="I261" s="15">
        <f t="shared" si="37"/>
        <v>0</v>
      </c>
      <c r="J261" s="18">
        <f t="shared" si="38"/>
        <v>1844.79</v>
      </c>
      <c r="L261" s="54" t="str">
        <f t="shared" si="39"/>
        <v/>
      </c>
      <c r="M261" s="9" t="str">
        <f t="shared" si="40"/>
        <v/>
      </c>
      <c r="N261" t="s">
        <v>822</v>
      </c>
      <c r="O261" s="17">
        <f t="shared" si="41"/>
        <v>45868</v>
      </c>
      <c r="P261" s="25">
        <f t="shared" si="42"/>
        <v>672</v>
      </c>
      <c r="Q261" t="str">
        <f t="shared" si="43"/>
        <v>90+</v>
      </c>
      <c r="R261" t="str">
        <f t="shared" si="44"/>
        <v>Due</v>
      </c>
    </row>
    <row r="262" spans="1:18" x14ac:dyDescent="0.35">
      <c r="A262" t="s">
        <v>269</v>
      </c>
      <c r="B262" t="s">
        <v>811</v>
      </c>
      <c r="C262" s="9">
        <v>45373</v>
      </c>
      <c r="D262" s="28" t="str">
        <f t="shared" si="36"/>
        <v>Mar 2024</v>
      </c>
      <c r="E262" s="9">
        <v>45403</v>
      </c>
      <c r="F262" t="s">
        <v>817</v>
      </c>
      <c r="G262">
        <v>3084.27</v>
      </c>
      <c r="H262" t="s">
        <v>821</v>
      </c>
      <c r="I262" s="15">
        <f t="shared" si="37"/>
        <v>3084.27</v>
      </c>
      <c r="J262" s="18">
        <f t="shared" si="38"/>
        <v>0</v>
      </c>
      <c r="K262" s="9">
        <v>45403</v>
      </c>
      <c r="L262" s="54">
        <f t="shared" si="39"/>
        <v>30</v>
      </c>
      <c r="M262" s="9" t="str">
        <f t="shared" si="40"/>
        <v>2024-Apr</v>
      </c>
      <c r="N262" t="s">
        <v>822</v>
      </c>
      <c r="O262" s="17">
        <f t="shared" si="41"/>
        <v>45868</v>
      </c>
      <c r="P262" s="25">
        <f t="shared" si="42"/>
        <v>0</v>
      </c>
      <c r="Q262" t="str">
        <f t="shared" si="43"/>
        <v>Paid</v>
      </c>
      <c r="R262" t="str">
        <f t="shared" si="44"/>
        <v>Not Due</v>
      </c>
    </row>
    <row r="263" spans="1:18" x14ac:dyDescent="0.35">
      <c r="A263" t="s">
        <v>270</v>
      </c>
      <c r="B263" t="s">
        <v>809</v>
      </c>
      <c r="C263" s="9">
        <v>45693</v>
      </c>
      <c r="D263" s="28" t="str">
        <f t="shared" si="36"/>
        <v>Feb 2025</v>
      </c>
      <c r="E263" s="9">
        <v>45723</v>
      </c>
      <c r="F263" t="s">
        <v>814</v>
      </c>
      <c r="G263">
        <v>2592.61</v>
      </c>
      <c r="H263" t="s">
        <v>821</v>
      </c>
      <c r="I263" s="15">
        <f t="shared" si="37"/>
        <v>2592.61</v>
      </c>
      <c r="J263" s="18">
        <f t="shared" si="38"/>
        <v>0</v>
      </c>
      <c r="K263" s="9">
        <v>45723</v>
      </c>
      <c r="L263" s="54">
        <f t="shared" si="39"/>
        <v>30</v>
      </c>
      <c r="M263" s="9" t="str">
        <f t="shared" si="40"/>
        <v>2025-Mar</v>
      </c>
      <c r="N263" t="s">
        <v>822</v>
      </c>
      <c r="O263" s="17">
        <f t="shared" si="41"/>
        <v>45868</v>
      </c>
      <c r="P263" s="25">
        <f t="shared" si="42"/>
        <v>0</v>
      </c>
      <c r="Q263" t="str">
        <f t="shared" si="43"/>
        <v>Paid</v>
      </c>
      <c r="R263" t="str">
        <f t="shared" si="44"/>
        <v>Not Due</v>
      </c>
    </row>
    <row r="264" spans="1:18" x14ac:dyDescent="0.35">
      <c r="A264" t="s">
        <v>271</v>
      </c>
      <c r="B264" t="s">
        <v>812</v>
      </c>
      <c r="C264" s="9">
        <v>45316</v>
      </c>
      <c r="D264" s="28" t="str">
        <f t="shared" si="36"/>
        <v>Jan 2024</v>
      </c>
      <c r="E264" s="9">
        <v>45346</v>
      </c>
      <c r="F264" t="s">
        <v>818</v>
      </c>
      <c r="G264">
        <v>778.31</v>
      </c>
      <c r="H264" t="s">
        <v>821</v>
      </c>
      <c r="I264" s="15">
        <f t="shared" si="37"/>
        <v>778.31</v>
      </c>
      <c r="J264" s="18">
        <f t="shared" si="38"/>
        <v>0</v>
      </c>
      <c r="K264" s="9">
        <v>45346</v>
      </c>
      <c r="L264" s="54">
        <f t="shared" si="39"/>
        <v>30</v>
      </c>
      <c r="M264" s="9" t="str">
        <f t="shared" si="40"/>
        <v>2024-Feb</v>
      </c>
      <c r="N264" t="s">
        <v>822</v>
      </c>
      <c r="O264" s="17">
        <f t="shared" si="41"/>
        <v>45868</v>
      </c>
      <c r="P264" s="25">
        <f t="shared" si="42"/>
        <v>0</v>
      </c>
      <c r="Q264" t="str">
        <f t="shared" si="43"/>
        <v>Paid</v>
      </c>
      <c r="R264" t="str">
        <f t="shared" si="44"/>
        <v>Not Due</v>
      </c>
    </row>
    <row r="265" spans="1:18" x14ac:dyDescent="0.35">
      <c r="A265" t="s">
        <v>272</v>
      </c>
      <c r="B265" t="s">
        <v>811</v>
      </c>
      <c r="C265" s="9">
        <v>45089</v>
      </c>
      <c r="D265" s="28" t="str">
        <f t="shared" si="36"/>
        <v>Jun 2023</v>
      </c>
      <c r="E265" s="9">
        <v>45119</v>
      </c>
      <c r="F265" t="s">
        <v>817</v>
      </c>
      <c r="G265">
        <v>985.69</v>
      </c>
      <c r="H265" t="s">
        <v>820</v>
      </c>
      <c r="I265" s="15">
        <f t="shared" si="37"/>
        <v>0</v>
      </c>
      <c r="J265" s="18" t="str">
        <f t="shared" si="38"/>
        <v>N/A</v>
      </c>
      <c r="L265" s="54" t="str">
        <f t="shared" si="39"/>
        <v/>
      </c>
      <c r="M265" s="9" t="str">
        <f t="shared" si="40"/>
        <v/>
      </c>
      <c r="N265" t="s">
        <v>822</v>
      </c>
      <c r="O265" s="17">
        <f t="shared" si="41"/>
        <v>45868</v>
      </c>
      <c r="P265" s="25">
        <f t="shared" si="42"/>
        <v>749</v>
      </c>
      <c r="Q265" t="str">
        <f t="shared" si="43"/>
        <v>90+</v>
      </c>
      <c r="R265" t="str">
        <f t="shared" si="44"/>
        <v>Due</v>
      </c>
    </row>
    <row r="266" spans="1:18" x14ac:dyDescent="0.35">
      <c r="A266" t="s">
        <v>273</v>
      </c>
      <c r="B266" t="s">
        <v>809</v>
      </c>
      <c r="C266" s="9">
        <v>45792</v>
      </c>
      <c r="D266" s="28" t="str">
        <f t="shared" si="36"/>
        <v>May 2025</v>
      </c>
      <c r="E266" s="9">
        <v>45822</v>
      </c>
      <c r="F266" t="s">
        <v>815</v>
      </c>
      <c r="G266">
        <v>3250.47</v>
      </c>
      <c r="H266" t="s">
        <v>820</v>
      </c>
      <c r="I266" s="15">
        <f t="shared" si="37"/>
        <v>0</v>
      </c>
      <c r="J266" s="18" t="str">
        <f t="shared" si="38"/>
        <v>N/A</v>
      </c>
      <c r="L266" s="54" t="str">
        <f t="shared" si="39"/>
        <v/>
      </c>
      <c r="M266" s="9" t="str">
        <f t="shared" si="40"/>
        <v/>
      </c>
      <c r="N266" t="s">
        <v>822</v>
      </c>
      <c r="O266" s="17">
        <f t="shared" si="41"/>
        <v>45868</v>
      </c>
      <c r="P266" s="25">
        <f t="shared" si="42"/>
        <v>46</v>
      </c>
      <c r="Q266" t="str">
        <f t="shared" si="43"/>
        <v>31-60</v>
      </c>
      <c r="R266" t="str">
        <f t="shared" si="44"/>
        <v>Due</v>
      </c>
    </row>
    <row r="267" spans="1:18" x14ac:dyDescent="0.35">
      <c r="A267" t="s">
        <v>274</v>
      </c>
      <c r="B267" t="s">
        <v>813</v>
      </c>
      <c r="C267" s="9">
        <v>45686</v>
      </c>
      <c r="D267" s="28" t="str">
        <f t="shared" si="36"/>
        <v>Jan 2025</v>
      </c>
      <c r="E267" s="9">
        <v>45716</v>
      </c>
      <c r="F267" t="s">
        <v>816</v>
      </c>
      <c r="G267">
        <v>1922.95</v>
      </c>
      <c r="H267" t="s">
        <v>820</v>
      </c>
      <c r="I267" s="15">
        <f t="shared" si="37"/>
        <v>0</v>
      </c>
      <c r="J267" s="18" t="str">
        <f t="shared" si="38"/>
        <v>N/A</v>
      </c>
      <c r="L267" s="54" t="str">
        <f t="shared" si="39"/>
        <v/>
      </c>
      <c r="M267" s="9" t="str">
        <f t="shared" si="40"/>
        <v/>
      </c>
      <c r="N267" t="s">
        <v>822</v>
      </c>
      <c r="O267" s="17">
        <f t="shared" si="41"/>
        <v>45868</v>
      </c>
      <c r="P267" s="25">
        <f t="shared" si="42"/>
        <v>152</v>
      </c>
      <c r="Q267" t="str">
        <f t="shared" si="43"/>
        <v>90+</v>
      </c>
      <c r="R267" t="str">
        <f t="shared" si="44"/>
        <v>Due</v>
      </c>
    </row>
    <row r="268" spans="1:18" x14ac:dyDescent="0.35">
      <c r="A268" t="s">
        <v>275</v>
      </c>
      <c r="B268" t="s">
        <v>812</v>
      </c>
      <c r="C268" s="9">
        <v>45209</v>
      </c>
      <c r="D268" s="28" t="str">
        <f t="shared" si="36"/>
        <v>Oct 2023</v>
      </c>
      <c r="E268" s="9">
        <v>45239</v>
      </c>
      <c r="F268" t="s">
        <v>814</v>
      </c>
      <c r="G268">
        <v>3698.61</v>
      </c>
      <c r="H268" t="s">
        <v>819</v>
      </c>
      <c r="I268" s="15">
        <f t="shared" si="37"/>
        <v>0</v>
      </c>
      <c r="J268" s="18">
        <f t="shared" si="38"/>
        <v>3698.61</v>
      </c>
      <c r="L268" s="54" t="str">
        <f t="shared" si="39"/>
        <v/>
      </c>
      <c r="M268" s="9" t="str">
        <f t="shared" si="40"/>
        <v/>
      </c>
      <c r="N268" t="s">
        <v>822</v>
      </c>
      <c r="O268" s="17">
        <f t="shared" si="41"/>
        <v>45868</v>
      </c>
      <c r="P268" s="25">
        <f t="shared" si="42"/>
        <v>629</v>
      </c>
      <c r="Q268" t="str">
        <f t="shared" si="43"/>
        <v>90+</v>
      </c>
      <c r="R268" t="str">
        <f t="shared" si="44"/>
        <v>Due</v>
      </c>
    </row>
    <row r="269" spans="1:18" x14ac:dyDescent="0.35">
      <c r="A269" t="s">
        <v>276</v>
      </c>
      <c r="B269" t="s">
        <v>811</v>
      </c>
      <c r="C269" s="9">
        <v>45094</v>
      </c>
      <c r="D269" s="28" t="str">
        <f t="shared" si="36"/>
        <v>Jun 2023</v>
      </c>
      <c r="E269" s="9">
        <v>45124</v>
      </c>
      <c r="F269" t="s">
        <v>817</v>
      </c>
      <c r="G269">
        <v>4887.26</v>
      </c>
      <c r="H269" t="s">
        <v>819</v>
      </c>
      <c r="I269" s="15">
        <f t="shared" si="37"/>
        <v>0</v>
      </c>
      <c r="J269" s="18">
        <f t="shared" si="38"/>
        <v>4887.26</v>
      </c>
      <c r="L269" s="54" t="str">
        <f t="shared" si="39"/>
        <v/>
      </c>
      <c r="M269" s="9" t="str">
        <f t="shared" si="40"/>
        <v/>
      </c>
      <c r="N269" t="s">
        <v>822</v>
      </c>
      <c r="O269" s="17">
        <f t="shared" si="41"/>
        <v>45868</v>
      </c>
      <c r="P269" s="25">
        <f t="shared" si="42"/>
        <v>744</v>
      </c>
      <c r="Q269" t="str">
        <f t="shared" si="43"/>
        <v>90+</v>
      </c>
      <c r="R269" t="str">
        <f t="shared" si="44"/>
        <v>Due</v>
      </c>
    </row>
    <row r="270" spans="1:18" x14ac:dyDescent="0.35">
      <c r="A270" t="s">
        <v>277</v>
      </c>
      <c r="B270" t="s">
        <v>812</v>
      </c>
      <c r="C270" s="9">
        <v>45545</v>
      </c>
      <c r="D270" s="28" t="str">
        <f t="shared" si="36"/>
        <v>Sep 2024</v>
      </c>
      <c r="E270" s="9">
        <v>45575</v>
      </c>
      <c r="F270" t="s">
        <v>816</v>
      </c>
      <c r="G270">
        <v>5277.25</v>
      </c>
      <c r="H270" t="s">
        <v>820</v>
      </c>
      <c r="I270" s="15">
        <f t="shared" si="37"/>
        <v>0</v>
      </c>
      <c r="J270" s="18" t="str">
        <f t="shared" si="38"/>
        <v>N/A</v>
      </c>
      <c r="L270" s="54" t="str">
        <f t="shared" si="39"/>
        <v/>
      </c>
      <c r="M270" s="9" t="str">
        <f t="shared" si="40"/>
        <v/>
      </c>
      <c r="N270" t="s">
        <v>822</v>
      </c>
      <c r="O270" s="17">
        <f t="shared" si="41"/>
        <v>45868</v>
      </c>
      <c r="P270" s="25">
        <f t="shared" si="42"/>
        <v>293</v>
      </c>
      <c r="Q270" t="str">
        <f t="shared" si="43"/>
        <v>90+</v>
      </c>
      <c r="R270" t="str">
        <f t="shared" si="44"/>
        <v>Due</v>
      </c>
    </row>
    <row r="271" spans="1:18" x14ac:dyDescent="0.35">
      <c r="A271" t="s">
        <v>278</v>
      </c>
      <c r="B271" t="s">
        <v>812</v>
      </c>
      <c r="C271" s="9">
        <v>45820</v>
      </c>
      <c r="D271" s="28" t="str">
        <f t="shared" si="36"/>
        <v>Jun 2025</v>
      </c>
      <c r="E271" s="9">
        <v>45850</v>
      </c>
      <c r="F271" t="s">
        <v>815</v>
      </c>
      <c r="G271">
        <v>927.09</v>
      </c>
      <c r="H271" t="s">
        <v>819</v>
      </c>
      <c r="I271" s="15">
        <f t="shared" si="37"/>
        <v>0</v>
      </c>
      <c r="J271" s="18">
        <f t="shared" si="38"/>
        <v>927.09</v>
      </c>
      <c r="L271" s="54" t="str">
        <f t="shared" si="39"/>
        <v/>
      </c>
      <c r="M271" s="9" t="str">
        <f t="shared" si="40"/>
        <v/>
      </c>
      <c r="N271" t="s">
        <v>822</v>
      </c>
      <c r="O271" s="17">
        <f t="shared" si="41"/>
        <v>45868</v>
      </c>
      <c r="P271" s="25">
        <f t="shared" si="42"/>
        <v>18</v>
      </c>
      <c r="Q271" t="str">
        <f t="shared" si="43"/>
        <v>1-30</v>
      </c>
      <c r="R271" t="str">
        <f t="shared" si="44"/>
        <v>Due</v>
      </c>
    </row>
    <row r="272" spans="1:18" x14ac:dyDescent="0.35">
      <c r="A272" t="s">
        <v>279</v>
      </c>
      <c r="B272" t="s">
        <v>812</v>
      </c>
      <c r="C272" s="9">
        <v>45834</v>
      </c>
      <c r="D272" s="28" t="str">
        <f t="shared" si="36"/>
        <v>Jun 2025</v>
      </c>
      <c r="E272" s="9">
        <v>45864</v>
      </c>
      <c r="F272" t="s">
        <v>816</v>
      </c>
      <c r="G272">
        <v>5849.89</v>
      </c>
      <c r="H272" t="s">
        <v>821</v>
      </c>
      <c r="I272" s="15">
        <f t="shared" si="37"/>
        <v>5849.89</v>
      </c>
      <c r="J272" s="18">
        <f t="shared" si="38"/>
        <v>0</v>
      </c>
      <c r="K272" s="9">
        <v>45864</v>
      </c>
      <c r="L272" s="54">
        <f t="shared" si="39"/>
        <v>30</v>
      </c>
      <c r="M272" s="9" t="str">
        <f t="shared" si="40"/>
        <v>2025-Jul</v>
      </c>
      <c r="N272" t="s">
        <v>822</v>
      </c>
      <c r="O272" s="17">
        <f t="shared" si="41"/>
        <v>45868</v>
      </c>
      <c r="P272" s="25">
        <f t="shared" si="42"/>
        <v>0</v>
      </c>
      <c r="Q272" t="str">
        <f t="shared" si="43"/>
        <v>Paid</v>
      </c>
      <c r="R272" t="str">
        <f t="shared" si="44"/>
        <v>Not Due</v>
      </c>
    </row>
    <row r="273" spans="1:18" x14ac:dyDescent="0.35">
      <c r="A273" t="s">
        <v>280</v>
      </c>
      <c r="B273" t="s">
        <v>812</v>
      </c>
      <c r="C273" s="9">
        <v>45242</v>
      </c>
      <c r="D273" s="28" t="str">
        <f t="shared" si="36"/>
        <v>Nov 2023</v>
      </c>
      <c r="E273" s="9">
        <v>45272</v>
      </c>
      <c r="F273" t="s">
        <v>818</v>
      </c>
      <c r="G273">
        <v>1302.8900000000001</v>
      </c>
      <c r="H273" t="s">
        <v>819</v>
      </c>
      <c r="I273" s="15">
        <f t="shared" si="37"/>
        <v>0</v>
      </c>
      <c r="J273" s="18">
        <f t="shared" si="38"/>
        <v>1302.8900000000001</v>
      </c>
      <c r="L273" s="54" t="str">
        <f t="shared" si="39"/>
        <v/>
      </c>
      <c r="M273" s="9" t="str">
        <f t="shared" si="40"/>
        <v/>
      </c>
      <c r="N273" t="s">
        <v>822</v>
      </c>
      <c r="O273" s="17">
        <f t="shared" si="41"/>
        <v>45868</v>
      </c>
      <c r="P273" s="25">
        <f t="shared" si="42"/>
        <v>596</v>
      </c>
      <c r="Q273" t="str">
        <f t="shared" si="43"/>
        <v>90+</v>
      </c>
      <c r="R273" t="str">
        <f t="shared" si="44"/>
        <v>Due</v>
      </c>
    </row>
    <row r="274" spans="1:18" x14ac:dyDescent="0.35">
      <c r="A274" t="s">
        <v>281</v>
      </c>
      <c r="B274" t="s">
        <v>809</v>
      </c>
      <c r="C274" s="9">
        <v>45373</v>
      </c>
      <c r="D274" s="28" t="str">
        <f t="shared" si="36"/>
        <v>Mar 2024</v>
      </c>
      <c r="E274" s="9">
        <v>45403</v>
      </c>
      <c r="F274" t="s">
        <v>814</v>
      </c>
      <c r="G274">
        <v>4356.75</v>
      </c>
      <c r="H274" t="s">
        <v>819</v>
      </c>
      <c r="I274" s="15">
        <f t="shared" si="37"/>
        <v>0</v>
      </c>
      <c r="J274" s="18">
        <f t="shared" si="38"/>
        <v>4356.75</v>
      </c>
      <c r="L274" s="54" t="str">
        <f t="shared" si="39"/>
        <v/>
      </c>
      <c r="M274" s="9" t="str">
        <f t="shared" si="40"/>
        <v/>
      </c>
      <c r="N274" t="s">
        <v>822</v>
      </c>
      <c r="O274" s="17">
        <f t="shared" si="41"/>
        <v>45868</v>
      </c>
      <c r="P274" s="25">
        <f t="shared" si="42"/>
        <v>465</v>
      </c>
      <c r="Q274" t="str">
        <f t="shared" si="43"/>
        <v>90+</v>
      </c>
      <c r="R274" t="str">
        <f t="shared" si="44"/>
        <v>Due</v>
      </c>
    </row>
    <row r="275" spans="1:18" x14ac:dyDescent="0.35">
      <c r="A275" t="s">
        <v>282</v>
      </c>
      <c r="B275" t="s">
        <v>810</v>
      </c>
      <c r="C275" s="9">
        <v>45322</v>
      </c>
      <c r="D275" s="28" t="str">
        <f t="shared" si="36"/>
        <v>Jan 2024</v>
      </c>
      <c r="E275" s="9">
        <v>45352</v>
      </c>
      <c r="F275" t="s">
        <v>818</v>
      </c>
      <c r="G275">
        <v>1466.12</v>
      </c>
      <c r="H275" t="s">
        <v>821</v>
      </c>
      <c r="I275" s="15">
        <f t="shared" si="37"/>
        <v>1466.12</v>
      </c>
      <c r="J275" s="18">
        <f t="shared" si="38"/>
        <v>0</v>
      </c>
      <c r="K275" s="9">
        <v>45352</v>
      </c>
      <c r="L275" s="54">
        <f t="shared" si="39"/>
        <v>30</v>
      </c>
      <c r="M275" s="9" t="str">
        <f t="shared" si="40"/>
        <v>2024-Mar</v>
      </c>
      <c r="N275" t="s">
        <v>822</v>
      </c>
      <c r="O275" s="17">
        <f t="shared" si="41"/>
        <v>45868</v>
      </c>
      <c r="P275" s="25">
        <f t="shared" si="42"/>
        <v>0</v>
      </c>
      <c r="Q275" t="str">
        <f t="shared" si="43"/>
        <v>Paid</v>
      </c>
      <c r="R275" t="str">
        <f t="shared" si="44"/>
        <v>Not Due</v>
      </c>
    </row>
    <row r="276" spans="1:18" x14ac:dyDescent="0.35">
      <c r="A276" t="s">
        <v>283</v>
      </c>
      <c r="B276" t="s">
        <v>810</v>
      </c>
      <c r="C276" s="9">
        <v>45332</v>
      </c>
      <c r="D276" s="28" t="str">
        <f t="shared" si="36"/>
        <v>Feb 2024</v>
      </c>
      <c r="E276" s="9">
        <v>45362</v>
      </c>
      <c r="F276" t="s">
        <v>817</v>
      </c>
      <c r="G276">
        <v>970.98</v>
      </c>
      <c r="H276" t="s">
        <v>819</v>
      </c>
      <c r="I276" s="15">
        <f t="shared" si="37"/>
        <v>0</v>
      </c>
      <c r="J276" s="18">
        <f t="shared" si="38"/>
        <v>970.98</v>
      </c>
      <c r="L276" s="54" t="str">
        <f t="shared" si="39"/>
        <v/>
      </c>
      <c r="M276" s="9" t="str">
        <f t="shared" si="40"/>
        <v/>
      </c>
      <c r="N276" t="s">
        <v>822</v>
      </c>
      <c r="O276" s="17">
        <f t="shared" si="41"/>
        <v>45868</v>
      </c>
      <c r="P276" s="25">
        <f t="shared" si="42"/>
        <v>506</v>
      </c>
      <c r="Q276" t="str">
        <f t="shared" si="43"/>
        <v>90+</v>
      </c>
      <c r="R276" t="str">
        <f t="shared" si="44"/>
        <v>Due</v>
      </c>
    </row>
    <row r="277" spans="1:18" x14ac:dyDescent="0.35">
      <c r="A277" t="s">
        <v>284</v>
      </c>
      <c r="B277" t="s">
        <v>812</v>
      </c>
      <c r="C277" s="9">
        <v>44997</v>
      </c>
      <c r="D277" s="28" t="str">
        <f t="shared" si="36"/>
        <v>Mar 2023</v>
      </c>
      <c r="E277" s="9">
        <v>45027</v>
      </c>
      <c r="F277" t="s">
        <v>818</v>
      </c>
      <c r="G277">
        <v>535.12</v>
      </c>
      <c r="H277" t="s">
        <v>821</v>
      </c>
      <c r="I277" s="15">
        <f t="shared" si="37"/>
        <v>535.12</v>
      </c>
      <c r="J277" s="18">
        <f t="shared" si="38"/>
        <v>0</v>
      </c>
      <c r="K277" s="9">
        <v>45027</v>
      </c>
      <c r="L277" s="54">
        <f t="shared" si="39"/>
        <v>30</v>
      </c>
      <c r="M277" s="9" t="str">
        <f t="shared" si="40"/>
        <v>2023-Apr</v>
      </c>
      <c r="N277" t="s">
        <v>822</v>
      </c>
      <c r="O277" s="17">
        <f t="shared" si="41"/>
        <v>45868</v>
      </c>
      <c r="P277" s="25">
        <f t="shared" si="42"/>
        <v>0</v>
      </c>
      <c r="Q277" t="str">
        <f t="shared" si="43"/>
        <v>Paid</v>
      </c>
      <c r="R277" t="str">
        <f t="shared" si="44"/>
        <v>Not Due</v>
      </c>
    </row>
    <row r="278" spans="1:18" x14ac:dyDescent="0.35">
      <c r="A278" t="s">
        <v>285</v>
      </c>
      <c r="B278" t="s">
        <v>811</v>
      </c>
      <c r="C278" s="9">
        <v>45478</v>
      </c>
      <c r="D278" s="28" t="str">
        <f t="shared" si="36"/>
        <v>Jul 2024</v>
      </c>
      <c r="E278" s="9">
        <v>45508</v>
      </c>
      <c r="F278" t="s">
        <v>816</v>
      </c>
      <c r="G278">
        <v>1337</v>
      </c>
      <c r="H278" t="s">
        <v>819</v>
      </c>
      <c r="I278" s="15">
        <f t="shared" si="37"/>
        <v>0</v>
      </c>
      <c r="J278" s="18">
        <f t="shared" si="38"/>
        <v>1337</v>
      </c>
      <c r="L278" s="54" t="str">
        <f t="shared" si="39"/>
        <v/>
      </c>
      <c r="M278" s="9" t="str">
        <f t="shared" si="40"/>
        <v/>
      </c>
      <c r="N278" t="s">
        <v>822</v>
      </c>
      <c r="O278" s="17">
        <f t="shared" si="41"/>
        <v>45868</v>
      </c>
      <c r="P278" s="25">
        <f t="shared" si="42"/>
        <v>360</v>
      </c>
      <c r="Q278" t="str">
        <f t="shared" si="43"/>
        <v>90+</v>
      </c>
      <c r="R278" t="str">
        <f t="shared" si="44"/>
        <v>Due</v>
      </c>
    </row>
    <row r="279" spans="1:18" x14ac:dyDescent="0.35">
      <c r="A279" t="s">
        <v>286</v>
      </c>
      <c r="B279" t="s">
        <v>811</v>
      </c>
      <c r="C279" s="9">
        <v>45513</v>
      </c>
      <c r="D279" s="28" t="str">
        <f t="shared" si="36"/>
        <v>Aug 2024</v>
      </c>
      <c r="E279" s="9">
        <v>45543</v>
      </c>
      <c r="F279" t="s">
        <v>816</v>
      </c>
      <c r="G279">
        <v>2605.7800000000002</v>
      </c>
      <c r="H279" t="s">
        <v>819</v>
      </c>
      <c r="I279" s="15">
        <f t="shared" si="37"/>
        <v>0</v>
      </c>
      <c r="J279" s="18">
        <f t="shared" si="38"/>
        <v>2605.7800000000002</v>
      </c>
      <c r="L279" s="54" t="str">
        <f t="shared" si="39"/>
        <v/>
      </c>
      <c r="M279" s="9" t="str">
        <f t="shared" si="40"/>
        <v/>
      </c>
      <c r="N279" t="s">
        <v>822</v>
      </c>
      <c r="O279" s="17">
        <f t="shared" si="41"/>
        <v>45868</v>
      </c>
      <c r="P279" s="25">
        <f t="shared" si="42"/>
        <v>325</v>
      </c>
      <c r="Q279" t="str">
        <f t="shared" si="43"/>
        <v>90+</v>
      </c>
      <c r="R279" t="str">
        <f t="shared" si="44"/>
        <v>Due</v>
      </c>
    </row>
    <row r="280" spans="1:18" x14ac:dyDescent="0.35">
      <c r="A280" t="s">
        <v>287</v>
      </c>
      <c r="B280" t="s">
        <v>809</v>
      </c>
      <c r="C280" s="9">
        <v>45487</v>
      </c>
      <c r="D280" s="28" t="str">
        <f t="shared" si="36"/>
        <v>Jul 2024</v>
      </c>
      <c r="E280" s="9">
        <v>45517</v>
      </c>
      <c r="F280" t="s">
        <v>817</v>
      </c>
      <c r="G280">
        <v>1199.03</v>
      </c>
      <c r="H280" t="s">
        <v>820</v>
      </c>
      <c r="I280" s="15">
        <f t="shared" si="37"/>
        <v>0</v>
      </c>
      <c r="J280" s="18" t="str">
        <f t="shared" si="38"/>
        <v>N/A</v>
      </c>
      <c r="L280" s="54" t="str">
        <f t="shared" si="39"/>
        <v/>
      </c>
      <c r="M280" s="9" t="str">
        <f t="shared" si="40"/>
        <v/>
      </c>
      <c r="N280" t="s">
        <v>822</v>
      </c>
      <c r="O280" s="17">
        <f t="shared" si="41"/>
        <v>45868</v>
      </c>
      <c r="P280" s="25">
        <f t="shared" si="42"/>
        <v>351</v>
      </c>
      <c r="Q280" t="str">
        <f t="shared" si="43"/>
        <v>90+</v>
      </c>
      <c r="R280" t="str">
        <f t="shared" si="44"/>
        <v>Due</v>
      </c>
    </row>
    <row r="281" spans="1:18" x14ac:dyDescent="0.35">
      <c r="A281" t="s">
        <v>288</v>
      </c>
      <c r="B281" t="s">
        <v>811</v>
      </c>
      <c r="C281" s="9">
        <v>45057</v>
      </c>
      <c r="D281" s="28" t="str">
        <f t="shared" si="36"/>
        <v>May 2023</v>
      </c>
      <c r="E281" s="9">
        <v>45087</v>
      </c>
      <c r="F281" t="s">
        <v>817</v>
      </c>
      <c r="G281">
        <v>317.85000000000002</v>
      </c>
      <c r="H281" t="s">
        <v>821</v>
      </c>
      <c r="I281" s="15">
        <f t="shared" si="37"/>
        <v>317.85000000000002</v>
      </c>
      <c r="J281" s="18">
        <f t="shared" si="38"/>
        <v>0</v>
      </c>
      <c r="K281" s="9">
        <v>45087</v>
      </c>
      <c r="L281" s="54">
        <f t="shared" si="39"/>
        <v>30</v>
      </c>
      <c r="M281" s="9" t="str">
        <f t="shared" si="40"/>
        <v>2023-Jun</v>
      </c>
      <c r="N281" t="s">
        <v>822</v>
      </c>
      <c r="O281" s="17">
        <f t="shared" si="41"/>
        <v>45868</v>
      </c>
      <c r="P281" s="25">
        <f t="shared" si="42"/>
        <v>0</v>
      </c>
      <c r="Q281" t="str">
        <f t="shared" si="43"/>
        <v>Paid</v>
      </c>
      <c r="R281" t="str">
        <f t="shared" si="44"/>
        <v>Not Due</v>
      </c>
    </row>
    <row r="282" spans="1:18" x14ac:dyDescent="0.35">
      <c r="A282" t="s">
        <v>289</v>
      </c>
      <c r="B282" t="s">
        <v>810</v>
      </c>
      <c r="C282" s="9">
        <v>45753</v>
      </c>
      <c r="D282" s="28" t="str">
        <f t="shared" si="36"/>
        <v>Apr 2025</v>
      </c>
      <c r="E282" s="9">
        <v>45783</v>
      </c>
      <c r="F282" t="s">
        <v>814</v>
      </c>
      <c r="G282">
        <v>5306.09</v>
      </c>
      <c r="H282" t="s">
        <v>820</v>
      </c>
      <c r="I282" s="15">
        <f t="shared" si="37"/>
        <v>0</v>
      </c>
      <c r="J282" s="18" t="str">
        <f t="shared" si="38"/>
        <v>N/A</v>
      </c>
      <c r="L282" s="54" t="str">
        <f t="shared" si="39"/>
        <v/>
      </c>
      <c r="M282" s="9" t="str">
        <f t="shared" si="40"/>
        <v/>
      </c>
      <c r="N282" t="s">
        <v>822</v>
      </c>
      <c r="O282" s="17">
        <f t="shared" si="41"/>
        <v>45868</v>
      </c>
      <c r="P282" s="25">
        <f t="shared" si="42"/>
        <v>85</v>
      </c>
      <c r="Q282" t="str">
        <f t="shared" si="43"/>
        <v>61-90</v>
      </c>
      <c r="R282" t="str">
        <f t="shared" si="44"/>
        <v>Due</v>
      </c>
    </row>
    <row r="283" spans="1:18" x14ac:dyDescent="0.35">
      <c r="A283" t="s">
        <v>290</v>
      </c>
      <c r="B283" t="s">
        <v>809</v>
      </c>
      <c r="C283" s="9">
        <v>45606</v>
      </c>
      <c r="D283" s="28" t="str">
        <f t="shared" si="36"/>
        <v>Nov 2024</v>
      </c>
      <c r="E283" s="9">
        <v>45636</v>
      </c>
      <c r="F283" t="s">
        <v>816</v>
      </c>
      <c r="G283">
        <v>2174.38</v>
      </c>
      <c r="H283" t="s">
        <v>819</v>
      </c>
      <c r="I283" s="15">
        <f t="shared" si="37"/>
        <v>0</v>
      </c>
      <c r="J283" s="18">
        <f t="shared" si="38"/>
        <v>2174.38</v>
      </c>
      <c r="L283" s="54" t="str">
        <f t="shared" si="39"/>
        <v/>
      </c>
      <c r="M283" s="9" t="str">
        <f t="shared" si="40"/>
        <v/>
      </c>
      <c r="N283" t="s">
        <v>822</v>
      </c>
      <c r="O283" s="17">
        <f t="shared" si="41"/>
        <v>45868</v>
      </c>
      <c r="P283" s="25">
        <f t="shared" si="42"/>
        <v>232</v>
      </c>
      <c r="Q283" t="str">
        <f t="shared" si="43"/>
        <v>90+</v>
      </c>
      <c r="R283" t="str">
        <f t="shared" si="44"/>
        <v>Due</v>
      </c>
    </row>
    <row r="284" spans="1:18" x14ac:dyDescent="0.35">
      <c r="A284" t="s">
        <v>291</v>
      </c>
      <c r="B284" t="s">
        <v>810</v>
      </c>
      <c r="C284" s="9">
        <v>44974</v>
      </c>
      <c r="D284" s="28" t="str">
        <f t="shared" si="36"/>
        <v>Feb 2023</v>
      </c>
      <c r="E284" s="9">
        <v>45004</v>
      </c>
      <c r="F284" t="s">
        <v>816</v>
      </c>
      <c r="G284">
        <v>2732.86</v>
      </c>
      <c r="H284" t="s">
        <v>819</v>
      </c>
      <c r="I284" s="15">
        <f t="shared" si="37"/>
        <v>0</v>
      </c>
      <c r="J284" s="18">
        <f t="shared" si="38"/>
        <v>2732.86</v>
      </c>
      <c r="L284" s="54" t="str">
        <f t="shared" si="39"/>
        <v/>
      </c>
      <c r="M284" s="9" t="str">
        <f t="shared" si="40"/>
        <v/>
      </c>
      <c r="N284" t="s">
        <v>822</v>
      </c>
      <c r="O284" s="17">
        <f t="shared" si="41"/>
        <v>45868</v>
      </c>
      <c r="P284" s="25">
        <f t="shared" si="42"/>
        <v>864</v>
      </c>
      <c r="Q284" t="str">
        <f t="shared" si="43"/>
        <v>90+</v>
      </c>
      <c r="R284" t="str">
        <f t="shared" si="44"/>
        <v>Due</v>
      </c>
    </row>
    <row r="285" spans="1:18" x14ac:dyDescent="0.35">
      <c r="A285" t="s">
        <v>292</v>
      </c>
      <c r="B285" t="s">
        <v>810</v>
      </c>
      <c r="C285" s="9">
        <v>45581</v>
      </c>
      <c r="D285" s="28" t="str">
        <f t="shared" si="36"/>
        <v>Oct 2024</v>
      </c>
      <c r="E285" s="9">
        <v>45611</v>
      </c>
      <c r="F285" t="s">
        <v>815</v>
      </c>
      <c r="G285">
        <v>1511.36</v>
      </c>
      <c r="H285" t="s">
        <v>819</v>
      </c>
      <c r="I285" s="15">
        <f t="shared" si="37"/>
        <v>0</v>
      </c>
      <c r="J285" s="18">
        <f t="shared" si="38"/>
        <v>1511.36</v>
      </c>
      <c r="L285" s="54" t="str">
        <f t="shared" si="39"/>
        <v/>
      </c>
      <c r="M285" s="9" t="str">
        <f t="shared" si="40"/>
        <v/>
      </c>
      <c r="N285" t="s">
        <v>822</v>
      </c>
      <c r="O285" s="17">
        <f t="shared" si="41"/>
        <v>45868</v>
      </c>
      <c r="P285" s="25">
        <f t="shared" si="42"/>
        <v>257</v>
      </c>
      <c r="Q285" t="str">
        <f t="shared" si="43"/>
        <v>90+</v>
      </c>
      <c r="R285" t="str">
        <f t="shared" si="44"/>
        <v>Due</v>
      </c>
    </row>
    <row r="286" spans="1:18" x14ac:dyDescent="0.35">
      <c r="A286" t="s">
        <v>293</v>
      </c>
      <c r="B286" t="s">
        <v>813</v>
      </c>
      <c r="C286" s="9">
        <v>45752</v>
      </c>
      <c r="D286" s="28" t="str">
        <f t="shared" si="36"/>
        <v>Apr 2025</v>
      </c>
      <c r="E286" s="9">
        <v>45782</v>
      </c>
      <c r="F286" t="s">
        <v>815</v>
      </c>
      <c r="G286">
        <v>2956.59</v>
      </c>
      <c r="H286" t="s">
        <v>820</v>
      </c>
      <c r="I286" s="15">
        <f t="shared" si="37"/>
        <v>0</v>
      </c>
      <c r="J286" s="18" t="str">
        <f t="shared" si="38"/>
        <v>N/A</v>
      </c>
      <c r="L286" s="54" t="str">
        <f t="shared" si="39"/>
        <v/>
      </c>
      <c r="M286" s="9" t="str">
        <f t="shared" si="40"/>
        <v/>
      </c>
      <c r="N286" t="s">
        <v>822</v>
      </c>
      <c r="O286" s="17">
        <f t="shared" si="41"/>
        <v>45868</v>
      </c>
      <c r="P286" s="25">
        <f t="shared" si="42"/>
        <v>86</v>
      </c>
      <c r="Q286" t="str">
        <f t="shared" si="43"/>
        <v>61-90</v>
      </c>
      <c r="R286" t="str">
        <f t="shared" si="44"/>
        <v>Due</v>
      </c>
    </row>
    <row r="287" spans="1:18" x14ac:dyDescent="0.35">
      <c r="A287" t="s">
        <v>294</v>
      </c>
      <c r="B287" t="s">
        <v>809</v>
      </c>
      <c r="C287" s="9">
        <v>45302</v>
      </c>
      <c r="D287" s="28" t="str">
        <f t="shared" si="36"/>
        <v>Jan 2024</v>
      </c>
      <c r="E287" s="9">
        <v>45332</v>
      </c>
      <c r="F287" t="s">
        <v>816</v>
      </c>
      <c r="G287">
        <v>4700.4799999999996</v>
      </c>
      <c r="H287" t="s">
        <v>820</v>
      </c>
      <c r="I287" s="15">
        <f t="shared" si="37"/>
        <v>0</v>
      </c>
      <c r="J287" s="18" t="str">
        <f t="shared" si="38"/>
        <v>N/A</v>
      </c>
      <c r="L287" s="54" t="str">
        <f t="shared" si="39"/>
        <v/>
      </c>
      <c r="M287" s="9" t="str">
        <f t="shared" si="40"/>
        <v/>
      </c>
      <c r="N287" t="s">
        <v>822</v>
      </c>
      <c r="O287" s="17">
        <f t="shared" si="41"/>
        <v>45868</v>
      </c>
      <c r="P287" s="25">
        <f t="shared" si="42"/>
        <v>536</v>
      </c>
      <c r="Q287" t="str">
        <f t="shared" si="43"/>
        <v>90+</v>
      </c>
      <c r="R287" t="str">
        <f t="shared" si="44"/>
        <v>Due</v>
      </c>
    </row>
    <row r="288" spans="1:18" x14ac:dyDescent="0.35">
      <c r="A288" t="s">
        <v>295</v>
      </c>
      <c r="B288" t="s">
        <v>810</v>
      </c>
      <c r="C288" s="9">
        <v>45225</v>
      </c>
      <c r="D288" s="28" t="str">
        <f t="shared" si="36"/>
        <v>Oct 2023</v>
      </c>
      <c r="E288" s="9">
        <v>45255</v>
      </c>
      <c r="F288" t="s">
        <v>817</v>
      </c>
      <c r="G288">
        <v>310.83999999999997</v>
      </c>
      <c r="H288" t="s">
        <v>821</v>
      </c>
      <c r="I288" s="15">
        <f t="shared" si="37"/>
        <v>310.83999999999997</v>
      </c>
      <c r="J288" s="18">
        <f t="shared" si="38"/>
        <v>0</v>
      </c>
      <c r="K288" s="9">
        <v>45255</v>
      </c>
      <c r="L288" s="54">
        <f t="shared" si="39"/>
        <v>30</v>
      </c>
      <c r="M288" s="9" t="str">
        <f t="shared" si="40"/>
        <v>2023-Nov</v>
      </c>
      <c r="N288" t="s">
        <v>822</v>
      </c>
      <c r="O288" s="17">
        <f t="shared" si="41"/>
        <v>45868</v>
      </c>
      <c r="P288" s="25">
        <f t="shared" si="42"/>
        <v>0</v>
      </c>
      <c r="Q288" t="str">
        <f t="shared" si="43"/>
        <v>Paid</v>
      </c>
      <c r="R288" t="str">
        <f t="shared" si="44"/>
        <v>Not Due</v>
      </c>
    </row>
    <row r="289" spans="1:18" x14ac:dyDescent="0.35">
      <c r="A289" t="s">
        <v>296</v>
      </c>
      <c r="B289" t="s">
        <v>811</v>
      </c>
      <c r="C289" s="9">
        <v>45559</v>
      </c>
      <c r="D289" s="28" t="str">
        <f t="shared" si="36"/>
        <v>Sep 2024</v>
      </c>
      <c r="E289" s="9">
        <v>45589</v>
      </c>
      <c r="F289" t="s">
        <v>814</v>
      </c>
      <c r="G289">
        <v>1082.18</v>
      </c>
      <c r="H289" t="s">
        <v>820</v>
      </c>
      <c r="I289" s="15">
        <f t="shared" si="37"/>
        <v>0</v>
      </c>
      <c r="J289" s="18" t="str">
        <f t="shared" si="38"/>
        <v>N/A</v>
      </c>
      <c r="L289" s="54" t="str">
        <f t="shared" si="39"/>
        <v/>
      </c>
      <c r="M289" s="9" t="str">
        <f t="shared" si="40"/>
        <v/>
      </c>
      <c r="N289" t="s">
        <v>822</v>
      </c>
      <c r="O289" s="17">
        <f t="shared" si="41"/>
        <v>45868</v>
      </c>
      <c r="P289" s="25">
        <f t="shared" si="42"/>
        <v>279</v>
      </c>
      <c r="Q289" t="str">
        <f t="shared" si="43"/>
        <v>90+</v>
      </c>
      <c r="R289" t="str">
        <f t="shared" si="44"/>
        <v>Due</v>
      </c>
    </row>
    <row r="290" spans="1:18" x14ac:dyDescent="0.35">
      <c r="A290" t="s">
        <v>297</v>
      </c>
      <c r="B290" t="s">
        <v>813</v>
      </c>
      <c r="C290" s="9">
        <v>45001</v>
      </c>
      <c r="D290" s="28" t="str">
        <f t="shared" si="36"/>
        <v>Mar 2023</v>
      </c>
      <c r="E290" s="9">
        <v>45031</v>
      </c>
      <c r="F290" t="s">
        <v>817</v>
      </c>
      <c r="G290">
        <v>4087.15</v>
      </c>
      <c r="H290" t="s">
        <v>821</v>
      </c>
      <c r="I290" s="15">
        <f t="shared" si="37"/>
        <v>4087.15</v>
      </c>
      <c r="J290" s="18">
        <f t="shared" si="38"/>
        <v>0</v>
      </c>
      <c r="K290" s="9">
        <v>45031</v>
      </c>
      <c r="L290" s="54">
        <f t="shared" si="39"/>
        <v>30</v>
      </c>
      <c r="M290" s="9" t="str">
        <f t="shared" si="40"/>
        <v>2023-Apr</v>
      </c>
      <c r="N290" t="s">
        <v>822</v>
      </c>
      <c r="O290" s="17">
        <f t="shared" si="41"/>
        <v>45868</v>
      </c>
      <c r="P290" s="25">
        <f t="shared" si="42"/>
        <v>0</v>
      </c>
      <c r="Q290" t="str">
        <f t="shared" si="43"/>
        <v>Paid</v>
      </c>
      <c r="R290" t="str">
        <f t="shared" si="44"/>
        <v>Not Due</v>
      </c>
    </row>
    <row r="291" spans="1:18" x14ac:dyDescent="0.35">
      <c r="A291" t="s">
        <v>298</v>
      </c>
      <c r="B291" t="s">
        <v>812</v>
      </c>
      <c r="C291" s="9">
        <v>45741</v>
      </c>
      <c r="D291" s="28" t="str">
        <f t="shared" si="36"/>
        <v>Mar 2025</v>
      </c>
      <c r="E291" s="9">
        <v>45771</v>
      </c>
      <c r="F291" t="s">
        <v>815</v>
      </c>
      <c r="G291">
        <v>1697.44</v>
      </c>
      <c r="H291" t="s">
        <v>819</v>
      </c>
      <c r="I291" s="15">
        <f t="shared" si="37"/>
        <v>0</v>
      </c>
      <c r="J291" s="18">
        <f t="shared" si="38"/>
        <v>1697.44</v>
      </c>
      <c r="L291" s="54" t="str">
        <f t="shared" si="39"/>
        <v/>
      </c>
      <c r="M291" s="9" t="str">
        <f t="shared" si="40"/>
        <v/>
      </c>
      <c r="N291" t="s">
        <v>822</v>
      </c>
      <c r="O291" s="17">
        <f t="shared" si="41"/>
        <v>45868</v>
      </c>
      <c r="P291" s="25">
        <f t="shared" si="42"/>
        <v>97</v>
      </c>
      <c r="Q291" t="str">
        <f t="shared" si="43"/>
        <v>90+</v>
      </c>
      <c r="R291" t="str">
        <f t="shared" si="44"/>
        <v>Due</v>
      </c>
    </row>
    <row r="292" spans="1:18" x14ac:dyDescent="0.35">
      <c r="A292" t="s">
        <v>299</v>
      </c>
      <c r="B292" t="s">
        <v>813</v>
      </c>
      <c r="C292" s="9">
        <v>45152</v>
      </c>
      <c r="D292" s="28" t="str">
        <f t="shared" si="36"/>
        <v>Aug 2023</v>
      </c>
      <c r="E292" s="9">
        <v>45182</v>
      </c>
      <c r="F292" t="s">
        <v>816</v>
      </c>
      <c r="G292">
        <v>6521.56</v>
      </c>
      <c r="H292" t="s">
        <v>821</v>
      </c>
      <c r="I292" s="15">
        <f t="shared" si="37"/>
        <v>6521.56</v>
      </c>
      <c r="J292" s="18">
        <f t="shared" si="38"/>
        <v>0</v>
      </c>
      <c r="K292" s="9">
        <v>45182</v>
      </c>
      <c r="L292" s="54">
        <f t="shared" si="39"/>
        <v>30</v>
      </c>
      <c r="M292" s="9" t="str">
        <f t="shared" si="40"/>
        <v>2023-Sep</v>
      </c>
      <c r="N292" t="s">
        <v>822</v>
      </c>
      <c r="O292" s="17">
        <f t="shared" si="41"/>
        <v>45868</v>
      </c>
      <c r="P292" s="25">
        <f t="shared" si="42"/>
        <v>0</v>
      </c>
      <c r="Q292" t="str">
        <f t="shared" si="43"/>
        <v>Paid</v>
      </c>
      <c r="R292" t="str">
        <f t="shared" si="44"/>
        <v>Not Due</v>
      </c>
    </row>
    <row r="293" spans="1:18" x14ac:dyDescent="0.35">
      <c r="A293" t="s">
        <v>300</v>
      </c>
      <c r="B293" t="s">
        <v>813</v>
      </c>
      <c r="C293" s="9">
        <v>45105</v>
      </c>
      <c r="D293" s="28" t="str">
        <f t="shared" si="36"/>
        <v>Jun 2023</v>
      </c>
      <c r="E293" s="9">
        <v>45135</v>
      </c>
      <c r="F293" t="s">
        <v>818</v>
      </c>
      <c r="G293">
        <v>1644.35</v>
      </c>
      <c r="H293" t="s">
        <v>819</v>
      </c>
      <c r="I293" s="15">
        <f t="shared" si="37"/>
        <v>0</v>
      </c>
      <c r="J293" s="18">
        <f t="shared" si="38"/>
        <v>1644.35</v>
      </c>
      <c r="L293" s="54" t="str">
        <f t="shared" si="39"/>
        <v/>
      </c>
      <c r="M293" s="9" t="str">
        <f t="shared" si="40"/>
        <v/>
      </c>
      <c r="N293" t="s">
        <v>822</v>
      </c>
      <c r="O293" s="17">
        <f t="shared" si="41"/>
        <v>45868</v>
      </c>
      <c r="P293" s="25">
        <f t="shared" si="42"/>
        <v>733</v>
      </c>
      <c r="Q293" t="str">
        <f t="shared" si="43"/>
        <v>90+</v>
      </c>
      <c r="R293" t="str">
        <f t="shared" si="44"/>
        <v>Due</v>
      </c>
    </row>
    <row r="294" spans="1:18" x14ac:dyDescent="0.35">
      <c r="A294" t="s">
        <v>301</v>
      </c>
      <c r="B294" t="s">
        <v>810</v>
      </c>
      <c r="C294" s="9">
        <v>45142</v>
      </c>
      <c r="D294" s="28" t="str">
        <f t="shared" si="36"/>
        <v>Aug 2023</v>
      </c>
      <c r="E294" s="9">
        <v>45172</v>
      </c>
      <c r="F294" t="s">
        <v>818</v>
      </c>
      <c r="G294">
        <v>2124.3200000000002</v>
      </c>
      <c r="H294" t="s">
        <v>821</v>
      </c>
      <c r="I294" s="15">
        <f t="shared" si="37"/>
        <v>2124.3200000000002</v>
      </c>
      <c r="J294" s="18">
        <f t="shared" si="38"/>
        <v>0</v>
      </c>
      <c r="K294" s="9">
        <v>45172</v>
      </c>
      <c r="L294" s="54">
        <f t="shared" si="39"/>
        <v>30</v>
      </c>
      <c r="M294" s="9" t="str">
        <f t="shared" si="40"/>
        <v>2023-Sep</v>
      </c>
      <c r="N294" t="s">
        <v>822</v>
      </c>
      <c r="O294" s="17">
        <f t="shared" si="41"/>
        <v>45868</v>
      </c>
      <c r="P294" s="25">
        <f t="shared" si="42"/>
        <v>0</v>
      </c>
      <c r="Q294" t="str">
        <f t="shared" si="43"/>
        <v>Paid</v>
      </c>
      <c r="R294" t="str">
        <f t="shared" si="44"/>
        <v>Not Due</v>
      </c>
    </row>
    <row r="295" spans="1:18" x14ac:dyDescent="0.35">
      <c r="A295" t="s">
        <v>302</v>
      </c>
      <c r="B295" t="s">
        <v>811</v>
      </c>
      <c r="C295" s="9">
        <v>45457</v>
      </c>
      <c r="D295" s="28" t="str">
        <f t="shared" si="36"/>
        <v>Jun 2024</v>
      </c>
      <c r="E295" s="9">
        <v>45487</v>
      </c>
      <c r="F295" t="s">
        <v>818</v>
      </c>
      <c r="G295">
        <v>3042.83</v>
      </c>
      <c r="H295" t="s">
        <v>820</v>
      </c>
      <c r="I295" s="15">
        <f t="shared" si="37"/>
        <v>0</v>
      </c>
      <c r="J295" s="18" t="str">
        <f t="shared" si="38"/>
        <v>N/A</v>
      </c>
      <c r="L295" s="54" t="str">
        <f t="shared" si="39"/>
        <v/>
      </c>
      <c r="M295" s="9" t="str">
        <f t="shared" si="40"/>
        <v/>
      </c>
      <c r="N295" t="s">
        <v>822</v>
      </c>
      <c r="O295" s="17">
        <f t="shared" si="41"/>
        <v>45868</v>
      </c>
      <c r="P295" s="25">
        <f t="shared" si="42"/>
        <v>381</v>
      </c>
      <c r="Q295" t="str">
        <f t="shared" si="43"/>
        <v>90+</v>
      </c>
      <c r="R295" t="str">
        <f t="shared" si="44"/>
        <v>Due</v>
      </c>
    </row>
    <row r="296" spans="1:18" x14ac:dyDescent="0.35">
      <c r="A296" t="s">
        <v>303</v>
      </c>
      <c r="B296" t="s">
        <v>813</v>
      </c>
      <c r="C296" s="9">
        <v>45617</v>
      </c>
      <c r="D296" s="28" t="str">
        <f t="shared" si="36"/>
        <v>Nov 2024</v>
      </c>
      <c r="E296" s="9">
        <v>45647</v>
      </c>
      <c r="F296" t="s">
        <v>818</v>
      </c>
      <c r="G296">
        <v>763.44</v>
      </c>
      <c r="H296" t="s">
        <v>821</v>
      </c>
      <c r="I296" s="15">
        <f t="shared" si="37"/>
        <v>763.44</v>
      </c>
      <c r="J296" s="18">
        <f t="shared" si="38"/>
        <v>0</v>
      </c>
      <c r="K296" s="9">
        <v>45647</v>
      </c>
      <c r="L296" s="54">
        <f t="shared" si="39"/>
        <v>30</v>
      </c>
      <c r="M296" s="9" t="str">
        <f t="shared" si="40"/>
        <v>2024-Dec</v>
      </c>
      <c r="N296" t="s">
        <v>822</v>
      </c>
      <c r="O296" s="17">
        <f t="shared" si="41"/>
        <v>45868</v>
      </c>
      <c r="P296" s="25">
        <f t="shared" si="42"/>
        <v>0</v>
      </c>
      <c r="Q296" t="str">
        <f t="shared" si="43"/>
        <v>Paid</v>
      </c>
      <c r="R296" t="str">
        <f t="shared" si="44"/>
        <v>Not Due</v>
      </c>
    </row>
    <row r="297" spans="1:18" x14ac:dyDescent="0.35">
      <c r="A297" t="s">
        <v>304</v>
      </c>
      <c r="B297" t="s">
        <v>809</v>
      </c>
      <c r="C297" s="9">
        <v>45285</v>
      </c>
      <c r="D297" s="28" t="str">
        <f t="shared" si="36"/>
        <v>Dec 2023</v>
      </c>
      <c r="E297" s="9">
        <v>45315</v>
      </c>
      <c r="F297" t="s">
        <v>818</v>
      </c>
      <c r="G297">
        <v>2984.9</v>
      </c>
      <c r="H297" t="s">
        <v>820</v>
      </c>
      <c r="I297" s="15">
        <f t="shared" si="37"/>
        <v>0</v>
      </c>
      <c r="J297" s="18" t="str">
        <f t="shared" si="38"/>
        <v>N/A</v>
      </c>
      <c r="L297" s="54" t="str">
        <f t="shared" si="39"/>
        <v/>
      </c>
      <c r="M297" s="9" t="str">
        <f t="shared" si="40"/>
        <v/>
      </c>
      <c r="N297" t="s">
        <v>822</v>
      </c>
      <c r="O297" s="17">
        <f t="shared" si="41"/>
        <v>45868</v>
      </c>
      <c r="P297" s="25">
        <f t="shared" si="42"/>
        <v>553</v>
      </c>
      <c r="Q297" t="str">
        <f t="shared" si="43"/>
        <v>90+</v>
      </c>
      <c r="R297" t="str">
        <f t="shared" si="44"/>
        <v>Due</v>
      </c>
    </row>
    <row r="298" spans="1:18" x14ac:dyDescent="0.35">
      <c r="A298" t="s">
        <v>305</v>
      </c>
      <c r="B298" t="s">
        <v>811</v>
      </c>
      <c r="C298" s="9">
        <v>45206</v>
      </c>
      <c r="D298" s="28" t="str">
        <f t="shared" si="36"/>
        <v>Oct 2023</v>
      </c>
      <c r="E298" s="9">
        <v>45236</v>
      </c>
      <c r="F298" t="s">
        <v>816</v>
      </c>
      <c r="G298">
        <v>5987.66</v>
      </c>
      <c r="H298" t="s">
        <v>821</v>
      </c>
      <c r="I298" s="15">
        <f t="shared" si="37"/>
        <v>5987.66</v>
      </c>
      <c r="J298" s="18">
        <f t="shared" si="38"/>
        <v>0</v>
      </c>
      <c r="K298" s="9">
        <v>45236</v>
      </c>
      <c r="L298" s="54">
        <f t="shared" si="39"/>
        <v>30</v>
      </c>
      <c r="M298" s="9" t="str">
        <f t="shared" si="40"/>
        <v>2023-Nov</v>
      </c>
      <c r="N298" t="s">
        <v>822</v>
      </c>
      <c r="O298" s="17">
        <f t="shared" si="41"/>
        <v>45868</v>
      </c>
      <c r="P298" s="25">
        <f t="shared" si="42"/>
        <v>0</v>
      </c>
      <c r="Q298" t="str">
        <f t="shared" si="43"/>
        <v>Paid</v>
      </c>
      <c r="R298" t="str">
        <f t="shared" si="44"/>
        <v>Not Due</v>
      </c>
    </row>
    <row r="299" spans="1:18" x14ac:dyDescent="0.35">
      <c r="A299" t="s">
        <v>306</v>
      </c>
      <c r="B299" t="s">
        <v>812</v>
      </c>
      <c r="C299" s="9">
        <v>45069</v>
      </c>
      <c r="D299" s="28" t="str">
        <f t="shared" si="36"/>
        <v>May 2023</v>
      </c>
      <c r="E299" s="9">
        <v>45099</v>
      </c>
      <c r="F299" t="s">
        <v>815</v>
      </c>
      <c r="G299">
        <v>2783.63</v>
      </c>
      <c r="H299" t="s">
        <v>819</v>
      </c>
      <c r="I299" s="15">
        <f t="shared" si="37"/>
        <v>0</v>
      </c>
      <c r="J299" s="18">
        <f t="shared" si="38"/>
        <v>2783.63</v>
      </c>
      <c r="L299" s="54" t="str">
        <f t="shared" si="39"/>
        <v/>
      </c>
      <c r="M299" s="9" t="str">
        <f t="shared" si="40"/>
        <v/>
      </c>
      <c r="N299" t="s">
        <v>822</v>
      </c>
      <c r="O299" s="17">
        <f t="shared" si="41"/>
        <v>45868</v>
      </c>
      <c r="P299" s="25">
        <f t="shared" si="42"/>
        <v>769</v>
      </c>
      <c r="Q299" t="str">
        <f t="shared" si="43"/>
        <v>90+</v>
      </c>
      <c r="R299" t="str">
        <f t="shared" si="44"/>
        <v>Due</v>
      </c>
    </row>
    <row r="300" spans="1:18" x14ac:dyDescent="0.35">
      <c r="A300" t="s">
        <v>307</v>
      </c>
      <c r="B300" t="s">
        <v>811</v>
      </c>
      <c r="C300" s="9">
        <v>45773</v>
      </c>
      <c r="D300" s="28" t="str">
        <f t="shared" si="36"/>
        <v>Apr 2025</v>
      </c>
      <c r="E300" s="9">
        <v>45803</v>
      </c>
      <c r="F300" t="s">
        <v>815</v>
      </c>
      <c r="G300">
        <v>894.91</v>
      </c>
      <c r="H300" t="s">
        <v>819</v>
      </c>
      <c r="I300" s="15">
        <f t="shared" si="37"/>
        <v>0</v>
      </c>
      <c r="J300" s="18">
        <f t="shared" si="38"/>
        <v>894.91</v>
      </c>
      <c r="L300" s="54" t="str">
        <f t="shared" si="39"/>
        <v/>
      </c>
      <c r="M300" s="9" t="str">
        <f t="shared" si="40"/>
        <v/>
      </c>
      <c r="N300" t="s">
        <v>822</v>
      </c>
      <c r="O300" s="17">
        <f t="shared" si="41"/>
        <v>45868</v>
      </c>
      <c r="P300" s="25">
        <f t="shared" si="42"/>
        <v>65</v>
      </c>
      <c r="Q300" t="str">
        <f t="shared" si="43"/>
        <v>61-90</v>
      </c>
      <c r="R300" t="str">
        <f t="shared" si="44"/>
        <v>Due</v>
      </c>
    </row>
    <row r="301" spans="1:18" x14ac:dyDescent="0.35">
      <c r="A301" t="s">
        <v>308</v>
      </c>
      <c r="B301" t="s">
        <v>812</v>
      </c>
      <c r="C301" s="9">
        <v>45819</v>
      </c>
      <c r="D301" s="28" t="str">
        <f t="shared" si="36"/>
        <v>Jun 2025</v>
      </c>
      <c r="E301" s="9">
        <v>45849</v>
      </c>
      <c r="F301" t="s">
        <v>818</v>
      </c>
      <c r="G301">
        <v>3485.46</v>
      </c>
      <c r="H301" t="s">
        <v>819</v>
      </c>
      <c r="I301" s="15">
        <f t="shared" si="37"/>
        <v>0</v>
      </c>
      <c r="J301" s="18">
        <f t="shared" si="38"/>
        <v>3485.46</v>
      </c>
      <c r="L301" s="54" t="str">
        <f t="shared" si="39"/>
        <v/>
      </c>
      <c r="M301" s="9" t="str">
        <f t="shared" si="40"/>
        <v/>
      </c>
      <c r="N301" t="s">
        <v>822</v>
      </c>
      <c r="O301" s="17">
        <f t="shared" si="41"/>
        <v>45868</v>
      </c>
      <c r="P301" s="25">
        <f t="shared" si="42"/>
        <v>19</v>
      </c>
      <c r="Q301" t="str">
        <f t="shared" si="43"/>
        <v>1-30</v>
      </c>
      <c r="R301" t="str">
        <f t="shared" si="44"/>
        <v>Due</v>
      </c>
    </row>
    <row r="302" spans="1:18" x14ac:dyDescent="0.35">
      <c r="A302" t="s">
        <v>309</v>
      </c>
      <c r="B302" t="s">
        <v>809</v>
      </c>
      <c r="C302" s="9">
        <v>45833</v>
      </c>
      <c r="D302" s="28" t="str">
        <f t="shared" si="36"/>
        <v>Jun 2025</v>
      </c>
      <c r="E302" s="9">
        <v>45863</v>
      </c>
      <c r="F302" t="s">
        <v>817</v>
      </c>
      <c r="G302">
        <v>1477.77</v>
      </c>
      <c r="H302" t="s">
        <v>819</v>
      </c>
      <c r="I302" s="15">
        <f t="shared" si="37"/>
        <v>0</v>
      </c>
      <c r="J302" s="18">
        <f t="shared" si="38"/>
        <v>1477.77</v>
      </c>
      <c r="L302" s="54" t="str">
        <f t="shared" si="39"/>
        <v/>
      </c>
      <c r="M302" s="9" t="str">
        <f t="shared" si="40"/>
        <v/>
      </c>
      <c r="N302" t="s">
        <v>822</v>
      </c>
      <c r="O302" s="17">
        <f t="shared" si="41"/>
        <v>45868</v>
      </c>
      <c r="P302" s="25">
        <f t="shared" si="42"/>
        <v>5</v>
      </c>
      <c r="Q302" t="str">
        <f t="shared" si="43"/>
        <v>1-30</v>
      </c>
      <c r="R302" t="str">
        <f t="shared" si="44"/>
        <v>Due</v>
      </c>
    </row>
    <row r="303" spans="1:18" x14ac:dyDescent="0.35">
      <c r="A303" t="s">
        <v>310</v>
      </c>
      <c r="B303" t="s">
        <v>810</v>
      </c>
      <c r="C303" s="9">
        <v>45717</v>
      </c>
      <c r="D303" s="28" t="str">
        <f t="shared" si="36"/>
        <v>Mar 2025</v>
      </c>
      <c r="E303" s="9">
        <v>45747</v>
      </c>
      <c r="F303" t="s">
        <v>817</v>
      </c>
      <c r="G303">
        <v>4772.12</v>
      </c>
      <c r="H303" t="s">
        <v>821</v>
      </c>
      <c r="I303" s="15">
        <f t="shared" si="37"/>
        <v>4772.12</v>
      </c>
      <c r="J303" s="18">
        <f t="shared" si="38"/>
        <v>0</v>
      </c>
      <c r="K303" s="9">
        <v>45747</v>
      </c>
      <c r="L303" s="54">
        <f t="shared" si="39"/>
        <v>30</v>
      </c>
      <c r="M303" s="9" t="str">
        <f t="shared" si="40"/>
        <v>2025-Mar</v>
      </c>
      <c r="N303" t="s">
        <v>822</v>
      </c>
      <c r="O303" s="17">
        <f t="shared" si="41"/>
        <v>45868</v>
      </c>
      <c r="P303" s="25">
        <f t="shared" si="42"/>
        <v>0</v>
      </c>
      <c r="Q303" t="str">
        <f t="shared" si="43"/>
        <v>Paid</v>
      </c>
      <c r="R303" t="str">
        <f t="shared" si="44"/>
        <v>Not Due</v>
      </c>
    </row>
    <row r="304" spans="1:18" x14ac:dyDescent="0.35">
      <c r="A304" t="s">
        <v>311</v>
      </c>
      <c r="B304" t="s">
        <v>813</v>
      </c>
      <c r="C304" s="9">
        <v>45035</v>
      </c>
      <c r="D304" s="28" t="str">
        <f t="shared" si="36"/>
        <v>Apr 2023</v>
      </c>
      <c r="E304" s="9">
        <v>45065</v>
      </c>
      <c r="F304" t="s">
        <v>818</v>
      </c>
      <c r="G304">
        <v>2058.36</v>
      </c>
      <c r="H304" t="s">
        <v>821</v>
      </c>
      <c r="I304" s="15">
        <f t="shared" si="37"/>
        <v>2058.36</v>
      </c>
      <c r="J304" s="18">
        <f t="shared" si="38"/>
        <v>0</v>
      </c>
      <c r="K304" s="9">
        <v>45065</v>
      </c>
      <c r="L304" s="54">
        <f t="shared" si="39"/>
        <v>30</v>
      </c>
      <c r="M304" s="9" t="str">
        <f t="shared" si="40"/>
        <v>2023-May</v>
      </c>
      <c r="N304" t="s">
        <v>822</v>
      </c>
      <c r="O304" s="17">
        <f t="shared" si="41"/>
        <v>45868</v>
      </c>
      <c r="P304" s="25">
        <f t="shared" si="42"/>
        <v>0</v>
      </c>
      <c r="Q304" t="str">
        <f t="shared" si="43"/>
        <v>Paid</v>
      </c>
      <c r="R304" t="str">
        <f t="shared" si="44"/>
        <v>Not Due</v>
      </c>
    </row>
    <row r="305" spans="1:18" x14ac:dyDescent="0.35">
      <c r="A305" t="s">
        <v>312</v>
      </c>
      <c r="B305" t="s">
        <v>813</v>
      </c>
      <c r="C305" s="9">
        <v>45504</v>
      </c>
      <c r="D305" s="28" t="str">
        <f t="shared" si="36"/>
        <v>Jul 2024</v>
      </c>
      <c r="E305" s="9">
        <v>45534</v>
      </c>
      <c r="F305" t="s">
        <v>818</v>
      </c>
      <c r="G305">
        <v>1357.75</v>
      </c>
      <c r="H305" t="s">
        <v>820</v>
      </c>
      <c r="I305" s="15">
        <f t="shared" si="37"/>
        <v>0</v>
      </c>
      <c r="J305" s="18" t="str">
        <f t="shared" si="38"/>
        <v>N/A</v>
      </c>
      <c r="L305" s="54" t="str">
        <f t="shared" si="39"/>
        <v/>
      </c>
      <c r="M305" s="9" t="str">
        <f t="shared" si="40"/>
        <v/>
      </c>
      <c r="N305" t="s">
        <v>822</v>
      </c>
      <c r="O305" s="17">
        <f t="shared" si="41"/>
        <v>45868</v>
      </c>
      <c r="P305" s="25">
        <f t="shared" si="42"/>
        <v>334</v>
      </c>
      <c r="Q305" t="str">
        <f t="shared" si="43"/>
        <v>90+</v>
      </c>
      <c r="R305" t="str">
        <f t="shared" si="44"/>
        <v>Due</v>
      </c>
    </row>
    <row r="306" spans="1:18" x14ac:dyDescent="0.35">
      <c r="A306" t="s">
        <v>313</v>
      </c>
      <c r="B306" t="s">
        <v>809</v>
      </c>
      <c r="C306" s="9">
        <v>45449</v>
      </c>
      <c r="D306" s="28" t="str">
        <f t="shared" si="36"/>
        <v>Jun 2024</v>
      </c>
      <c r="E306" s="9">
        <v>45479</v>
      </c>
      <c r="F306" t="s">
        <v>818</v>
      </c>
      <c r="G306">
        <v>3120.97</v>
      </c>
      <c r="H306" t="s">
        <v>819</v>
      </c>
      <c r="I306" s="15">
        <f t="shared" si="37"/>
        <v>0</v>
      </c>
      <c r="J306" s="18">
        <f t="shared" si="38"/>
        <v>3120.97</v>
      </c>
      <c r="L306" s="54" t="str">
        <f t="shared" si="39"/>
        <v/>
      </c>
      <c r="M306" s="9" t="str">
        <f t="shared" si="40"/>
        <v/>
      </c>
      <c r="N306" t="s">
        <v>822</v>
      </c>
      <c r="O306" s="17">
        <f t="shared" si="41"/>
        <v>45868</v>
      </c>
      <c r="P306" s="25">
        <f t="shared" si="42"/>
        <v>389</v>
      </c>
      <c r="Q306" t="str">
        <f t="shared" si="43"/>
        <v>90+</v>
      </c>
      <c r="R306" t="str">
        <f t="shared" si="44"/>
        <v>Due</v>
      </c>
    </row>
    <row r="307" spans="1:18" x14ac:dyDescent="0.35">
      <c r="A307" t="s">
        <v>314</v>
      </c>
      <c r="B307" t="s">
        <v>809</v>
      </c>
      <c r="C307" s="9">
        <v>45256</v>
      </c>
      <c r="D307" s="28" t="str">
        <f t="shared" si="36"/>
        <v>Nov 2023</v>
      </c>
      <c r="E307" s="9">
        <v>45286</v>
      </c>
      <c r="F307" t="s">
        <v>817</v>
      </c>
      <c r="G307">
        <v>4046.8</v>
      </c>
      <c r="H307" t="s">
        <v>820</v>
      </c>
      <c r="I307" s="15">
        <f t="shared" si="37"/>
        <v>0</v>
      </c>
      <c r="J307" s="18" t="str">
        <f t="shared" si="38"/>
        <v>N/A</v>
      </c>
      <c r="L307" s="54" t="str">
        <f t="shared" si="39"/>
        <v/>
      </c>
      <c r="M307" s="9" t="str">
        <f t="shared" si="40"/>
        <v/>
      </c>
      <c r="N307" t="s">
        <v>822</v>
      </c>
      <c r="O307" s="17">
        <f t="shared" si="41"/>
        <v>45868</v>
      </c>
      <c r="P307" s="25">
        <f t="shared" si="42"/>
        <v>582</v>
      </c>
      <c r="Q307" t="str">
        <f t="shared" si="43"/>
        <v>90+</v>
      </c>
      <c r="R307" t="str">
        <f t="shared" si="44"/>
        <v>Due</v>
      </c>
    </row>
    <row r="308" spans="1:18" x14ac:dyDescent="0.35">
      <c r="A308" t="s">
        <v>315</v>
      </c>
      <c r="B308" t="s">
        <v>809</v>
      </c>
      <c r="C308" s="9">
        <v>45787</v>
      </c>
      <c r="D308" s="28" t="str">
        <f t="shared" si="36"/>
        <v>May 2025</v>
      </c>
      <c r="E308" s="9">
        <v>45817</v>
      </c>
      <c r="F308" t="s">
        <v>818</v>
      </c>
      <c r="G308">
        <v>2438.06</v>
      </c>
      <c r="H308" t="s">
        <v>821</v>
      </c>
      <c r="I308" s="15">
        <f t="shared" si="37"/>
        <v>2438.06</v>
      </c>
      <c r="J308" s="18">
        <f t="shared" si="38"/>
        <v>0</v>
      </c>
      <c r="K308" s="9">
        <v>45817</v>
      </c>
      <c r="L308" s="54">
        <f t="shared" si="39"/>
        <v>30</v>
      </c>
      <c r="M308" s="9" t="str">
        <f t="shared" si="40"/>
        <v>2025-Jun</v>
      </c>
      <c r="N308" t="s">
        <v>822</v>
      </c>
      <c r="O308" s="17">
        <f t="shared" si="41"/>
        <v>45868</v>
      </c>
      <c r="P308" s="25">
        <f t="shared" si="42"/>
        <v>0</v>
      </c>
      <c r="Q308" t="str">
        <f t="shared" si="43"/>
        <v>Paid</v>
      </c>
      <c r="R308" t="str">
        <f t="shared" si="44"/>
        <v>Not Due</v>
      </c>
    </row>
    <row r="309" spans="1:18" x14ac:dyDescent="0.35">
      <c r="A309" t="s">
        <v>316</v>
      </c>
      <c r="B309" t="s">
        <v>812</v>
      </c>
      <c r="C309" s="9">
        <v>45679</v>
      </c>
      <c r="D309" s="28" t="str">
        <f t="shared" si="36"/>
        <v>Jan 2025</v>
      </c>
      <c r="E309" s="9">
        <v>45709</v>
      </c>
      <c r="F309" t="s">
        <v>814</v>
      </c>
      <c r="G309">
        <v>4899.63</v>
      </c>
      <c r="H309" t="s">
        <v>819</v>
      </c>
      <c r="I309" s="15">
        <f t="shared" si="37"/>
        <v>0</v>
      </c>
      <c r="J309" s="18">
        <f t="shared" si="38"/>
        <v>4899.63</v>
      </c>
      <c r="L309" s="54" t="str">
        <f t="shared" si="39"/>
        <v/>
      </c>
      <c r="M309" s="9" t="str">
        <f t="shared" si="40"/>
        <v/>
      </c>
      <c r="N309" t="s">
        <v>822</v>
      </c>
      <c r="O309" s="17">
        <f t="shared" si="41"/>
        <v>45868</v>
      </c>
      <c r="P309" s="25">
        <f t="shared" si="42"/>
        <v>159</v>
      </c>
      <c r="Q309" t="str">
        <f t="shared" si="43"/>
        <v>90+</v>
      </c>
      <c r="R309" t="str">
        <f t="shared" si="44"/>
        <v>Due</v>
      </c>
    </row>
    <row r="310" spans="1:18" x14ac:dyDescent="0.35">
      <c r="A310" t="s">
        <v>317</v>
      </c>
      <c r="B310" t="s">
        <v>813</v>
      </c>
      <c r="C310" s="9">
        <v>45320</v>
      </c>
      <c r="D310" s="28" t="str">
        <f t="shared" si="36"/>
        <v>Jan 2024</v>
      </c>
      <c r="E310" s="9">
        <v>45350</v>
      </c>
      <c r="F310" t="s">
        <v>815</v>
      </c>
      <c r="G310">
        <v>2010.26</v>
      </c>
      <c r="H310" t="s">
        <v>819</v>
      </c>
      <c r="I310" s="15">
        <f t="shared" si="37"/>
        <v>0</v>
      </c>
      <c r="J310" s="18">
        <f t="shared" si="38"/>
        <v>2010.26</v>
      </c>
      <c r="L310" s="54" t="str">
        <f t="shared" si="39"/>
        <v/>
      </c>
      <c r="M310" s="9" t="str">
        <f t="shared" si="40"/>
        <v/>
      </c>
      <c r="N310" t="s">
        <v>822</v>
      </c>
      <c r="O310" s="17">
        <f t="shared" si="41"/>
        <v>45868</v>
      </c>
      <c r="P310" s="25">
        <f t="shared" si="42"/>
        <v>518</v>
      </c>
      <c r="Q310" t="str">
        <f t="shared" si="43"/>
        <v>90+</v>
      </c>
      <c r="R310" t="str">
        <f t="shared" si="44"/>
        <v>Due</v>
      </c>
    </row>
    <row r="311" spans="1:18" x14ac:dyDescent="0.35">
      <c r="A311" t="s">
        <v>318</v>
      </c>
      <c r="B311" t="s">
        <v>813</v>
      </c>
      <c r="C311" s="9">
        <v>45576</v>
      </c>
      <c r="D311" s="28" t="str">
        <f t="shared" si="36"/>
        <v>Oct 2024</v>
      </c>
      <c r="E311" s="9">
        <v>45606</v>
      </c>
      <c r="F311" t="s">
        <v>816</v>
      </c>
      <c r="G311">
        <v>3697.59</v>
      </c>
      <c r="H311" t="s">
        <v>820</v>
      </c>
      <c r="I311" s="15">
        <f t="shared" si="37"/>
        <v>0</v>
      </c>
      <c r="J311" s="18" t="str">
        <f t="shared" si="38"/>
        <v>N/A</v>
      </c>
      <c r="L311" s="54" t="str">
        <f t="shared" si="39"/>
        <v/>
      </c>
      <c r="M311" s="9" t="str">
        <f t="shared" si="40"/>
        <v/>
      </c>
      <c r="N311" t="s">
        <v>822</v>
      </c>
      <c r="O311" s="17">
        <f t="shared" si="41"/>
        <v>45868</v>
      </c>
      <c r="P311" s="25">
        <f t="shared" si="42"/>
        <v>262</v>
      </c>
      <c r="Q311" t="str">
        <f t="shared" si="43"/>
        <v>90+</v>
      </c>
      <c r="R311" t="str">
        <f t="shared" si="44"/>
        <v>Due</v>
      </c>
    </row>
    <row r="312" spans="1:18" x14ac:dyDescent="0.35">
      <c r="A312" t="s">
        <v>319</v>
      </c>
      <c r="B312" t="s">
        <v>810</v>
      </c>
      <c r="C312" s="9">
        <v>44993</v>
      </c>
      <c r="D312" s="28" t="str">
        <f t="shared" si="36"/>
        <v>Mar 2023</v>
      </c>
      <c r="E312" s="9">
        <v>45023</v>
      </c>
      <c r="F312" t="s">
        <v>815</v>
      </c>
      <c r="G312">
        <v>1257.26</v>
      </c>
      <c r="H312" t="s">
        <v>820</v>
      </c>
      <c r="I312" s="15">
        <f t="shared" si="37"/>
        <v>0</v>
      </c>
      <c r="J312" s="18" t="str">
        <f t="shared" si="38"/>
        <v>N/A</v>
      </c>
      <c r="L312" s="54" t="str">
        <f t="shared" si="39"/>
        <v/>
      </c>
      <c r="M312" s="9" t="str">
        <f t="shared" si="40"/>
        <v/>
      </c>
      <c r="N312" t="s">
        <v>822</v>
      </c>
      <c r="O312" s="17">
        <f t="shared" si="41"/>
        <v>45868</v>
      </c>
      <c r="P312" s="25">
        <f t="shared" si="42"/>
        <v>845</v>
      </c>
      <c r="Q312" t="str">
        <f t="shared" si="43"/>
        <v>90+</v>
      </c>
      <c r="R312" t="str">
        <f t="shared" si="44"/>
        <v>Due</v>
      </c>
    </row>
    <row r="313" spans="1:18" x14ac:dyDescent="0.35">
      <c r="A313" t="s">
        <v>320</v>
      </c>
      <c r="B313" t="s">
        <v>813</v>
      </c>
      <c r="C313" s="9">
        <v>45465</v>
      </c>
      <c r="D313" s="28" t="str">
        <f t="shared" si="36"/>
        <v>Jun 2024</v>
      </c>
      <c r="E313" s="9">
        <v>45495</v>
      </c>
      <c r="F313" t="s">
        <v>817</v>
      </c>
      <c r="G313">
        <v>4981.4399999999996</v>
      </c>
      <c r="H313" t="s">
        <v>821</v>
      </c>
      <c r="I313" s="15">
        <f t="shared" si="37"/>
        <v>4981.4399999999996</v>
      </c>
      <c r="J313" s="18">
        <f t="shared" si="38"/>
        <v>0</v>
      </c>
      <c r="K313" s="9">
        <v>45495</v>
      </c>
      <c r="L313" s="54">
        <f t="shared" si="39"/>
        <v>30</v>
      </c>
      <c r="M313" s="9" t="str">
        <f t="shared" si="40"/>
        <v>2024-Jul</v>
      </c>
      <c r="N313" t="s">
        <v>822</v>
      </c>
      <c r="O313" s="17">
        <f t="shared" si="41"/>
        <v>45868</v>
      </c>
      <c r="P313" s="25">
        <f t="shared" si="42"/>
        <v>0</v>
      </c>
      <c r="Q313" t="str">
        <f t="shared" si="43"/>
        <v>Paid</v>
      </c>
      <c r="R313" t="str">
        <f t="shared" si="44"/>
        <v>Not Due</v>
      </c>
    </row>
    <row r="314" spans="1:18" x14ac:dyDescent="0.35">
      <c r="A314" t="s">
        <v>321</v>
      </c>
      <c r="B314" t="s">
        <v>811</v>
      </c>
      <c r="C314" s="9">
        <v>45062</v>
      </c>
      <c r="D314" s="28" t="str">
        <f t="shared" si="36"/>
        <v>May 2023</v>
      </c>
      <c r="E314" s="9">
        <v>45092</v>
      </c>
      <c r="F314" t="s">
        <v>814</v>
      </c>
      <c r="G314">
        <v>2613.71</v>
      </c>
      <c r="H314" t="s">
        <v>819</v>
      </c>
      <c r="I314" s="15">
        <f t="shared" si="37"/>
        <v>0</v>
      </c>
      <c r="J314" s="18">
        <f t="shared" si="38"/>
        <v>2613.71</v>
      </c>
      <c r="L314" s="54" t="str">
        <f t="shared" si="39"/>
        <v/>
      </c>
      <c r="M314" s="9" t="str">
        <f t="shared" si="40"/>
        <v/>
      </c>
      <c r="N314" t="s">
        <v>822</v>
      </c>
      <c r="O314" s="17">
        <f t="shared" si="41"/>
        <v>45868</v>
      </c>
      <c r="P314" s="25">
        <f t="shared" si="42"/>
        <v>776</v>
      </c>
      <c r="Q314" t="str">
        <f t="shared" si="43"/>
        <v>90+</v>
      </c>
      <c r="R314" t="str">
        <f t="shared" si="44"/>
        <v>Due</v>
      </c>
    </row>
    <row r="315" spans="1:18" x14ac:dyDescent="0.35">
      <c r="A315" t="s">
        <v>322</v>
      </c>
      <c r="B315" t="s">
        <v>809</v>
      </c>
      <c r="C315" s="9">
        <v>45567</v>
      </c>
      <c r="D315" s="28" t="str">
        <f t="shared" si="36"/>
        <v>Oct 2024</v>
      </c>
      <c r="E315" s="9">
        <v>45597</v>
      </c>
      <c r="F315" t="s">
        <v>818</v>
      </c>
      <c r="G315">
        <v>475.05</v>
      </c>
      <c r="H315" t="s">
        <v>821</v>
      </c>
      <c r="I315" s="15">
        <f t="shared" si="37"/>
        <v>475.05</v>
      </c>
      <c r="J315" s="18">
        <f t="shared" si="38"/>
        <v>0</v>
      </c>
      <c r="K315" s="9">
        <v>45597</v>
      </c>
      <c r="L315" s="54">
        <f t="shared" si="39"/>
        <v>30</v>
      </c>
      <c r="M315" s="9" t="str">
        <f t="shared" si="40"/>
        <v>2024-Nov</v>
      </c>
      <c r="N315" t="s">
        <v>822</v>
      </c>
      <c r="O315" s="17">
        <f t="shared" si="41"/>
        <v>45868</v>
      </c>
      <c r="P315" s="25">
        <f t="shared" si="42"/>
        <v>0</v>
      </c>
      <c r="Q315" t="str">
        <f t="shared" si="43"/>
        <v>Paid</v>
      </c>
      <c r="R315" t="str">
        <f t="shared" si="44"/>
        <v>Not Due</v>
      </c>
    </row>
    <row r="316" spans="1:18" x14ac:dyDescent="0.35">
      <c r="A316" t="s">
        <v>323</v>
      </c>
      <c r="B316" t="s">
        <v>812</v>
      </c>
      <c r="C316" s="9">
        <v>45722</v>
      </c>
      <c r="D316" s="28" t="str">
        <f t="shared" si="36"/>
        <v>Mar 2025</v>
      </c>
      <c r="E316" s="9">
        <v>45752</v>
      </c>
      <c r="F316" t="s">
        <v>818</v>
      </c>
      <c r="G316">
        <v>2110.35</v>
      </c>
      <c r="H316" t="s">
        <v>821</v>
      </c>
      <c r="I316" s="15">
        <f t="shared" si="37"/>
        <v>2110.35</v>
      </c>
      <c r="J316" s="18">
        <f t="shared" si="38"/>
        <v>0</v>
      </c>
      <c r="K316" s="9">
        <v>45752</v>
      </c>
      <c r="L316" s="54">
        <f t="shared" si="39"/>
        <v>30</v>
      </c>
      <c r="M316" s="9" t="str">
        <f t="shared" si="40"/>
        <v>2025-Apr</v>
      </c>
      <c r="N316" t="s">
        <v>822</v>
      </c>
      <c r="O316" s="17">
        <f t="shared" si="41"/>
        <v>45868</v>
      </c>
      <c r="P316" s="25">
        <f t="shared" si="42"/>
        <v>0</v>
      </c>
      <c r="Q316" t="str">
        <f t="shared" si="43"/>
        <v>Paid</v>
      </c>
      <c r="R316" t="str">
        <f t="shared" si="44"/>
        <v>Not Due</v>
      </c>
    </row>
    <row r="317" spans="1:18" x14ac:dyDescent="0.35">
      <c r="A317" t="s">
        <v>324</v>
      </c>
      <c r="B317" t="s">
        <v>812</v>
      </c>
      <c r="C317" s="9">
        <v>45511</v>
      </c>
      <c r="D317" s="28" t="str">
        <f t="shared" si="36"/>
        <v>Aug 2024</v>
      </c>
      <c r="E317" s="9">
        <v>45541</v>
      </c>
      <c r="F317" t="s">
        <v>816</v>
      </c>
      <c r="G317">
        <v>613.16</v>
      </c>
      <c r="H317" t="s">
        <v>819</v>
      </c>
      <c r="I317" s="15">
        <f t="shared" si="37"/>
        <v>0</v>
      </c>
      <c r="J317" s="18">
        <f t="shared" si="38"/>
        <v>613.16</v>
      </c>
      <c r="L317" s="54" t="str">
        <f t="shared" si="39"/>
        <v/>
      </c>
      <c r="M317" s="9" t="str">
        <f t="shared" si="40"/>
        <v/>
      </c>
      <c r="N317" t="s">
        <v>822</v>
      </c>
      <c r="O317" s="17">
        <f t="shared" si="41"/>
        <v>45868</v>
      </c>
      <c r="P317" s="25">
        <f t="shared" si="42"/>
        <v>327</v>
      </c>
      <c r="Q317" t="str">
        <f t="shared" si="43"/>
        <v>90+</v>
      </c>
      <c r="R317" t="str">
        <f t="shared" si="44"/>
        <v>Due</v>
      </c>
    </row>
    <row r="318" spans="1:18" x14ac:dyDescent="0.35">
      <c r="A318" t="s">
        <v>325</v>
      </c>
      <c r="B318" t="s">
        <v>810</v>
      </c>
      <c r="C318" s="9">
        <v>45838</v>
      </c>
      <c r="D318" s="28" t="str">
        <f t="shared" si="36"/>
        <v>Jun 2025</v>
      </c>
      <c r="E318" s="9">
        <v>45868</v>
      </c>
      <c r="F318" t="s">
        <v>815</v>
      </c>
      <c r="G318">
        <v>1924.49</v>
      </c>
      <c r="H318" t="s">
        <v>820</v>
      </c>
      <c r="I318" s="15">
        <f t="shared" si="37"/>
        <v>0</v>
      </c>
      <c r="J318" s="18" t="str">
        <f t="shared" si="38"/>
        <v>N/A</v>
      </c>
      <c r="L318" s="54" t="str">
        <f t="shared" si="39"/>
        <v/>
      </c>
      <c r="M318" s="9" t="str">
        <f t="shared" si="40"/>
        <v/>
      </c>
      <c r="N318" t="s">
        <v>822</v>
      </c>
      <c r="O318" s="17">
        <f t="shared" si="41"/>
        <v>45868</v>
      </c>
      <c r="P318" s="25">
        <f t="shared" si="42"/>
        <v>0</v>
      </c>
      <c r="Q318" t="str">
        <f t="shared" si="43"/>
        <v>Current</v>
      </c>
      <c r="R318" t="str">
        <f t="shared" si="44"/>
        <v>Not Due</v>
      </c>
    </row>
    <row r="319" spans="1:18" x14ac:dyDescent="0.35">
      <c r="A319" t="s">
        <v>326</v>
      </c>
      <c r="B319" t="s">
        <v>809</v>
      </c>
      <c r="C319" s="9">
        <v>45707</v>
      </c>
      <c r="D319" s="28" t="str">
        <f t="shared" si="36"/>
        <v>Feb 2025</v>
      </c>
      <c r="E319" s="9">
        <v>45737</v>
      </c>
      <c r="F319" t="s">
        <v>817</v>
      </c>
      <c r="G319">
        <v>1471.82</v>
      </c>
      <c r="H319" t="s">
        <v>819</v>
      </c>
      <c r="I319" s="15">
        <f t="shared" si="37"/>
        <v>0</v>
      </c>
      <c r="J319" s="18">
        <f t="shared" si="38"/>
        <v>1471.82</v>
      </c>
      <c r="L319" s="54" t="str">
        <f t="shared" si="39"/>
        <v/>
      </c>
      <c r="M319" s="9" t="str">
        <f t="shared" si="40"/>
        <v/>
      </c>
      <c r="N319" t="s">
        <v>822</v>
      </c>
      <c r="O319" s="17">
        <f t="shared" si="41"/>
        <v>45868</v>
      </c>
      <c r="P319" s="25">
        <f t="shared" si="42"/>
        <v>131</v>
      </c>
      <c r="Q319" t="str">
        <f t="shared" si="43"/>
        <v>90+</v>
      </c>
      <c r="R319" t="str">
        <f t="shared" si="44"/>
        <v>Due</v>
      </c>
    </row>
    <row r="320" spans="1:18" x14ac:dyDescent="0.35">
      <c r="A320" t="s">
        <v>327</v>
      </c>
      <c r="B320" t="s">
        <v>811</v>
      </c>
      <c r="C320" s="9">
        <v>45391</v>
      </c>
      <c r="D320" s="28" t="str">
        <f t="shared" si="36"/>
        <v>Apr 2024</v>
      </c>
      <c r="E320" s="9">
        <v>45421</v>
      </c>
      <c r="F320" t="s">
        <v>816</v>
      </c>
      <c r="G320">
        <v>2486.63</v>
      </c>
      <c r="H320" t="s">
        <v>821</v>
      </c>
      <c r="I320" s="15">
        <f t="shared" si="37"/>
        <v>2486.63</v>
      </c>
      <c r="J320" s="18">
        <f t="shared" si="38"/>
        <v>0</v>
      </c>
      <c r="K320" s="9">
        <v>45421</v>
      </c>
      <c r="L320" s="54">
        <f t="shared" si="39"/>
        <v>30</v>
      </c>
      <c r="M320" s="9" t="str">
        <f t="shared" si="40"/>
        <v>2024-May</v>
      </c>
      <c r="N320" t="s">
        <v>822</v>
      </c>
      <c r="O320" s="17">
        <f t="shared" si="41"/>
        <v>45868</v>
      </c>
      <c r="P320" s="25">
        <f t="shared" si="42"/>
        <v>0</v>
      </c>
      <c r="Q320" t="str">
        <f t="shared" si="43"/>
        <v>Paid</v>
      </c>
      <c r="R320" t="str">
        <f t="shared" si="44"/>
        <v>Not Due</v>
      </c>
    </row>
    <row r="321" spans="1:18" x14ac:dyDescent="0.35">
      <c r="A321" t="s">
        <v>328</v>
      </c>
      <c r="B321" t="s">
        <v>811</v>
      </c>
      <c r="C321" s="9">
        <v>44979</v>
      </c>
      <c r="D321" s="28" t="str">
        <f t="shared" si="36"/>
        <v>Feb 2023</v>
      </c>
      <c r="E321" s="9">
        <v>45009</v>
      </c>
      <c r="F321" t="s">
        <v>815</v>
      </c>
      <c r="G321">
        <v>3606.67</v>
      </c>
      <c r="H321" t="s">
        <v>820</v>
      </c>
      <c r="I321" s="15">
        <f t="shared" si="37"/>
        <v>0</v>
      </c>
      <c r="J321" s="18" t="str">
        <f t="shared" si="38"/>
        <v>N/A</v>
      </c>
      <c r="L321" s="54" t="str">
        <f t="shared" si="39"/>
        <v/>
      </c>
      <c r="M321" s="9" t="str">
        <f t="shared" si="40"/>
        <v/>
      </c>
      <c r="N321" t="s">
        <v>822</v>
      </c>
      <c r="O321" s="17">
        <f t="shared" si="41"/>
        <v>45868</v>
      </c>
      <c r="P321" s="25">
        <f t="shared" si="42"/>
        <v>859</v>
      </c>
      <c r="Q321" t="str">
        <f t="shared" si="43"/>
        <v>90+</v>
      </c>
      <c r="R321" t="str">
        <f t="shared" si="44"/>
        <v>Due</v>
      </c>
    </row>
    <row r="322" spans="1:18" x14ac:dyDescent="0.35">
      <c r="A322" t="s">
        <v>329</v>
      </c>
      <c r="B322" t="s">
        <v>811</v>
      </c>
      <c r="C322" s="9">
        <v>45068</v>
      </c>
      <c r="D322" s="28" t="str">
        <f t="shared" si="36"/>
        <v>May 2023</v>
      </c>
      <c r="E322" s="9">
        <v>45098</v>
      </c>
      <c r="F322" t="s">
        <v>818</v>
      </c>
      <c r="G322">
        <v>3471.06</v>
      </c>
      <c r="H322" t="s">
        <v>820</v>
      </c>
      <c r="I322" s="15">
        <f t="shared" si="37"/>
        <v>0</v>
      </c>
      <c r="J322" s="18" t="str">
        <f t="shared" si="38"/>
        <v>N/A</v>
      </c>
      <c r="L322" s="54" t="str">
        <f t="shared" si="39"/>
        <v/>
      </c>
      <c r="M322" s="9" t="str">
        <f t="shared" si="40"/>
        <v/>
      </c>
      <c r="N322" t="s">
        <v>822</v>
      </c>
      <c r="O322" s="17">
        <f t="shared" si="41"/>
        <v>45868</v>
      </c>
      <c r="P322" s="25">
        <f t="shared" si="42"/>
        <v>770</v>
      </c>
      <c r="Q322" t="str">
        <f t="shared" si="43"/>
        <v>90+</v>
      </c>
      <c r="R322" t="str">
        <f t="shared" si="44"/>
        <v>Due</v>
      </c>
    </row>
    <row r="323" spans="1:18" x14ac:dyDescent="0.35">
      <c r="A323" t="s">
        <v>330</v>
      </c>
      <c r="B323" t="s">
        <v>809</v>
      </c>
      <c r="C323" s="9">
        <v>44928</v>
      </c>
      <c r="D323" s="28" t="str">
        <f t="shared" ref="D323:D386" si="45">TEXT(C323,"MMM YYYY")</f>
        <v>Jan 2023</v>
      </c>
      <c r="E323" s="9">
        <v>44958</v>
      </c>
      <c r="F323" t="s">
        <v>817</v>
      </c>
      <c r="G323">
        <v>1174.97</v>
      </c>
      <c r="H323" t="s">
        <v>821</v>
      </c>
      <c r="I323" s="15">
        <f t="shared" ref="I323:I386" si="46">IF(H323="Paid",G323,0)</f>
        <v>1174.97</v>
      </c>
      <c r="J323" s="18">
        <f t="shared" ref="J323:J386" si="47">IF(H323="Open",G323,IF(H323="Paid",0,"N/A"))</f>
        <v>0</v>
      </c>
      <c r="K323" s="9">
        <v>44958</v>
      </c>
      <c r="L323" s="54">
        <f t="shared" ref="L323:L386" si="48">IF(H323="Paid",K323-C323,"")</f>
        <v>30</v>
      </c>
      <c r="M323" s="9" t="str">
        <f t="shared" ref="M323:M386" si="49">IF(K323="","",TEXT(K323, "YYYY-MMM"))</f>
        <v>2023-Feb</v>
      </c>
      <c r="N323" t="s">
        <v>822</v>
      </c>
      <c r="O323" s="17">
        <f t="shared" ref="O323:O386" si="50">MAX(MAX($C$2:$C$801), MAX($E$2:$E$801))</f>
        <v>45868</v>
      </c>
      <c r="P323" s="25">
        <f t="shared" ref="P323:P386" si="51">IF(K323="", O323-E323,0)</f>
        <v>0</v>
      </c>
      <c r="Q323" t="str">
        <f t="shared" ref="Q323:Q386" si="52">IF(H323="Paid","Paid",
   IF(P323&lt;=0,"Current",
      IF(P323&lt;=30,"1-30",
         IF(P323&lt;=60,"31-60",
            IF(P323&lt;=90,"61-90","90+")))))</f>
        <v>Paid</v>
      </c>
      <c r="R323" t="str">
        <f t="shared" ref="R323:R386" si="53">IF(P323=0, "Not Due","Due")</f>
        <v>Not Due</v>
      </c>
    </row>
    <row r="324" spans="1:18" x14ac:dyDescent="0.35">
      <c r="A324" t="s">
        <v>331</v>
      </c>
      <c r="B324" t="s">
        <v>812</v>
      </c>
      <c r="C324" s="9">
        <v>45387</v>
      </c>
      <c r="D324" s="28" t="str">
        <f t="shared" si="45"/>
        <v>Apr 2024</v>
      </c>
      <c r="E324" s="9">
        <v>45417</v>
      </c>
      <c r="F324" t="s">
        <v>814</v>
      </c>
      <c r="G324">
        <v>1186.1400000000001</v>
      </c>
      <c r="H324" t="s">
        <v>820</v>
      </c>
      <c r="I324" s="15">
        <f t="shared" si="46"/>
        <v>0</v>
      </c>
      <c r="J324" s="18" t="str">
        <f t="shared" si="47"/>
        <v>N/A</v>
      </c>
      <c r="L324" s="54" t="str">
        <f t="shared" si="48"/>
        <v/>
      </c>
      <c r="M324" s="9" t="str">
        <f t="shared" si="49"/>
        <v/>
      </c>
      <c r="N324" t="s">
        <v>822</v>
      </c>
      <c r="O324" s="17">
        <f t="shared" si="50"/>
        <v>45868</v>
      </c>
      <c r="P324" s="25">
        <f t="shared" si="51"/>
        <v>451</v>
      </c>
      <c r="Q324" t="str">
        <f t="shared" si="52"/>
        <v>90+</v>
      </c>
      <c r="R324" t="str">
        <f t="shared" si="53"/>
        <v>Due</v>
      </c>
    </row>
    <row r="325" spans="1:18" x14ac:dyDescent="0.35">
      <c r="A325" t="s">
        <v>332</v>
      </c>
      <c r="B325" t="s">
        <v>813</v>
      </c>
      <c r="C325" s="9">
        <v>45528</v>
      </c>
      <c r="D325" s="28" t="str">
        <f t="shared" si="45"/>
        <v>Aug 2024</v>
      </c>
      <c r="E325" s="9">
        <v>45558</v>
      </c>
      <c r="F325" t="s">
        <v>818</v>
      </c>
      <c r="G325">
        <v>378.01</v>
      </c>
      <c r="H325" t="s">
        <v>819</v>
      </c>
      <c r="I325" s="15">
        <f t="shared" si="46"/>
        <v>0</v>
      </c>
      <c r="J325" s="18">
        <f t="shared" si="47"/>
        <v>378.01</v>
      </c>
      <c r="L325" s="54" t="str">
        <f t="shared" si="48"/>
        <v/>
      </c>
      <c r="M325" s="9" t="str">
        <f t="shared" si="49"/>
        <v/>
      </c>
      <c r="N325" t="s">
        <v>822</v>
      </c>
      <c r="O325" s="17">
        <f t="shared" si="50"/>
        <v>45868</v>
      </c>
      <c r="P325" s="25">
        <f t="shared" si="51"/>
        <v>310</v>
      </c>
      <c r="Q325" t="str">
        <f t="shared" si="52"/>
        <v>90+</v>
      </c>
      <c r="R325" t="str">
        <f t="shared" si="53"/>
        <v>Due</v>
      </c>
    </row>
    <row r="326" spans="1:18" x14ac:dyDescent="0.35">
      <c r="A326" t="s">
        <v>333</v>
      </c>
      <c r="B326" t="s">
        <v>813</v>
      </c>
      <c r="C326" s="9">
        <v>45014</v>
      </c>
      <c r="D326" s="28" t="str">
        <f t="shared" si="45"/>
        <v>Mar 2023</v>
      </c>
      <c r="E326" s="9">
        <v>45044</v>
      </c>
      <c r="F326" t="s">
        <v>817</v>
      </c>
      <c r="G326">
        <v>4607.07</v>
      </c>
      <c r="H326" t="s">
        <v>819</v>
      </c>
      <c r="I326" s="15">
        <f t="shared" si="46"/>
        <v>0</v>
      </c>
      <c r="J326" s="18">
        <f t="shared" si="47"/>
        <v>4607.07</v>
      </c>
      <c r="L326" s="54" t="str">
        <f t="shared" si="48"/>
        <v/>
      </c>
      <c r="M326" s="9" t="str">
        <f t="shared" si="49"/>
        <v/>
      </c>
      <c r="N326" t="s">
        <v>822</v>
      </c>
      <c r="O326" s="17">
        <f t="shared" si="50"/>
        <v>45868</v>
      </c>
      <c r="P326" s="25">
        <f t="shared" si="51"/>
        <v>824</v>
      </c>
      <c r="Q326" t="str">
        <f t="shared" si="52"/>
        <v>90+</v>
      </c>
      <c r="R326" t="str">
        <f t="shared" si="53"/>
        <v>Due</v>
      </c>
    </row>
    <row r="327" spans="1:18" x14ac:dyDescent="0.35">
      <c r="A327" t="s">
        <v>334</v>
      </c>
      <c r="B327" t="s">
        <v>809</v>
      </c>
      <c r="C327" s="9">
        <v>45054</v>
      </c>
      <c r="D327" s="28" t="str">
        <f t="shared" si="45"/>
        <v>May 2023</v>
      </c>
      <c r="E327" s="9">
        <v>45084</v>
      </c>
      <c r="F327" t="s">
        <v>815</v>
      </c>
      <c r="G327">
        <v>2015.93</v>
      </c>
      <c r="H327" t="s">
        <v>821</v>
      </c>
      <c r="I327" s="15">
        <f t="shared" si="46"/>
        <v>2015.93</v>
      </c>
      <c r="J327" s="18">
        <f t="shared" si="47"/>
        <v>0</v>
      </c>
      <c r="K327" s="9">
        <v>45084</v>
      </c>
      <c r="L327" s="54">
        <f t="shared" si="48"/>
        <v>30</v>
      </c>
      <c r="M327" s="9" t="str">
        <f t="shared" si="49"/>
        <v>2023-Jun</v>
      </c>
      <c r="N327" t="s">
        <v>822</v>
      </c>
      <c r="O327" s="17">
        <f t="shared" si="50"/>
        <v>45868</v>
      </c>
      <c r="P327" s="25">
        <f t="shared" si="51"/>
        <v>0</v>
      </c>
      <c r="Q327" t="str">
        <f t="shared" si="52"/>
        <v>Paid</v>
      </c>
      <c r="R327" t="str">
        <f t="shared" si="53"/>
        <v>Not Due</v>
      </c>
    </row>
    <row r="328" spans="1:18" x14ac:dyDescent="0.35">
      <c r="A328" t="s">
        <v>335</v>
      </c>
      <c r="B328" t="s">
        <v>809</v>
      </c>
      <c r="C328" s="9">
        <v>45511</v>
      </c>
      <c r="D328" s="28" t="str">
        <f t="shared" si="45"/>
        <v>Aug 2024</v>
      </c>
      <c r="E328" s="9">
        <v>45541</v>
      </c>
      <c r="F328" t="s">
        <v>816</v>
      </c>
      <c r="G328">
        <v>5053.43</v>
      </c>
      <c r="H328" t="s">
        <v>819</v>
      </c>
      <c r="I328" s="15">
        <f t="shared" si="46"/>
        <v>0</v>
      </c>
      <c r="J328" s="18">
        <f t="shared" si="47"/>
        <v>5053.43</v>
      </c>
      <c r="L328" s="54" t="str">
        <f t="shared" si="48"/>
        <v/>
      </c>
      <c r="M328" s="9" t="str">
        <f t="shared" si="49"/>
        <v/>
      </c>
      <c r="N328" t="s">
        <v>822</v>
      </c>
      <c r="O328" s="17">
        <f t="shared" si="50"/>
        <v>45868</v>
      </c>
      <c r="P328" s="25">
        <f t="shared" si="51"/>
        <v>327</v>
      </c>
      <c r="Q328" t="str">
        <f t="shared" si="52"/>
        <v>90+</v>
      </c>
      <c r="R328" t="str">
        <f t="shared" si="53"/>
        <v>Due</v>
      </c>
    </row>
    <row r="329" spans="1:18" x14ac:dyDescent="0.35">
      <c r="A329" t="s">
        <v>336</v>
      </c>
      <c r="B329" t="s">
        <v>810</v>
      </c>
      <c r="C329" s="9">
        <v>45576</v>
      </c>
      <c r="D329" s="28" t="str">
        <f t="shared" si="45"/>
        <v>Oct 2024</v>
      </c>
      <c r="E329" s="9">
        <v>45606</v>
      </c>
      <c r="F329" t="s">
        <v>814</v>
      </c>
      <c r="G329">
        <v>4854.4399999999996</v>
      </c>
      <c r="H329" t="s">
        <v>821</v>
      </c>
      <c r="I329" s="15">
        <f t="shared" si="46"/>
        <v>4854.4399999999996</v>
      </c>
      <c r="J329" s="18">
        <f t="shared" si="47"/>
        <v>0</v>
      </c>
      <c r="K329" s="9">
        <v>45606</v>
      </c>
      <c r="L329" s="54">
        <f t="shared" si="48"/>
        <v>30</v>
      </c>
      <c r="M329" s="9" t="str">
        <f t="shared" si="49"/>
        <v>2024-Nov</v>
      </c>
      <c r="N329" t="s">
        <v>822</v>
      </c>
      <c r="O329" s="17">
        <f t="shared" si="50"/>
        <v>45868</v>
      </c>
      <c r="P329" s="25">
        <f t="shared" si="51"/>
        <v>0</v>
      </c>
      <c r="Q329" t="str">
        <f t="shared" si="52"/>
        <v>Paid</v>
      </c>
      <c r="R329" t="str">
        <f t="shared" si="53"/>
        <v>Not Due</v>
      </c>
    </row>
    <row r="330" spans="1:18" x14ac:dyDescent="0.35">
      <c r="A330" t="s">
        <v>337</v>
      </c>
      <c r="B330" t="s">
        <v>812</v>
      </c>
      <c r="C330" s="9">
        <v>45643</v>
      </c>
      <c r="D330" s="28" t="str">
        <f t="shared" si="45"/>
        <v>Dec 2024</v>
      </c>
      <c r="E330" s="9">
        <v>45673</v>
      </c>
      <c r="F330" t="s">
        <v>818</v>
      </c>
      <c r="G330">
        <v>1011.43</v>
      </c>
      <c r="H330" t="s">
        <v>819</v>
      </c>
      <c r="I330" s="15">
        <f t="shared" si="46"/>
        <v>0</v>
      </c>
      <c r="J330" s="18">
        <f t="shared" si="47"/>
        <v>1011.43</v>
      </c>
      <c r="L330" s="54" t="str">
        <f t="shared" si="48"/>
        <v/>
      </c>
      <c r="M330" s="9" t="str">
        <f t="shared" si="49"/>
        <v/>
      </c>
      <c r="N330" t="s">
        <v>822</v>
      </c>
      <c r="O330" s="17">
        <f t="shared" si="50"/>
        <v>45868</v>
      </c>
      <c r="P330" s="25">
        <f t="shared" si="51"/>
        <v>195</v>
      </c>
      <c r="Q330" t="str">
        <f t="shared" si="52"/>
        <v>90+</v>
      </c>
      <c r="R330" t="str">
        <f t="shared" si="53"/>
        <v>Due</v>
      </c>
    </row>
    <row r="331" spans="1:18" x14ac:dyDescent="0.35">
      <c r="A331" t="s">
        <v>338</v>
      </c>
      <c r="B331" t="s">
        <v>812</v>
      </c>
      <c r="C331" s="9">
        <v>45401</v>
      </c>
      <c r="D331" s="28" t="str">
        <f t="shared" si="45"/>
        <v>Apr 2024</v>
      </c>
      <c r="E331" s="9">
        <v>45431</v>
      </c>
      <c r="F331" t="s">
        <v>818</v>
      </c>
      <c r="G331">
        <v>3247.6</v>
      </c>
      <c r="H331" t="s">
        <v>820</v>
      </c>
      <c r="I331" s="15">
        <f t="shared" si="46"/>
        <v>0</v>
      </c>
      <c r="J331" s="18" t="str">
        <f t="shared" si="47"/>
        <v>N/A</v>
      </c>
      <c r="L331" s="54" t="str">
        <f t="shared" si="48"/>
        <v/>
      </c>
      <c r="M331" s="9" t="str">
        <f t="shared" si="49"/>
        <v/>
      </c>
      <c r="N331" t="s">
        <v>822</v>
      </c>
      <c r="O331" s="17">
        <f t="shared" si="50"/>
        <v>45868</v>
      </c>
      <c r="P331" s="25">
        <f t="shared" si="51"/>
        <v>437</v>
      </c>
      <c r="Q331" t="str">
        <f t="shared" si="52"/>
        <v>90+</v>
      </c>
      <c r="R331" t="str">
        <f t="shared" si="53"/>
        <v>Due</v>
      </c>
    </row>
    <row r="332" spans="1:18" x14ac:dyDescent="0.35">
      <c r="A332" t="s">
        <v>339</v>
      </c>
      <c r="B332" t="s">
        <v>811</v>
      </c>
      <c r="C332" s="9">
        <v>45395</v>
      </c>
      <c r="D332" s="28" t="str">
        <f t="shared" si="45"/>
        <v>Apr 2024</v>
      </c>
      <c r="E332" s="9">
        <v>45425</v>
      </c>
      <c r="F332" t="s">
        <v>814</v>
      </c>
      <c r="G332">
        <v>2160.5100000000002</v>
      </c>
      <c r="H332" t="s">
        <v>819</v>
      </c>
      <c r="I332" s="15">
        <f t="shared" si="46"/>
        <v>0</v>
      </c>
      <c r="J332" s="18">
        <f t="shared" si="47"/>
        <v>2160.5100000000002</v>
      </c>
      <c r="L332" s="54" t="str">
        <f t="shared" si="48"/>
        <v/>
      </c>
      <c r="M332" s="9" t="str">
        <f t="shared" si="49"/>
        <v/>
      </c>
      <c r="N332" t="s">
        <v>822</v>
      </c>
      <c r="O332" s="17">
        <f t="shared" si="50"/>
        <v>45868</v>
      </c>
      <c r="P332" s="25">
        <f t="shared" si="51"/>
        <v>443</v>
      </c>
      <c r="Q332" t="str">
        <f t="shared" si="52"/>
        <v>90+</v>
      </c>
      <c r="R332" t="str">
        <f t="shared" si="53"/>
        <v>Due</v>
      </c>
    </row>
    <row r="333" spans="1:18" x14ac:dyDescent="0.35">
      <c r="A333" t="s">
        <v>340</v>
      </c>
      <c r="B333" t="s">
        <v>810</v>
      </c>
      <c r="C333" s="9">
        <v>45633</v>
      </c>
      <c r="D333" s="28" t="str">
        <f t="shared" si="45"/>
        <v>Dec 2024</v>
      </c>
      <c r="E333" s="9">
        <v>45663</v>
      </c>
      <c r="F333" t="s">
        <v>815</v>
      </c>
      <c r="G333">
        <v>1152.96</v>
      </c>
      <c r="H333" t="s">
        <v>821</v>
      </c>
      <c r="I333" s="15">
        <f t="shared" si="46"/>
        <v>1152.96</v>
      </c>
      <c r="J333" s="18">
        <f t="shared" si="47"/>
        <v>0</v>
      </c>
      <c r="K333" s="9">
        <v>45663</v>
      </c>
      <c r="L333" s="54">
        <f t="shared" si="48"/>
        <v>30</v>
      </c>
      <c r="M333" s="9" t="str">
        <f t="shared" si="49"/>
        <v>2025-Jan</v>
      </c>
      <c r="N333" t="s">
        <v>822</v>
      </c>
      <c r="O333" s="17">
        <f t="shared" si="50"/>
        <v>45868</v>
      </c>
      <c r="P333" s="25">
        <f t="shared" si="51"/>
        <v>0</v>
      </c>
      <c r="Q333" t="str">
        <f t="shared" si="52"/>
        <v>Paid</v>
      </c>
      <c r="R333" t="str">
        <f t="shared" si="53"/>
        <v>Not Due</v>
      </c>
    </row>
    <row r="334" spans="1:18" x14ac:dyDescent="0.35">
      <c r="A334" t="s">
        <v>341</v>
      </c>
      <c r="B334" t="s">
        <v>810</v>
      </c>
      <c r="C334" s="9">
        <v>44949</v>
      </c>
      <c r="D334" s="28" t="str">
        <f t="shared" si="45"/>
        <v>Jan 2023</v>
      </c>
      <c r="E334" s="9">
        <v>44979</v>
      </c>
      <c r="F334" t="s">
        <v>815</v>
      </c>
      <c r="G334">
        <v>127.46</v>
      </c>
      <c r="H334" t="s">
        <v>821</v>
      </c>
      <c r="I334" s="15">
        <f t="shared" si="46"/>
        <v>127.46</v>
      </c>
      <c r="J334" s="18">
        <f t="shared" si="47"/>
        <v>0</v>
      </c>
      <c r="K334" s="9">
        <v>44979</v>
      </c>
      <c r="L334" s="54">
        <f t="shared" si="48"/>
        <v>30</v>
      </c>
      <c r="M334" s="9" t="str">
        <f t="shared" si="49"/>
        <v>2023-Feb</v>
      </c>
      <c r="N334" t="s">
        <v>822</v>
      </c>
      <c r="O334" s="17">
        <f t="shared" si="50"/>
        <v>45868</v>
      </c>
      <c r="P334" s="25">
        <f t="shared" si="51"/>
        <v>0</v>
      </c>
      <c r="Q334" t="str">
        <f t="shared" si="52"/>
        <v>Paid</v>
      </c>
      <c r="R334" t="str">
        <f t="shared" si="53"/>
        <v>Not Due</v>
      </c>
    </row>
    <row r="335" spans="1:18" x14ac:dyDescent="0.35">
      <c r="A335" t="s">
        <v>342</v>
      </c>
      <c r="B335" t="s">
        <v>811</v>
      </c>
      <c r="C335" s="9">
        <v>45705</v>
      </c>
      <c r="D335" s="28" t="str">
        <f t="shared" si="45"/>
        <v>Feb 2025</v>
      </c>
      <c r="E335" s="9">
        <v>45735</v>
      </c>
      <c r="F335" t="s">
        <v>815</v>
      </c>
      <c r="G335">
        <v>885.04</v>
      </c>
      <c r="H335" t="s">
        <v>819</v>
      </c>
      <c r="I335" s="15">
        <f t="shared" si="46"/>
        <v>0</v>
      </c>
      <c r="J335" s="18">
        <f t="shared" si="47"/>
        <v>885.04</v>
      </c>
      <c r="L335" s="54" t="str">
        <f t="shared" si="48"/>
        <v/>
      </c>
      <c r="M335" s="9" t="str">
        <f t="shared" si="49"/>
        <v/>
      </c>
      <c r="N335" t="s">
        <v>822</v>
      </c>
      <c r="O335" s="17">
        <f t="shared" si="50"/>
        <v>45868</v>
      </c>
      <c r="P335" s="25">
        <f t="shared" si="51"/>
        <v>133</v>
      </c>
      <c r="Q335" t="str">
        <f t="shared" si="52"/>
        <v>90+</v>
      </c>
      <c r="R335" t="str">
        <f t="shared" si="53"/>
        <v>Due</v>
      </c>
    </row>
    <row r="336" spans="1:18" x14ac:dyDescent="0.35">
      <c r="A336" t="s">
        <v>343</v>
      </c>
      <c r="B336" t="s">
        <v>809</v>
      </c>
      <c r="C336" s="9">
        <v>45321</v>
      </c>
      <c r="D336" s="28" t="str">
        <f t="shared" si="45"/>
        <v>Jan 2024</v>
      </c>
      <c r="E336" s="9">
        <v>45351</v>
      </c>
      <c r="F336" t="s">
        <v>815</v>
      </c>
      <c r="G336">
        <v>256.45999999999998</v>
      </c>
      <c r="H336" t="s">
        <v>819</v>
      </c>
      <c r="I336" s="15">
        <f t="shared" si="46"/>
        <v>0</v>
      </c>
      <c r="J336" s="18">
        <f t="shared" si="47"/>
        <v>256.45999999999998</v>
      </c>
      <c r="L336" s="54" t="str">
        <f t="shared" si="48"/>
        <v/>
      </c>
      <c r="M336" s="9" t="str">
        <f t="shared" si="49"/>
        <v/>
      </c>
      <c r="N336" t="s">
        <v>822</v>
      </c>
      <c r="O336" s="17">
        <f t="shared" si="50"/>
        <v>45868</v>
      </c>
      <c r="P336" s="25">
        <f t="shared" si="51"/>
        <v>517</v>
      </c>
      <c r="Q336" t="str">
        <f t="shared" si="52"/>
        <v>90+</v>
      </c>
      <c r="R336" t="str">
        <f t="shared" si="53"/>
        <v>Due</v>
      </c>
    </row>
    <row r="337" spans="1:18" x14ac:dyDescent="0.35">
      <c r="A337" t="s">
        <v>344</v>
      </c>
      <c r="B337" t="s">
        <v>812</v>
      </c>
      <c r="C337" s="9">
        <v>45736</v>
      </c>
      <c r="D337" s="28" t="str">
        <f t="shared" si="45"/>
        <v>Mar 2025</v>
      </c>
      <c r="E337" s="9">
        <v>45766</v>
      </c>
      <c r="F337" t="s">
        <v>814</v>
      </c>
      <c r="G337">
        <v>5389.84</v>
      </c>
      <c r="H337" t="s">
        <v>821</v>
      </c>
      <c r="I337" s="15">
        <f t="shared" si="46"/>
        <v>5389.84</v>
      </c>
      <c r="J337" s="18">
        <f t="shared" si="47"/>
        <v>0</v>
      </c>
      <c r="K337" s="9">
        <v>45766</v>
      </c>
      <c r="L337" s="54">
        <f t="shared" si="48"/>
        <v>30</v>
      </c>
      <c r="M337" s="9" t="str">
        <f t="shared" si="49"/>
        <v>2025-Apr</v>
      </c>
      <c r="N337" t="s">
        <v>822</v>
      </c>
      <c r="O337" s="17">
        <f t="shared" si="50"/>
        <v>45868</v>
      </c>
      <c r="P337" s="25">
        <f t="shared" si="51"/>
        <v>0</v>
      </c>
      <c r="Q337" t="str">
        <f t="shared" si="52"/>
        <v>Paid</v>
      </c>
      <c r="R337" t="str">
        <f t="shared" si="53"/>
        <v>Not Due</v>
      </c>
    </row>
    <row r="338" spans="1:18" x14ac:dyDescent="0.35">
      <c r="A338" t="s">
        <v>345</v>
      </c>
      <c r="B338" t="s">
        <v>813</v>
      </c>
      <c r="C338" s="9">
        <v>45268</v>
      </c>
      <c r="D338" s="28" t="str">
        <f t="shared" si="45"/>
        <v>Dec 2023</v>
      </c>
      <c r="E338" s="9">
        <v>45298</v>
      </c>
      <c r="F338" t="s">
        <v>814</v>
      </c>
      <c r="G338">
        <v>3313.65</v>
      </c>
      <c r="H338" t="s">
        <v>820</v>
      </c>
      <c r="I338" s="15">
        <f t="shared" si="46"/>
        <v>0</v>
      </c>
      <c r="J338" s="18" t="str">
        <f t="shared" si="47"/>
        <v>N/A</v>
      </c>
      <c r="L338" s="54" t="str">
        <f t="shared" si="48"/>
        <v/>
      </c>
      <c r="M338" s="9" t="str">
        <f t="shared" si="49"/>
        <v/>
      </c>
      <c r="N338" t="s">
        <v>822</v>
      </c>
      <c r="O338" s="17">
        <f t="shared" si="50"/>
        <v>45868</v>
      </c>
      <c r="P338" s="25">
        <f t="shared" si="51"/>
        <v>570</v>
      </c>
      <c r="Q338" t="str">
        <f t="shared" si="52"/>
        <v>90+</v>
      </c>
      <c r="R338" t="str">
        <f t="shared" si="53"/>
        <v>Due</v>
      </c>
    </row>
    <row r="339" spans="1:18" x14ac:dyDescent="0.35">
      <c r="A339" t="s">
        <v>346</v>
      </c>
      <c r="B339" t="s">
        <v>811</v>
      </c>
      <c r="C339" s="9">
        <v>45810</v>
      </c>
      <c r="D339" s="28" t="str">
        <f t="shared" si="45"/>
        <v>Jun 2025</v>
      </c>
      <c r="E339" s="9">
        <v>45840</v>
      </c>
      <c r="F339" t="s">
        <v>814</v>
      </c>
      <c r="G339">
        <v>1823.79</v>
      </c>
      <c r="H339" t="s">
        <v>819</v>
      </c>
      <c r="I339" s="15">
        <f t="shared" si="46"/>
        <v>0</v>
      </c>
      <c r="J339" s="18">
        <f t="shared" si="47"/>
        <v>1823.79</v>
      </c>
      <c r="L339" s="54" t="str">
        <f t="shared" si="48"/>
        <v/>
      </c>
      <c r="M339" s="9" t="str">
        <f t="shared" si="49"/>
        <v/>
      </c>
      <c r="N339" t="s">
        <v>822</v>
      </c>
      <c r="O339" s="17">
        <f t="shared" si="50"/>
        <v>45868</v>
      </c>
      <c r="P339" s="25">
        <f t="shared" si="51"/>
        <v>28</v>
      </c>
      <c r="Q339" t="str">
        <f t="shared" si="52"/>
        <v>1-30</v>
      </c>
      <c r="R339" t="str">
        <f t="shared" si="53"/>
        <v>Due</v>
      </c>
    </row>
    <row r="340" spans="1:18" x14ac:dyDescent="0.35">
      <c r="A340" t="s">
        <v>347</v>
      </c>
      <c r="B340" t="s">
        <v>812</v>
      </c>
      <c r="C340" s="9">
        <v>45235</v>
      </c>
      <c r="D340" s="28" t="str">
        <f t="shared" si="45"/>
        <v>Nov 2023</v>
      </c>
      <c r="E340" s="9">
        <v>45265</v>
      </c>
      <c r="F340" t="s">
        <v>814</v>
      </c>
      <c r="G340">
        <v>5725.97</v>
      </c>
      <c r="H340" t="s">
        <v>821</v>
      </c>
      <c r="I340" s="15">
        <f t="shared" si="46"/>
        <v>5725.97</v>
      </c>
      <c r="J340" s="18">
        <f t="shared" si="47"/>
        <v>0</v>
      </c>
      <c r="K340" s="9">
        <v>45265</v>
      </c>
      <c r="L340" s="54">
        <f t="shared" si="48"/>
        <v>30</v>
      </c>
      <c r="M340" s="9" t="str">
        <f t="shared" si="49"/>
        <v>2023-Dec</v>
      </c>
      <c r="N340" t="s">
        <v>822</v>
      </c>
      <c r="O340" s="17">
        <f t="shared" si="50"/>
        <v>45868</v>
      </c>
      <c r="P340" s="25">
        <f t="shared" si="51"/>
        <v>0</v>
      </c>
      <c r="Q340" t="str">
        <f t="shared" si="52"/>
        <v>Paid</v>
      </c>
      <c r="R340" t="str">
        <f t="shared" si="53"/>
        <v>Not Due</v>
      </c>
    </row>
    <row r="341" spans="1:18" x14ac:dyDescent="0.35">
      <c r="A341" t="s">
        <v>348</v>
      </c>
      <c r="B341" t="s">
        <v>813</v>
      </c>
      <c r="C341" s="9">
        <v>45282</v>
      </c>
      <c r="D341" s="28" t="str">
        <f t="shared" si="45"/>
        <v>Dec 2023</v>
      </c>
      <c r="E341" s="9">
        <v>45312</v>
      </c>
      <c r="F341" t="s">
        <v>816</v>
      </c>
      <c r="G341">
        <v>3734.59</v>
      </c>
      <c r="H341" t="s">
        <v>819</v>
      </c>
      <c r="I341" s="15">
        <f t="shared" si="46"/>
        <v>0</v>
      </c>
      <c r="J341" s="18">
        <f t="shared" si="47"/>
        <v>3734.59</v>
      </c>
      <c r="L341" s="54" t="str">
        <f t="shared" si="48"/>
        <v/>
      </c>
      <c r="M341" s="9" t="str">
        <f t="shared" si="49"/>
        <v/>
      </c>
      <c r="N341" t="s">
        <v>822</v>
      </c>
      <c r="O341" s="17">
        <f t="shared" si="50"/>
        <v>45868</v>
      </c>
      <c r="P341" s="25">
        <f t="shared" si="51"/>
        <v>556</v>
      </c>
      <c r="Q341" t="str">
        <f t="shared" si="52"/>
        <v>90+</v>
      </c>
      <c r="R341" t="str">
        <f t="shared" si="53"/>
        <v>Due</v>
      </c>
    </row>
    <row r="342" spans="1:18" x14ac:dyDescent="0.35">
      <c r="A342" t="s">
        <v>349</v>
      </c>
      <c r="B342" t="s">
        <v>812</v>
      </c>
      <c r="C342" s="9">
        <v>45672</v>
      </c>
      <c r="D342" s="28" t="str">
        <f t="shared" si="45"/>
        <v>Jan 2025</v>
      </c>
      <c r="E342" s="9">
        <v>45702</v>
      </c>
      <c r="F342" t="s">
        <v>818</v>
      </c>
      <c r="G342">
        <v>2094.73</v>
      </c>
      <c r="H342" t="s">
        <v>821</v>
      </c>
      <c r="I342" s="15">
        <f t="shared" si="46"/>
        <v>2094.73</v>
      </c>
      <c r="J342" s="18">
        <f t="shared" si="47"/>
        <v>0</v>
      </c>
      <c r="K342" s="9">
        <v>45702</v>
      </c>
      <c r="L342" s="54">
        <f t="shared" si="48"/>
        <v>30</v>
      </c>
      <c r="M342" s="9" t="str">
        <f t="shared" si="49"/>
        <v>2025-Feb</v>
      </c>
      <c r="N342" t="s">
        <v>822</v>
      </c>
      <c r="O342" s="17">
        <f t="shared" si="50"/>
        <v>45868</v>
      </c>
      <c r="P342" s="25">
        <f t="shared" si="51"/>
        <v>0</v>
      </c>
      <c r="Q342" t="str">
        <f t="shared" si="52"/>
        <v>Paid</v>
      </c>
      <c r="R342" t="str">
        <f t="shared" si="53"/>
        <v>Not Due</v>
      </c>
    </row>
    <row r="343" spans="1:18" x14ac:dyDescent="0.35">
      <c r="A343" t="s">
        <v>350</v>
      </c>
      <c r="B343" t="s">
        <v>811</v>
      </c>
      <c r="C343" s="9">
        <v>45831</v>
      </c>
      <c r="D343" s="28" t="str">
        <f t="shared" si="45"/>
        <v>Jun 2025</v>
      </c>
      <c r="E343" s="9">
        <v>45861</v>
      </c>
      <c r="F343" t="s">
        <v>817</v>
      </c>
      <c r="G343">
        <v>728.89</v>
      </c>
      <c r="H343" t="s">
        <v>820</v>
      </c>
      <c r="I343" s="15">
        <f t="shared" si="46"/>
        <v>0</v>
      </c>
      <c r="J343" s="18" t="str">
        <f t="shared" si="47"/>
        <v>N/A</v>
      </c>
      <c r="L343" s="54" t="str">
        <f t="shared" si="48"/>
        <v/>
      </c>
      <c r="M343" s="9" t="str">
        <f t="shared" si="49"/>
        <v/>
      </c>
      <c r="N343" t="s">
        <v>822</v>
      </c>
      <c r="O343" s="17">
        <f t="shared" si="50"/>
        <v>45868</v>
      </c>
      <c r="P343" s="25">
        <f t="shared" si="51"/>
        <v>7</v>
      </c>
      <c r="Q343" t="str">
        <f t="shared" si="52"/>
        <v>1-30</v>
      </c>
      <c r="R343" t="str">
        <f t="shared" si="53"/>
        <v>Due</v>
      </c>
    </row>
    <row r="344" spans="1:18" x14ac:dyDescent="0.35">
      <c r="A344" t="s">
        <v>351</v>
      </c>
      <c r="B344" t="s">
        <v>809</v>
      </c>
      <c r="C344" s="9">
        <v>44981</v>
      </c>
      <c r="D344" s="28" t="str">
        <f t="shared" si="45"/>
        <v>Feb 2023</v>
      </c>
      <c r="E344" s="9">
        <v>45011</v>
      </c>
      <c r="F344" t="s">
        <v>817</v>
      </c>
      <c r="G344">
        <v>1790.61</v>
      </c>
      <c r="H344" t="s">
        <v>820</v>
      </c>
      <c r="I344" s="15">
        <f t="shared" si="46"/>
        <v>0</v>
      </c>
      <c r="J344" s="18" t="str">
        <f t="shared" si="47"/>
        <v>N/A</v>
      </c>
      <c r="L344" s="54" t="str">
        <f t="shared" si="48"/>
        <v/>
      </c>
      <c r="M344" s="9" t="str">
        <f t="shared" si="49"/>
        <v/>
      </c>
      <c r="N344" t="s">
        <v>822</v>
      </c>
      <c r="O344" s="17">
        <f t="shared" si="50"/>
        <v>45868</v>
      </c>
      <c r="P344" s="25">
        <f t="shared" si="51"/>
        <v>857</v>
      </c>
      <c r="Q344" t="str">
        <f t="shared" si="52"/>
        <v>90+</v>
      </c>
      <c r="R344" t="str">
        <f t="shared" si="53"/>
        <v>Due</v>
      </c>
    </row>
    <row r="345" spans="1:18" x14ac:dyDescent="0.35">
      <c r="A345" t="s">
        <v>352</v>
      </c>
      <c r="B345" t="s">
        <v>812</v>
      </c>
      <c r="C345" s="9">
        <v>45358</v>
      </c>
      <c r="D345" s="28" t="str">
        <f t="shared" si="45"/>
        <v>Mar 2024</v>
      </c>
      <c r="E345" s="9">
        <v>45388</v>
      </c>
      <c r="F345" t="s">
        <v>816</v>
      </c>
      <c r="G345">
        <v>4192.28</v>
      </c>
      <c r="H345" t="s">
        <v>821</v>
      </c>
      <c r="I345" s="15">
        <f t="shared" si="46"/>
        <v>4192.28</v>
      </c>
      <c r="J345" s="18">
        <f t="shared" si="47"/>
        <v>0</v>
      </c>
      <c r="K345" s="9">
        <v>45388</v>
      </c>
      <c r="L345" s="54">
        <f t="shared" si="48"/>
        <v>30</v>
      </c>
      <c r="M345" s="9" t="str">
        <f t="shared" si="49"/>
        <v>2024-Apr</v>
      </c>
      <c r="N345" t="s">
        <v>822</v>
      </c>
      <c r="O345" s="17">
        <f t="shared" si="50"/>
        <v>45868</v>
      </c>
      <c r="P345" s="25">
        <f t="shared" si="51"/>
        <v>0</v>
      </c>
      <c r="Q345" t="str">
        <f t="shared" si="52"/>
        <v>Paid</v>
      </c>
      <c r="R345" t="str">
        <f t="shared" si="53"/>
        <v>Not Due</v>
      </c>
    </row>
    <row r="346" spans="1:18" x14ac:dyDescent="0.35">
      <c r="A346" t="s">
        <v>353</v>
      </c>
      <c r="B346" t="s">
        <v>810</v>
      </c>
      <c r="C346" s="9">
        <v>45154</v>
      </c>
      <c r="D346" s="28" t="str">
        <f t="shared" si="45"/>
        <v>Aug 2023</v>
      </c>
      <c r="E346" s="9">
        <v>45184</v>
      </c>
      <c r="F346" t="s">
        <v>816</v>
      </c>
      <c r="G346">
        <v>1222.24</v>
      </c>
      <c r="H346" t="s">
        <v>819</v>
      </c>
      <c r="I346" s="15">
        <f t="shared" si="46"/>
        <v>0</v>
      </c>
      <c r="J346" s="18">
        <f t="shared" si="47"/>
        <v>1222.24</v>
      </c>
      <c r="L346" s="54" t="str">
        <f t="shared" si="48"/>
        <v/>
      </c>
      <c r="M346" s="9" t="str">
        <f t="shared" si="49"/>
        <v/>
      </c>
      <c r="N346" t="s">
        <v>822</v>
      </c>
      <c r="O346" s="17">
        <f t="shared" si="50"/>
        <v>45868</v>
      </c>
      <c r="P346" s="25">
        <f t="shared" si="51"/>
        <v>684</v>
      </c>
      <c r="Q346" t="str">
        <f t="shared" si="52"/>
        <v>90+</v>
      </c>
      <c r="R346" t="str">
        <f t="shared" si="53"/>
        <v>Due</v>
      </c>
    </row>
    <row r="347" spans="1:18" x14ac:dyDescent="0.35">
      <c r="A347" t="s">
        <v>354</v>
      </c>
      <c r="B347" t="s">
        <v>812</v>
      </c>
      <c r="C347" s="9">
        <v>44937</v>
      </c>
      <c r="D347" s="28" t="str">
        <f t="shared" si="45"/>
        <v>Jan 2023</v>
      </c>
      <c r="E347" s="9">
        <v>44967</v>
      </c>
      <c r="F347" t="s">
        <v>817</v>
      </c>
      <c r="G347">
        <v>1797.02</v>
      </c>
      <c r="H347" t="s">
        <v>819</v>
      </c>
      <c r="I347" s="15">
        <f t="shared" si="46"/>
        <v>0</v>
      </c>
      <c r="J347" s="18">
        <f t="shared" si="47"/>
        <v>1797.02</v>
      </c>
      <c r="L347" s="54" t="str">
        <f t="shared" si="48"/>
        <v/>
      </c>
      <c r="M347" s="9" t="str">
        <f t="shared" si="49"/>
        <v/>
      </c>
      <c r="N347" t="s">
        <v>822</v>
      </c>
      <c r="O347" s="17">
        <f t="shared" si="50"/>
        <v>45868</v>
      </c>
      <c r="P347" s="25">
        <f t="shared" si="51"/>
        <v>901</v>
      </c>
      <c r="Q347" t="str">
        <f t="shared" si="52"/>
        <v>90+</v>
      </c>
      <c r="R347" t="str">
        <f t="shared" si="53"/>
        <v>Due</v>
      </c>
    </row>
    <row r="348" spans="1:18" x14ac:dyDescent="0.35">
      <c r="A348" t="s">
        <v>355</v>
      </c>
      <c r="B348" t="s">
        <v>811</v>
      </c>
      <c r="C348" s="9">
        <v>45169</v>
      </c>
      <c r="D348" s="28" t="str">
        <f t="shared" si="45"/>
        <v>Aug 2023</v>
      </c>
      <c r="E348" s="9">
        <v>45199</v>
      </c>
      <c r="F348" t="s">
        <v>815</v>
      </c>
      <c r="G348">
        <v>3538.83</v>
      </c>
      <c r="H348" t="s">
        <v>819</v>
      </c>
      <c r="I348" s="15">
        <f t="shared" si="46"/>
        <v>0</v>
      </c>
      <c r="J348" s="18">
        <f t="shared" si="47"/>
        <v>3538.83</v>
      </c>
      <c r="L348" s="54" t="str">
        <f t="shared" si="48"/>
        <v/>
      </c>
      <c r="M348" s="9" t="str">
        <f t="shared" si="49"/>
        <v/>
      </c>
      <c r="N348" t="s">
        <v>822</v>
      </c>
      <c r="O348" s="17">
        <f t="shared" si="50"/>
        <v>45868</v>
      </c>
      <c r="P348" s="25">
        <f t="shared" si="51"/>
        <v>669</v>
      </c>
      <c r="Q348" t="str">
        <f t="shared" si="52"/>
        <v>90+</v>
      </c>
      <c r="R348" t="str">
        <f t="shared" si="53"/>
        <v>Due</v>
      </c>
    </row>
    <row r="349" spans="1:18" x14ac:dyDescent="0.35">
      <c r="A349" t="s">
        <v>356</v>
      </c>
      <c r="B349" t="s">
        <v>812</v>
      </c>
      <c r="C349" s="9">
        <v>44962</v>
      </c>
      <c r="D349" s="28" t="str">
        <f t="shared" si="45"/>
        <v>Feb 2023</v>
      </c>
      <c r="E349" s="9">
        <v>44992</v>
      </c>
      <c r="F349" t="s">
        <v>816</v>
      </c>
      <c r="G349">
        <v>6266.98</v>
      </c>
      <c r="H349" t="s">
        <v>821</v>
      </c>
      <c r="I349" s="15">
        <f t="shared" si="46"/>
        <v>6266.98</v>
      </c>
      <c r="J349" s="18">
        <f t="shared" si="47"/>
        <v>0</v>
      </c>
      <c r="K349" s="9">
        <v>44992</v>
      </c>
      <c r="L349" s="54">
        <f t="shared" si="48"/>
        <v>30</v>
      </c>
      <c r="M349" s="9" t="str">
        <f t="shared" si="49"/>
        <v>2023-Mar</v>
      </c>
      <c r="N349" t="s">
        <v>822</v>
      </c>
      <c r="O349" s="17">
        <f t="shared" si="50"/>
        <v>45868</v>
      </c>
      <c r="P349" s="25">
        <f t="shared" si="51"/>
        <v>0</v>
      </c>
      <c r="Q349" t="str">
        <f t="shared" si="52"/>
        <v>Paid</v>
      </c>
      <c r="R349" t="str">
        <f t="shared" si="53"/>
        <v>Not Due</v>
      </c>
    </row>
    <row r="350" spans="1:18" x14ac:dyDescent="0.35">
      <c r="A350" t="s">
        <v>357</v>
      </c>
      <c r="B350" t="s">
        <v>809</v>
      </c>
      <c r="C350" s="9">
        <v>45452</v>
      </c>
      <c r="D350" s="28" t="str">
        <f t="shared" si="45"/>
        <v>Jun 2024</v>
      </c>
      <c r="E350" s="9">
        <v>45482</v>
      </c>
      <c r="F350" t="s">
        <v>815</v>
      </c>
      <c r="G350">
        <v>2275.17</v>
      </c>
      <c r="H350" t="s">
        <v>820</v>
      </c>
      <c r="I350" s="15">
        <f t="shared" si="46"/>
        <v>0</v>
      </c>
      <c r="J350" s="18" t="str">
        <f t="shared" si="47"/>
        <v>N/A</v>
      </c>
      <c r="L350" s="54" t="str">
        <f t="shared" si="48"/>
        <v/>
      </c>
      <c r="M350" s="9" t="str">
        <f t="shared" si="49"/>
        <v/>
      </c>
      <c r="N350" t="s">
        <v>822</v>
      </c>
      <c r="O350" s="17">
        <f t="shared" si="50"/>
        <v>45868</v>
      </c>
      <c r="P350" s="25">
        <f t="shared" si="51"/>
        <v>386</v>
      </c>
      <c r="Q350" t="str">
        <f t="shared" si="52"/>
        <v>90+</v>
      </c>
      <c r="R350" t="str">
        <f t="shared" si="53"/>
        <v>Due</v>
      </c>
    </row>
    <row r="351" spans="1:18" x14ac:dyDescent="0.35">
      <c r="A351" t="s">
        <v>358</v>
      </c>
      <c r="B351" t="s">
        <v>812</v>
      </c>
      <c r="C351" s="9">
        <v>45372</v>
      </c>
      <c r="D351" s="28" t="str">
        <f t="shared" si="45"/>
        <v>Mar 2024</v>
      </c>
      <c r="E351" s="9">
        <v>45402</v>
      </c>
      <c r="F351" t="s">
        <v>818</v>
      </c>
      <c r="G351">
        <v>3036.44</v>
      </c>
      <c r="H351" t="s">
        <v>821</v>
      </c>
      <c r="I351" s="15">
        <f t="shared" si="46"/>
        <v>3036.44</v>
      </c>
      <c r="J351" s="18">
        <f t="shared" si="47"/>
        <v>0</v>
      </c>
      <c r="K351" s="9">
        <v>45402</v>
      </c>
      <c r="L351" s="54">
        <f t="shared" si="48"/>
        <v>30</v>
      </c>
      <c r="M351" s="9" t="str">
        <f t="shared" si="49"/>
        <v>2024-Apr</v>
      </c>
      <c r="N351" t="s">
        <v>822</v>
      </c>
      <c r="O351" s="17">
        <f t="shared" si="50"/>
        <v>45868</v>
      </c>
      <c r="P351" s="25">
        <f t="shared" si="51"/>
        <v>0</v>
      </c>
      <c r="Q351" t="str">
        <f t="shared" si="52"/>
        <v>Paid</v>
      </c>
      <c r="R351" t="str">
        <f t="shared" si="53"/>
        <v>Not Due</v>
      </c>
    </row>
    <row r="352" spans="1:18" x14ac:dyDescent="0.35">
      <c r="A352" t="s">
        <v>359</v>
      </c>
      <c r="B352" t="s">
        <v>811</v>
      </c>
      <c r="C352" s="9">
        <v>45273</v>
      </c>
      <c r="D352" s="28" t="str">
        <f t="shared" si="45"/>
        <v>Dec 2023</v>
      </c>
      <c r="E352" s="9">
        <v>45303</v>
      </c>
      <c r="F352" t="s">
        <v>814</v>
      </c>
      <c r="G352">
        <v>5789.39</v>
      </c>
      <c r="H352" t="s">
        <v>819</v>
      </c>
      <c r="I352" s="15">
        <f t="shared" si="46"/>
        <v>0</v>
      </c>
      <c r="J352" s="18">
        <f t="shared" si="47"/>
        <v>5789.39</v>
      </c>
      <c r="L352" s="54" t="str">
        <f t="shared" si="48"/>
        <v/>
      </c>
      <c r="M352" s="9" t="str">
        <f t="shared" si="49"/>
        <v/>
      </c>
      <c r="N352" t="s">
        <v>822</v>
      </c>
      <c r="O352" s="17">
        <f t="shared" si="50"/>
        <v>45868</v>
      </c>
      <c r="P352" s="25">
        <f t="shared" si="51"/>
        <v>565</v>
      </c>
      <c r="Q352" t="str">
        <f t="shared" si="52"/>
        <v>90+</v>
      </c>
      <c r="R352" t="str">
        <f t="shared" si="53"/>
        <v>Due</v>
      </c>
    </row>
    <row r="353" spans="1:18" x14ac:dyDescent="0.35">
      <c r="A353" t="s">
        <v>360</v>
      </c>
      <c r="B353" t="s">
        <v>810</v>
      </c>
      <c r="C353" s="9">
        <v>45281</v>
      </c>
      <c r="D353" s="28" t="str">
        <f t="shared" si="45"/>
        <v>Dec 2023</v>
      </c>
      <c r="E353" s="9">
        <v>45311</v>
      </c>
      <c r="F353" t="s">
        <v>816</v>
      </c>
      <c r="G353">
        <v>4574.5600000000004</v>
      </c>
      <c r="H353" t="s">
        <v>821</v>
      </c>
      <c r="I353" s="15">
        <f t="shared" si="46"/>
        <v>4574.5600000000004</v>
      </c>
      <c r="J353" s="18">
        <f t="shared" si="47"/>
        <v>0</v>
      </c>
      <c r="K353" s="9">
        <v>45311</v>
      </c>
      <c r="L353" s="54">
        <f t="shared" si="48"/>
        <v>30</v>
      </c>
      <c r="M353" s="9" t="str">
        <f t="shared" si="49"/>
        <v>2024-Jan</v>
      </c>
      <c r="N353" t="s">
        <v>822</v>
      </c>
      <c r="O353" s="17">
        <f t="shared" si="50"/>
        <v>45868</v>
      </c>
      <c r="P353" s="25">
        <f t="shared" si="51"/>
        <v>0</v>
      </c>
      <c r="Q353" t="str">
        <f t="shared" si="52"/>
        <v>Paid</v>
      </c>
      <c r="R353" t="str">
        <f t="shared" si="53"/>
        <v>Not Due</v>
      </c>
    </row>
    <row r="354" spans="1:18" x14ac:dyDescent="0.35">
      <c r="A354" t="s">
        <v>361</v>
      </c>
      <c r="B354" t="s">
        <v>813</v>
      </c>
      <c r="C354" s="9">
        <v>45735</v>
      </c>
      <c r="D354" s="28" t="str">
        <f t="shared" si="45"/>
        <v>Mar 2025</v>
      </c>
      <c r="E354" s="9">
        <v>45765</v>
      </c>
      <c r="F354" t="s">
        <v>815</v>
      </c>
      <c r="G354">
        <v>360.93</v>
      </c>
      <c r="H354" t="s">
        <v>821</v>
      </c>
      <c r="I354" s="15">
        <f t="shared" si="46"/>
        <v>360.93</v>
      </c>
      <c r="J354" s="18">
        <f t="shared" si="47"/>
        <v>0</v>
      </c>
      <c r="K354" s="9">
        <v>45765</v>
      </c>
      <c r="L354" s="54">
        <f t="shared" si="48"/>
        <v>30</v>
      </c>
      <c r="M354" s="9" t="str">
        <f t="shared" si="49"/>
        <v>2025-Apr</v>
      </c>
      <c r="N354" t="s">
        <v>822</v>
      </c>
      <c r="O354" s="17">
        <f t="shared" si="50"/>
        <v>45868</v>
      </c>
      <c r="P354" s="25">
        <f t="shared" si="51"/>
        <v>0</v>
      </c>
      <c r="Q354" t="str">
        <f t="shared" si="52"/>
        <v>Paid</v>
      </c>
      <c r="R354" t="str">
        <f t="shared" si="53"/>
        <v>Not Due</v>
      </c>
    </row>
    <row r="355" spans="1:18" x14ac:dyDescent="0.35">
      <c r="A355" t="s">
        <v>362</v>
      </c>
      <c r="B355" t="s">
        <v>810</v>
      </c>
      <c r="C355" s="9">
        <v>45197</v>
      </c>
      <c r="D355" s="28" t="str">
        <f t="shared" si="45"/>
        <v>Sep 2023</v>
      </c>
      <c r="E355" s="9">
        <v>45227</v>
      </c>
      <c r="F355" t="s">
        <v>816</v>
      </c>
      <c r="G355">
        <v>6568.45</v>
      </c>
      <c r="H355" t="s">
        <v>821</v>
      </c>
      <c r="I355" s="15">
        <f t="shared" si="46"/>
        <v>6568.45</v>
      </c>
      <c r="J355" s="18">
        <f t="shared" si="47"/>
        <v>0</v>
      </c>
      <c r="K355" s="9">
        <v>45227</v>
      </c>
      <c r="L355" s="54">
        <f t="shared" si="48"/>
        <v>30</v>
      </c>
      <c r="M355" s="9" t="str">
        <f t="shared" si="49"/>
        <v>2023-Oct</v>
      </c>
      <c r="N355" t="s">
        <v>822</v>
      </c>
      <c r="O355" s="17">
        <f t="shared" si="50"/>
        <v>45868</v>
      </c>
      <c r="P355" s="25">
        <f t="shared" si="51"/>
        <v>0</v>
      </c>
      <c r="Q355" t="str">
        <f t="shared" si="52"/>
        <v>Paid</v>
      </c>
      <c r="R355" t="str">
        <f t="shared" si="53"/>
        <v>Not Due</v>
      </c>
    </row>
    <row r="356" spans="1:18" x14ac:dyDescent="0.35">
      <c r="A356" t="s">
        <v>363</v>
      </c>
      <c r="B356" t="s">
        <v>813</v>
      </c>
      <c r="C356" s="9">
        <v>45027</v>
      </c>
      <c r="D356" s="28" t="str">
        <f t="shared" si="45"/>
        <v>Apr 2023</v>
      </c>
      <c r="E356" s="9">
        <v>45057</v>
      </c>
      <c r="F356" t="s">
        <v>817</v>
      </c>
      <c r="G356">
        <v>1132.31</v>
      </c>
      <c r="H356" t="s">
        <v>820</v>
      </c>
      <c r="I356" s="15">
        <f t="shared" si="46"/>
        <v>0</v>
      </c>
      <c r="J356" s="18" t="str">
        <f t="shared" si="47"/>
        <v>N/A</v>
      </c>
      <c r="L356" s="54" t="str">
        <f t="shared" si="48"/>
        <v/>
      </c>
      <c r="M356" s="9" t="str">
        <f t="shared" si="49"/>
        <v/>
      </c>
      <c r="N356" t="s">
        <v>822</v>
      </c>
      <c r="O356" s="17">
        <f t="shared" si="50"/>
        <v>45868</v>
      </c>
      <c r="P356" s="25">
        <f t="shared" si="51"/>
        <v>811</v>
      </c>
      <c r="Q356" t="str">
        <f t="shared" si="52"/>
        <v>90+</v>
      </c>
      <c r="R356" t="str">
        <f t="shared" si="53"/>
        <v>Due</v>
      </c>
    </row>
    <row r="357" spans="1:18" x14ac:dyDescent="0.35">
      <c r="A357" t="s">
        <v>364</v>
      </c>
      <c r="B357" t="s">
        <v>813</v>
      </c>
      <c r="C357" s="9">
        <v>45797</v>
      </c>
      <c r="D357" s="28" t="str">
        <f t="shared" si="45"/>
        <v>May 2025</v>
      </c>
      <c r="E357" s="9">
        <v>45827</v>
      </c>
      <c r="F357" t="s">
        <v>814</v>
      </c>
      <c r="G357">
        <v>278.54000000000002</v>
      </c>
      <c r="H357" t="s">
        <v>820</v>
      </c>
      <c r="I357" s="15">
        <f t="shared" si="46"/>
        <v>0</v>
      </c>
      <c r="J357" s="18" t="str">
        <f t="shared" si="47"/>
        <v>N/A</v>
      </c>
      <c r="L357" s="54" t="str">
        <f t="shared" si="48"/>
        <v/>
      </c>
      <c r="M357" s="9" t="str">
        <f t="shared" si="49"/>
        <v/>
      </c>
      <c r="N357" t="s">
        <v>822</v>
      </c>
      <c r="O357" s="17">
        <f t="shared" si="50"/>
        <v>45868</v>
      </c>
      <c r="P357" s="25">
        <f t="shared" si="51"/>
        <v>41</v>
      </c>
      <c r="Q357" t="str">
        <f t="shared" si="52"/>
        <v>31-60</v>
      </c>
      <c r="R357" t="str">
        <f t="shared" si="53"/>
        <v>Due</v>
      </c>
    </row>
    <row r="358" spans="1:18" x14ac:dyDescent="0.35">
      <c r="A358" t="s">
        <v>365</v>
      </c>
      <c r="B358" t="s">
        <v>809</v>
      </c>
      <c r="C358" s="9">
        <v>45190</v>
      </c>
      <c r="D358" s="28" t="str">
        <f t="shared" si="45"/>
        <v>Sep 2023</v>
      </c>
      <c r="E358" s="9">
        <v>45220</v>
      </c>
      <c r="F358" t="s">
        <v>814</v>
      </c>
      <c r="G358">
        <v>2317.91</v>
      </c>
      <c r="H358" t="s">
        <v>819</v>
      </c>
      <c r="I358" s="15">
        <f t="shared" si="46"/>
        <v>0</v>
      </c>
      <c r="J358" s="18">
        <f t="shared" si="47"/>
        <v>2317.91</v>
      </c>
      <c r="L358" s="54" t="str">
        <f t="shared" si="48"/>
        <v/>
      </c>
      <c r="M358" s="9" t="str">
        <f t="shared" si="49"/>
        <v/>
      </c>
      <c r="N358" t="s">
        <v>822</v>
      </c>
      <c r="O358" s="17">
        <f t="shared" si="50"/>
        <v>45868</v>
      </c>
      <c r="P358" s="25">
        <f t="shared" si="51"/>
        <v>648</v>
      </c>
      <c r="Q358" t="str">
        <f t="shared" si="52"/>
        <v>90+</v>
      </c>
      <c r="R358" t="str">
        <f t="shared" si="53"/>
        <v>Due</v>
      </c>
    </row>
    <row r="359" spans="1:18" x14ac:dyDescent="0.35">
      <c r="A359" t="s">
        <v>366</v>
      </c>
      <c r="B359" t="s">
        <v>809</v>
      </c>
      <c r="C359" s="9">
        <v>45160</v>
      </c>
      <c r="D359" s="28" t="str">
        <f t="shared" si="45"/>
        <v>Aug 2023</v>
      </c>
      <c r="E359" s="9">
        <v>45190</v>
      </c>
      <c r="F359" t="s">
        <v>815</v>
      </c>
      <c r="G359">
        <v>2909.41</v>
      </c>
      <c r="H359" t="s">
        <v>821</v>
      </c>
      <c r="I359" s="15">
        <f t="shared" si="46"/>
        <v>2909.41</v>
      </c>
      <c r="J359" s="18">
        <f t="shared" si="47"/>
        <v>0</v>
      </c>
      <c r="K359" s="9">
        <v>45190</v>
      </c>
      <c r="L359" s="54">
        <f t="shared" si="48"/>
        <v>30</v>
      </c>
      <c r="M359" s="9" t="str">
        <f t="shared" si="49"/>
        <v>2023-Sep</v>
      </c>
      <c r="N359" t="s">
        <v>822</v>
      </c>
      <c r="O359" s="17">
        <f t="shared" si="50"/>
        <v>45868</v>
      </c>
      <c r="P359" s="25">
        <f t="shared" si="51"/>
        <v>0</v>
      </c>
      <c r="Q359" t="str">
        <f t="shared" si="52"/>
        <v>Paid</v>
      </c>
      <c r="R359" t="str">
        <f t="shared" si="53"/>
        <v>Not Due</v>
      </c>
    </row>
    <row r="360" spans="1:18" x14ac:dyDescent="0.35">
      <c r="A360" t="s">
        <v>367</v>
      </c>
      <c r="B360" t="s">
        <v>810</v>
      </c>
      <c r="C360" s="9">
        <v>45545</v>
      </c>
      <c r="D360" s="28" t="str">
        <f t="shared" si="45"/>
        <v>Sep 2024</v>
      </c>
      <c r="E360" s="9">
        <v>45575</v>
      </c>
      <c r="F360" t="s">
        <v>818</v>
      </c>
      <c r="G360">
        <v>1200.21</v>
      </c>
      <c r="H360" t="s">
        <v>819</v>
      </c>
      <c r="I360" s="15">
        <f t="shared" si="46"/>
        <v>0</v>
      </c>
      <c r="J360" s="18">
        <f t="shared" si="47"/>
        <v>1200.21</v>
      </c>
      <c r="L360" s="54" t="str">
        <f t="shared" si="48"/>
        <v/>
      </c>
      <c r="M360" s="9" t="str">
        <f t="shared" si="49"/>
        <v/>
      </c>
      <c r="N360" t="s">
        <v>822</v>
      </c>
      <c r="O360" s="17">
        <f t="shared" si="50"/>
        <v>45868</v>
      </c>
      <c r="P360" s="25">
        <f t="shared" si="51"/>
        <v>293</v>
      </c>
      <c r="Q360" t="str">
        <f t="shared" si="52"/>
        <v>90+</v>
      </c>
      <c r="R360" t="str">
        <f t="shared" si="53"/>
        <v>Due</v>
      </c>
    </row>
    <row r="361" spans="1:18" x14ac:dyDescent="0.35">
      <c r="A361" t="s">
        <v>368</v>
      </c>
      <c r="B361" t="s">
        <v>810</v>
      </c>
      <c r="C361" s="9">
        <v>45325</v>
      </c>
      <c r="D361" s="28" t="str">
        <f t="shared" si="45"/>
        <v>Feb 2024</v>
      </c>
      <c r="E361" s="9">
        <v>45355</v>
      </c>
      <c r="F361" t="s">
        <v>818</v>
      </c>
      <c r="G361">
        <v>494.94</v>
      </c>
      <c r="H361" t="s">
        <v>819</v>
      </c>
      <c r="I361" s="15">
        <f t="shared" si="46"/>
        <v>0</v>
      </c>
      <c r="J361" s="18">
        <f t="shared" si="47"/>
        <v>494.94</v>
      </c>
      <c r="L361" s="54" t="str">
        <f t="shared" si="48"/>
        <v/>
      </c>
      <c r="M361" s="9" t="str">
        <f t="shared" si="49"/>
        <v/>
      </c>
      <c r="N361" t="s">
        <v>822</v>
      </c>
      <c r="O361" s="17">
        <f t="shared" si="50"/>
        <v>45868</v>
      </c>
      <c r="P361" s="25">
        <f t="shared" si="51"/>
        <v>513</v>
      </c>
      <c r="Q361" t="str">
        <f t="shared" si="52"/>
        <v>90+</v>
      </c>
      <c r="R361" t="str">
        <f t="shared" si="53"/>
        <v>Due</v>
      </c>
    </row>
    <row r="362" spans="1:18" x14ac:dyDescent="0.35">
      <c r="A362" t="s">
        <v>369</v>
      </c>
      <c r="B362" t="s">
        <v>812</v>
      </c>
      <c r="C362" s="9">
        <v>45174</v>
      </c>
      <c r="D362" s="28" t="str">
        <f t="shared" si="45"/>
        <v>Sep 2023</v>
      </c>
      <c r="E362" s="9">
        <v>45204</v>
      </c>
      <c r="F362" t="s">
        <v>817</v>
      </c>
      <c r="G362">
        <v>1555.59</v>
      </c>
      <c r="H362" t="s">
        <v>821</v>
      </c>
      <c r="I362" s="15">
        <f t="shared" si="46"/>
        <v>1555.59</v>
      </c>
      <c r="J362" s="18">
        <f t="shared" si="47"/>
        <v>0</v>
      </c>
      <c r="K362" s="9">
        <v>45204</v>
      </c>
      <c r="L362" s="54">
        <f t="shared" si="48"/>
        <v>30</v>
      </c>
      <c r="M362" s="9" t="str">
        <f t="shared" si="49"/>
        <v>2023-Oct</v>
      </c>
      <c r="N362" t="s">
        <v>822</v>
      </c>
      <c r="O362" s="17">
        <f t="shared" si="50"/>
        <v>45868</v>
      </c>
      <c r="P362" s="25">
        <f t="shared" si="51"/>
        <v>0</v>
      </c>
      <c r="Q362" t="str">
        <f t="shared" si="52"/>
        <v>Paid</v>
      </c>
      <c r="R362" t="str">
        <f t="shared" si="53"/>
        <v>Not Due</v>
      </c>
    </row>
    <row r="363" spans="1:18" x14ac:dyDescent="0.35">
      <c r="A363" t="s">
        <v>370</v>
      </c>
      <c r="B363" t="s">
        <v>809</v>
      </c>
      <c r="C363" s="9">
        <v>45298</v>
      </c>
      <c r="D363" s="28" t="str">
        <f t="shared" si="45"/>
        <v>Jan 2024</v>
      </c>
      <c r="E363" s="9">
        <v>45328</v>
      </c>
      <c r="F363" t="s">
        <v>818</v>
      </c>
      <c r="G363">
        <v>674.86</v>
      </c>
      <c r="H363" t="s">
        <v>821</v>
      </c>
      <c r="I363" s="15">
        <f t="shared" si="46"/>
        <v>674.86</v>
      </c>
      <c r="J363" s="18">
        <f t="shared" si="47"/>
        <v>0</v>
      </c>
      <c r="K363" s="9">
        <v>45328</v>
      </c>
      <c r="L363" s="54">
        <f t="shared" si="48"/>
        <v>30</v>
      </c>
      <c r="M363" s="9" t="str">
        <f t="shared" si="49"/>
        <v>2024-Feb</v>
      </c>
      <c r="N363" t="s">
        <v>822</v>
      </c>
      <c r="O363" s="17">
        <f t="shared" si="50"/>
        <v>45868</v>
      </c>
      <c r="P363" s="25">
        <f t="shared" si="51"/>
        <v>0</v>
      </c>
      <c r="Q363" t="str">
        <f t="shared" si="52"/>
        <v>Paid</v>
      </c>
      <c r="R363" t="str">
        <f t="shared" si="53"/>
        <v>Not Due</v>
      </c>
    </row>
    <row r="364" spans="1:18" x14ac:dyDescent="0.35">
      <c r="A364" t="s">
        <v>371</v>
      </c>
      <c r="B364" t="s">
        <v>811</v>
      </c>
      <c r="C364" s="9">
        <v>45307</v>
      </c>
      <c r="D364" s="28" t="str">
        <f t="shared" si="45"/>
        <v>Jan 2024</v>
      </c>
      <c r="E364" s="9">
        <v>45337</v>
      </c>
      <c r="F364" t="s">
        <v>817</v>
      </c>
      <c r="G364">
        <v>2005.72</v>
      </c>
      <c r="H364" t="s">
        <v>821</v>
      </c>
      <c r="I364" s="15">
        <f t="shared" si="46"/>
        <v>2005.72</v>
      </c>
      <c r="J364" s="18">
        <f t="shared" si="47"/>
        <v>0</v>
      </c>
      <c r="K364" s="9">
        <v>45337</v>
      </c>
      <c r="L364" s="54">
        <f t="shared" si="48"/>
        <v>30</v>
      </c>
      <c r="M364" s="9" t="str">
        <f t="shared" si="49"/>
        <v>2024-Feb</v>
      </c>
      <c r="N364" t="s">
        <v>822</v>
      </c>
      <c r="O364" s="17">
        <f t="shared" si="50"/>
        <v>45868</v>
      </c>
      <c r="P364" s="25">
        <f t="shared" si="51"/>
        <v>0</v>
      </c>
      <c r="Q364" t="str">
        <f t="shared" si="52"/>
        <v>Paid</v>
      </c>
      <c r="R364" t="str">
        <f t="shared" si="53"/>
        <v>Not Due</v>
      </c>
    </row>
    <row r="365" spans="1:18" x14ac:dyDescent="0.35">
      <c r="A365" t="s">
        <v>372</v>
      </c>
      <c r="B365" t="s">
        <v>809</v>
      </c>
      <c r="C365" s="9">
        <v>45306</v>
      </c>
      <c r="D365" s="28" t="str">
        <f t="shared" si="45"/>
        <v>Jan 2024</v>
      </c>
      <c r="E365" s="9">
        <v>45336</v>
      </c>
      <c r="F365" t="s">
        <v>815</v>
      </c>
      <c r="G365">
        <v>3143.05</v>
      </c>
      <c r="H365" t="s">
        <v>821</v>
      </c>
      <c r="I365" s="15">
        <f t="shared" si="46"/>
        <v>3143.05</v>
      </c>
      <c r="J365" s="18">
        <f t="shared" si="47"/>
        <v>0</v>
      </c>
      <c r="K365" s="9">
        <v>45336</v>
      </c>
      <c r="L365" s="54">
        <f t="shared" si="48"/>
        <v>30</v>
      </c>
      <c r="M365" s="9" t="str">
        <f t="shared" si="49"/>
        <v>2024-Feb</v>
      </c>
      <c r="N365" t="s">
        <v>822</v>
      </c>
      <c r="O365" s="17">
        <f t="shared" si="50"/>
        <v>45868</v>
      </c>
      <c r="P365" s="25">
        <f t="shared" si="51"/>
        <v>0</v>
      </c>
      <c r="Q365" t="str">
        <f t="shared" si="52"/>
        <v>Paid</v>
      </c>
      <c r="R365" t="str">
        <f t="shared" si="53"/>
        <v>Not Due</v>
      </c>
    </row>
    <row r="366" spans="1:18" x14ac:dyDescent="0.35">
      <c r="A366" t="s">
        <v>373</v>
      </c>
      <c r="B366" t="s">
        <v>809</v>
      </c>
      <c r="C366" s="9">
        <v>45653</v>
      </c>
      <c r="D366" s="28" t="str">
        <f t="shared" si="45"/>
        <v>Dec 2024</v>
      </c>
      <c r="E366" s="9">
        <v>45683</v>
      </c>
      <c r="F366" t="s">
        <v>818</v>
      </c>
      <c r="G366">
        <v>1527.37</v>
      </c>
      <c r="H366" t="s">
        <v>819</v>
      </c>
      <c r="I366" s="15">
        <f t="shared" si="46"/>
        <v>0</v>
      </c>
      <c r="J366" s="18">
        <f t="shared" si="47"/>
        <v>1527.37</v>
      </c>
      <c r="L366" s="54" t="str">
        <f t="shared" si="48"/>
        <v/>
      </c>
      <c r="M366" s="9" t="str">
        <f t="shared" si="49"/>
        <v/>
      </c>
      <c r="N366" t="s">
        <v>822</v>
      </c>
      <c r="O366" s="17">
        <f t="shared" si="50"/>
        <v>45868</v>
      </c>
      <c r="P366" s="25">
        <f t="shared" si="51"/>
        <v>185</v>
      </c>
      <c r="Q366" t="str">
        <f t="shared" si="52"/>
        <v>90+</v>
      </c>
      <c r="R366" t="str">
        <f t="shared" si="53"/>
        <v>Due</v>
      </c>
    </row>
    <row r="367" spans="1:18" x14ac:dyDescent="0.35">
      <c r="A367" t="s">
        <v>374</v>
      </c>
      <c r="B367" t="s">
        <v>813</v>
      </c>
      <c r="C367" s="9">
        <v>45756</v>
      </c>
      <c r="D367" s="28" t="str">
        <f t="shared" si="45"/>
        <v>Apr 2025</v>
      </c>
      <c r="E367" s="9">
        <v>45786</v>
      </c>
      <c r="F367" t="s">
        <v>815</v>
      </c>
      <c r="G367">
        <v>2857.58</v>
      </c>
      <c r="H367" t="s">
        <v>820</v>
      </c>
      <c r="I367" s="15">
        <f t="shared" si="46"/>
        <v>0</v>
      </c>
      <c r="J367" s="18" t="str">
        <f t="shared" si="47"/>
        <v>N/A</v>
      </c>
      <c r="L367" s="54" t="str">
        <f t="shared" si="48"/>
        <v/>
      </c>
      <c r="M367" s="9" t="str">
        <f t="shared" si="49"/>
        <v/>
      </c>
      <c r="N367" t="s">
        <v>822</v>
      </c>
      <c r="O367" s="17">
        <f t="shared" si="50"/>
        <v>45868</v>
      </c>
      <c r="P367" s="25">
        <f t="shared" si="51"/>
        <v>82</v>
      </c>
      <c r="Q367" t="str">
        <f t="shared" si="52"/>
        <v>61-90</v>
      </c>
      <c r="R367" t="str">
        <f t="shared" si="53"/>
        <v>Due</v>
      </c>
    </row>
    <row r="368" spans="1:18" x14ac:dyDescent="0.35">
      <c r="A368" t="s">
        <v>375</v>
      </c>
      <c r="B368" t="s">
        <v>809</v>
      </c>
      <c r="C368" s="9">
        <v>45495</v>
      </c>
      <c r="D368" s="28" t="str">
        <f t="shared" si="45"/>
        <v>Jul 2024</v>
      </c>
      <c r="E368" s="9">
        <v>45525</v>
      </c>
      <c r="F368" t="s">
        <v>818</v>
      </c>
      <c r="G368">
        <v>2351.0700000000002</v>
      </c>
      <c r="H368" t="s">
        <v>820</v>
      </c>
      <c r="I368" s="15">
        <f t="shared" si="46"/>
        <v>0</v>
      </c>
      <c r="J368" s="18" t="str">
        <f t="shared" si="47"/>
        <v>N/A</v>
      </c>
      <c r="L368" s="54" t="str">
        <f t="shared" si="48"/>
        <v/>
      </c>
      <c r="M368" s="9" t="str">
        <f t="shared" si="49"/>
        <v/>
      </c>
      <c r="N368" t="s">
        <v>822</v>
      </c>
      <c r="O368" s="17">
        <f t="shared" si="50"/>
        <v>45868</v>
      </c>
      <c r="P368" s="25">
        <f t="shared" si="51"/>
        <v>343</v>
      </c>
      <c r="Q368" t="str">
        <f t="shared" si="52"/>
        <v>90+</v>
      </c>
      <c r="R368" t="str">
        <f t="shared" si="53"/>
        <v>Due</v>
      </c>
    </row>
    <row r="369" spans="1:18" x14ac:dyDescent="0.35">
      <c r="A369" t="s">
        <v>376</v>
      </c>
      <c r="B369" t="s">
        <v>813</v>
      </c>
      <c r="C369" s="9">
        <v>45411</v>
      </c>
      <c r="D369" s="28" t="str">
        <f t="shared" si="45"/>
        <v>Apr 2024</v>
      </c>
      <c r="E369" s="9">
        <v>45441</v>
      </c>
      <c r="F369" t="s">
        <v>818</v>
      </c>
      <c r="G369">
        <v>3403.67</v>
      </c>
      <c r="H369" t="s">
        <v>820</v>
      </c>
      <c r="I369" s="15">
        <f t="shared" si="46"/>
        <v>0</v>
      </c>
      <c r="J369" s="18" t="str">
        <f t="shared" si="47"/>
        <v>N/A</v>
      </c>
      <c r="L369" s="54" t="str">
        <f t="shared" si="48"/>
        <v/>
      </c>
      <c r="M369" s="9" t="str">
        <f t="shared" si="49"/>
        <v/>
      </c>
      <c r="N369" t="s">
        <v>822</v>
      </c>
      <c r="O369" s="17">
        <f t="shared" si="50"/>
        <v>45868</v>
      </c>
      <c r="P369" s="25">
        <f t="shared" si="51"/>
        <v>427</v>
      </c>
      <c r="Q369" t="str">
        <f t="shared" si="52"/>
        <v>90+</v>
      </c>
      <c r="R369" t="str">
        <f t="shared" si="53"/>
        <v>Due</v>
      </c>
    </row>
    <row r="370" spans="1:18" x14ac:dyDescent="0.35">
      <c r="A370" t="s">
        <v>377</v>
      </c>
      <c r="B370" t="s">
        <v>811</v>
      </c>
      <c r="C370" s="9">
        <v>45731</v>
      </c>
      <c r="D370" s="28" t="str">
        <f t="shared" si="45"/>
        <v>Mar 2025</v>
      </c>
      <c r="E370" s="9">
        <v>45761</v>
      </c>
      <c r="F370" t="s">
        <v>818</v>
      </c>
      <c r="G370">
        <v>1011.13</v>
      </c>
      <c r="H370" t="s">
        <v>820</v>
      </c>
      <c r="I370" s="15">
        <f t="shared" si="46"/>
        <v>0</v>
      </c>
      <c r="J370" s="18" t="str">
        <f t="shared" si="47"/>
        <v>N/A</v>
      </c>
      <c r="L370" s="54" t="str">
        <f t="shared" si="48"/>
        <v/>
      </c>
      <c r="M370" s="9" t="str">
        <f t="shared" si="49"/>
        <v/>
      </c>
      <c r="N370" t="s">
        <v>822</v>
      </c>
      <c r="O370" s="17">
        <f t="shared" si="50"/>
        <v>45868</v>
      </c>
      <c r="P370" s="25">
        <f t="shared" si="51"/>
        <v>107</v>
      </c>
      <c r="Q370" t="str">
        <f t="shared" si="52"/>
        <v>90+</v>
      </c>
      <c r="R370" t="str">
        <f t="shared" si="53"/>
        <v>Due</v>
      </c>
    </row>
    <row r="371" spans="1:18" x14ac:dyDescent="0.35">
      <c r="A371" t="s">
        <v>378</v>
      </c>
      <c r="B371" t="s">
        <v>813</v>
      </c>
      <c r="C371" s="9">
        <v>45631</v>
      </c>
      <c r="D371" s="28" t="str">
        <f t="shared" si="45"/>
        <v>Dec 2024</v>
      </c>
      <c r="E371" s="9">
        <v>45661</v>
      </c>
      <c r="F371" t="s">
        <v>815</v>
      </c>
      <c r="G371">
        <v>1731</v>
      </c>
      <c r="H371" t="s">
        <v>820</v>
      </c>
      <c r="I371" s="15">
        <f t="shared" si="46"/>
        <v>0</v>
      </c>
      <c r="J371" s="18" t="str">
        <f t="shared" si="47"/>
        <v>N/A</v>
      </c>
      <c r="L371" s="54" t="str">
        <f t="shared" si="48"/>
        <v/>
      </c>
      <c r="M371" s="9" t="str">
        <f t="shared" si="49"/>
        <v/>
      </c>
      <c r="N371" t="s">
        <v>822</v>
      </c>
      <c r="O371" s="17">
        <f t="shared" si="50"/>
        <v>45868</v>
      </c>
      <c r="P371" s="25">
        <f t="shared" si="51"/>
        <v>207</v>
      </c>
      <c r="Q371" t="str">
        <f t="shared" si="52"/>
        <v>90+</v>
      </c>
      <c r="R371" t="str">
        <f t="shared" si="53"/>
        <v>Due</v>
      </c>
    </row>
    <row r="372" spans="1:18" x14ac:dyDescent="0.35">
      <c r="A372" t="s">
        <v>379</v>
      </c>
      <c r="B372" t="s">
        <v>813</v>
      </c>
      <c r="C372" s="9">
        <v>45005</v>
      </c>
      <c r="D372" s="28" t="str">
        <f t="shared" si="45"/>
        <v>Mar 2023</v>
      </c>
      <c r="E372" s="9">
        <v>45035</v>
      </c>
      <c r="F372" t="s">
        <v>818</v>
      </c>
      <c r="G372">
        <v>2392.38</v>
      </c>
      <c r="H372" t="s">
        <v>821</v>
      </c>
      <c r="I372" s="15">
        <f t="shared" si="46"/>
        <v>2392.38</v>
      </c>
      <c r="J372" s="18">
        <f t="shared" si="47"/>
        <v>0</v>
      </c>
      <c r="K372" s="9">
        <v>45035</v>
      </c>
      <c r="L372" s="54">
        <f t="shared" si="48"/>
        <v>30</v>
      </c>
      <c r="M372" s="9" t="str">
        <f t="shared" si="49"/>
        <v>2023-Apr</v>
      </c>
      <c r="N372" t="s">
        <v>822</v>
      </c>
      <c r="O372" s="17">
        <f t="shared" si="50"/>
        <v>45868</v>
      </c>
      <c r="P372" s="25">
        <f t="shared" si="51"/>
        <v>0</v>
      </c>
      <c r="Q372" t="str">
        <f t="shared" si="52"/>
        <v>Paid</v>
      </c>
      <c r="R372" t="str">
        <f t="shared" si="53"/>
        <v>Not Due</v>
      </c>
    </row>
    <row r="373" spans="1:18" x14ac:dyDescent="0.35">
      <c r="A373" t="s">
        <v>380</v>
      </c>
      <c r="B373" t="s">
        <v>812</v>
      </c>
      <c r="C373" s="9">
        <v>45290</v>
      </c>
      <c r="D373" s="28" t="str">
        <f t="shared" si="45"/>
        <v>Dec 2023</v>
      </c>
      <c r="E373" s="9">
        <v>45320</v>
      </c>
      <c r="F373" t="s">
        <v>816</v>
      </c>
      <c r="G373">
        <v>5435.31</v>
      </c>
      <c r="H373" t="s">
        <v>819</v>
      </c>
      <c r="I373" s="15">
        <f t="shared" si="46"/>
        <v>0</v>
      </c>
      <c r="J373" s="18">
        <f t="shared" si="47"/>
        <v>5435.31</v>
      </c>
      <c r="L373" s="54" t="str">
        <f t="shared" si="48"/>
        <v/>
      </c>
      <c r="M373" s="9" t="str">
        <f t="shared" si="49"/>
        <v/>
      </c>
      <c r="N373" t="s">
        <v>822</v>
      </c>
      <c r="O373" s="17">
        <f t="shared" si="50"/>
        <v>45868</v>
      </c>
      <c r="P373" s="25">
        <f t="shared" si="51"/>
        <v>548</v>
      </c>
      <c r="Q373" t="str">
        <f t="shared" si="52"/>
        <v>90+</v>
      </c>
      <c r="R373" t="str">
        <f t="shared" si="53"/>
        <v>Due</v>
      </c>
    </row>
    <row r="374" spans="1:18" x14ac:dyDescent="0.35">
      <c r="A374" t="s">
        <v>381</v>
      </c>
      <c r="B374" t="s">
        <v>812</v>
      </c>
      <c r="C374" s="9">
        <v>45788</v>
      </c>
      <c r="D374" s="28" t="str">
        <f t="shared" si="45"/>
        <v>May 2025</v>
      </c>
      <c r="E374" s="9">
        <v>45818</v>
      </c>
      <c r="F374" t="s">
        <v>814</v>
      </c>
      <c r="G374">
        <v>806.67</v>
      </c>
      <c r="H374" t="s">
        <v>821</v>
      </c>
      <c r="I374" s="15">
        <f t="shared" si="46"/>
        <v>806.67</v>
      </c>
      <c r="J374" s="18">
        <f t="shared" si="47"/>
        <v>0</v>
      </c>
      <c r="K374" s="9">
        <v>45818</v>
      </c>
      <c r="L374" s="54">
        <f t="shared" si="48"/>
        <v>30</v>
      </c>
      <c r="M374" s="9" t="str">
        <f t="shared" si="49"/>
        <v>2025-Jun</v>
      </c>
      <c r="N374" t="s">
        <v>822</v>
      </c>
      <c r="O374" s="17">
        <f t="shared" si="50"/>
        <v>45868</v>
      </c>
      <c r="P374" s="25">
        <f t="shared" si="51"/>
        <v>0</v>
      </c>
      <c r="Q374" t="str">
        <f t="shared" si="52"/>
        <v>Paid</v>
      </c>
      <c r="R374" t="str">
        <f t="shared" si="53"/>
        <v>Not Due</v>
      </c>
    </row>
    <row r="375" spans="1:18" x14ac:dyDescent="0.35">
      <c r="A375" t="s">
        <v>382</v>
      </c>
      <c r="B375" t="s">
        <v>811</v>
      </c>
      <c r="C375" s="9">
        <v>45066</v>
      </c>
      <c r="D375" s="28" t="str">
        <f t="shared" si="45"/>
        <v>May 2023</v>
      </c>
      <c r="E375" s="9">
        <v>45096</v>
      </c>
      <c r="F375" t="s">
        <v>814</v>
      </c>
      <c r="G375">
        <v>565.54</v>
      </c>
      <c r="H375" t="s">
        <v>820</v>
      </c>
      <c r="I375" s="15">
        <f t="shared" si="46"/>
        <v>0</v>
      </c>
      <c r="J375" s="18" t="str">
        <f t="shared" si="47"/>
        <v>N/A</v>
      </c>
      <c r="L375" s="54" t="str">
        <f t="shared" si="48"/>
        <v/>
      </c>
      <c r="M375" s="9" t="str">
        <f t="shared" si="49"/>
        <v/>
      </c>
      <c r="N375" t="s">
        <v>822</v>
      </c>
      <c r="O375" s="17">
        <f t="shared" si="50"/>
        <v>45868</v>
      </c>
      <c r="P375" s="25">
        <f t="shared" si="51"/>
        <v>772</v>
      </c>
      <c r="Q375" t="str">
        <f t="shared" si="52"/>
        <v>90+</v>
      </c>
      <c r="R375" t="str">
        <f t="shared" si="53"/>
        <v>Due</v>
      </c>
    </row>
    <row r="376" spans="1:18" x14ac:dyDescent="0.35">
      <c r="A376" t="s">
        <v>383</v>
      </c>
      <c r="B376" t="s">
        <v>813</v>
      </c>
      <c r="C376" s="9">
        <v>45168</v>
      </c>
      <c r="D376" s="28" t="str">
        <f t="shared" si="45"/>
        <v>Aug 2023</v>
      </c>
      <c r="E376" s="9">
        <v>45198</v>
      </c>
      <c r="F376" t="s">
        <v>814</v>
      </c>
      <c r="G376">
        <v>3442.96</v>
      </c>
      <c r="H376" t="s">
        <v>821</v>
      </c>
      <c r="I376" s="15">
        <f t="shared" si="46"/>
        <v>3442.96</v>
      </c>
      <c r="J376" s="18">
        <f t="shared" si="47"/>
        <v>0</v>
      </c>
      <c r="K376" s="9">
        <v>45198</v>
      </c>
      <c r="L376" s="54">
        <f t="shared" si="48"/>
        <v>30</v>
      </c>
      <c r="M376" s="9" t="str">
        <f t="shared" si="49"/>
        <v>2023-Sep</v>
      </c>
      <c r="N376" t="s">
        <v>822</v>
      </c>
      <c r="O376" s="17">
        <f t="shared" si="50"/>
        <v>45868</v>
      </c>
      <c r="P376" s="25">
        <f t="shared" si="51"/>
        <v>0</v>
      </c>
      <c r="Q376" t="str">
        <f t="shared" si="52"/>
        <v>Paid</v>
      </c>
      <c r="R376" t="str">
        <f t="shared" si="53"/>
        <v>Not Due</v>
      </c>
    </row>
    <row r="377" spans="1:18" x14ac:dyDescent="0.35">
      <c r="A377" t="s">
        <v>384</v>
      </c>
      <c r="B377" t="s">
        <v>810</v>
      </c>
      <c r="C377" s="9">
        <v>45233</v>
      </c>
      <c r="D377" s="28" t="str">
        <f t="shared" si="45"/>
        <v>Nov 2023</v>
      </c>
      <c r="E377" s="9">
        <v>45263</v>
      </c>
      <c r="F377" t="s">
        <v>815</v>
      </c>
      <c r="G377">
        <v>1772.7</v>
      </c>
      <c r="H377" t="s">
        <v>820</v>
      </c>
      <c r="I377" s="15">
        <f t="shared" si="46"/>
        <v>0</v>
      </c>
      <c r="J377" s="18" t="str">
        <f t="shared" si="47"/>
        <v>N/A</v>
      </c>
      <c r="L377" s="54" t="str">
        <f t="shared" si="48"/>
        <v/>
      </c>
      <c r="M377" s="9" t="str">
        <f t="shared" si="49"/>
        <v/>
      </c>
      <c r="N377" t="s">
        <v>822</v>
      </c>
      <c r="O377" s="17">
        <f t="shared" si="50"/>
        <v>45868</v>
      </c>
      <c r="P377" s="25">
        <f t="shared" si="51"/>
        <v>605</v>
      </c>
      <c r="Q377" t="str">
        <f t="shared" si="52"/>
        <v>90+</v>
      </c>
      <c r="R377" t="str">
        <f t="shared" si="53"/>
        <v>Due</v>
      </c>
    </row>
    <row r="378" spans="1:18" x14ac:dyDescent="0.35">
      <c r="A378" t="s">
        <v>385</v>
      </c>
      <c r="B378" t="s">
        <v>811</v>
      </c>
      <c r="C378" s="9">
        <v>44958</v>
      </c>
      <c r="D378" s="28" t="str">
        <f t="shared" si="45"/>
        <v>Feb 2023</v>
      </c>
      <c r="E378" s="9">
        <v>44988</v>
      </c>
      <c r="F378" t="s">
        <v>815</v>
      </c>
      <c r="G378">
        <v>615.4</v>
      </c>
      <c r="H378" t="s">
        <v>821</v>
      </c>
      <c r="I378" s="15">
        <f t="shared" si="46"/>
        <v>615.4</v>
      </c>
      <c r="J378" s="18">
        <f t="shared" si="47"/>
        <v>0</v>
      </c>
      <c r="K378" s="9">
        <v>44988</v>
      </c>
      <c r="L378" s="54">
        <f t="shared" si="48"/>
        <v>30</v>
      </c>
      <c r="M378" s="9" t="str">
        <f t="shared" si="49"/>
        <v>2023-Mar</v>
      </c>
      <c r="N378" t="s">
        <v>822</v>
      </c>
      <c r="O378" s="17">
        <f t="shared" si="50"/>
        <v>45868</v>
      </c>
      <c r="P378" s="25">
        <f t="shared" si="51"/>
        <v>0</v>
      </c>
      <c r="Q378" t="str">
        <f t="shared" si="52"/>
        <v>Paid</v>
      </c>
      <c r="R378" t="str">
        <f t="shared" si="53"/>
        <v>Not Due</v>
      </c>
    </row>
    <row r="379" spans="1:18" x14ac:dyDescent="0.35">
      <c r="A379" t="s">
        <v>386</v>
      </c>
      <c r="B379" t="s">
        <v>813</v>
      </c>
      <c r="C379" s="9">
        <v>45129</v>
      </c>
      <c r="D379" s="28" t="str">
        <f t="shared" si="45"/>
        <v>Jul 2023</v>
      </c>
      <c r="E379" s="9">
        <v>45159</v>
      </c>
      <c r="F379" t="s">
        <v>814</v>
      </c>
      <c r="G379">
        <v>5688.64</v>
      </c>
      <c r="H379" t="s">
        <v>820</v>
      </c>
      <c r="I379" s="15">
        <f t="shared" si="46"/>
        <v>0</v>
      </c>
      <c r="J379" s="18" t="str">
        <f t="shared" si="47"/>
        <v>N/A</v>
      </c>
      <c r="L379" s="54" t="str">
        <f t="shared" si="48"/>
        <v/>
      </c>
      <c r="M379" s="9" t="str">
        <f t="shared" si="49"/>
        <v/>
      </c>
      <c r="N379" t="s">
        <v>822</v>
      </c>
      <c r="O379" s="17">
        <f t="shared" si="50"/>
        <v>45868</v>
      </c>
      <c r="P379" s="25">
        <f t="shared" si="51"/>
        <v>709</v>
      </c>
      <c r="Q379" t="str">
        <f t="shared" si="52"/>
        <v>90+</v>
      </c>
      <c r="R379" t="str">
        <f t="shared" si="53"/>
        <v>Due</v>
      </c>
    </row>
    <row r="380" spans="1:18" x14ac:dyDescent="0.35">
      <c r="A380" t="s">
        <v>387</v>
      </c>
      <c r="B380" t="s">
        <v>813</v>
      </c>
      <c r="C380" s="9">
        <v>45521</v>
      </c>
      <c r="D380" s="28" t="str">
        <f t="shared" si="45"/>
        <v>Aug 2024</v>
      </c>
      <c r="E380" s="9">
        <v>45551</v>
      </c>
      <c r="F380" t="s">
        <v>817</v>
      </c>
      <c r="G380">
        <v>3332.33</v>
      </c>
      <c r="H380" t="s">
        <v>819</v>
      </c>
      <c r="I380" s="15">
        <f t="shared" si="46"/>
        <v>0</v>
      </c>
      <c r="J380" s="18">
        <f t="shared" si="47"/>
        <v>3332.33</v>
      </c>
      <c r="L380" s="54" t="str">
        <f t="shared" si="48"/>
        <v/>
      </c>
      <c r="M380" s="9" t="str">
        <f t="shared" si="49"/>
        <v/>
      </c>
      <c r="N380" t="s">
        <v>822</v>
      </c>
      <c r="O380" s="17">
        <f t="shared" si="50"/>
        <v>45868</v>
      </c>
      <c r="P380" s="25">
        <f t="shared" si="51"/>
        <v>317</v>
      </c>
      <c r="Q380" t="str">
        <f t="shared" si="52"/>
        <v>90+</v>
      </c>
      <c r="R380" t="str">
        <f t="shared" si="53"/>
        <v>Due</v>
      </c>
    </row>
    <row r="381" spans="1:18" x14ac:dyDescent="0.35">
      <c r="A381" t="s">
        <v>388</v>
      </c>
      <c r="B381" t="s">
        <v>813</v>
      </c>
      <c r="C381" s="9">
        <v>45170</v>
      </c>
      <c r="D381" s="28" t="str">
        <f t="shared" si="45"/>
        <v>Sep 2023</v>
      </c>
      <c r="E381" s="9">
        <v>45200</v>
      </c>
      <c r="F381" t="s">
        <v>817</v>
      </c>
      <c r="G381">
        <v>431.39</v>
      </c>
      <c r="H381" t="s">
        <v>821</v>
      </c>
      <c r="I381" s="15">
        <f t="shared" si="46"/>
        <v>431.39</v>
      </c>
      <c r="J381" s="18">
        <f t="shared" si="47"/>
        <v>0</v>
      </c>
      <c r="K381" s="9">
        <v>45200</v>
      </c>
      <c r="L381" s="54">
        <f t="shared" si="48"/>
        <v>30</v>
      </c>
      <c r="M381" s="9" t="str">
        <f t="shared" si="49"/>
        <v>2023-Oct</v>
      </c>
      <c r="N381" t="s">
        <v>822</v>
      </c>
      <c r="O381" s="17">
        <f t="shared" si="50"/>
        <v>45868</v>
      </c>
      <c r="P381" s="25">
        <f t="shared" si="51"/>
        <v>0</v>
      </c>
      <c r="Q381" t="str">
        <f t="shared" si="52"/>
        <v>Paid</v>
      </c>
      <c r="R381" t="str">
        <f t="shared" si="53"/>
        <v>Not Due</v>
      </c>
    </row>
    <row r="382" spans="1:18" x14ac:dyDescent="0.35">
      <c r="A382" t="s">
        <v>389</v>
      </c>
      <c r="B382" t="s">
        <v>809</v>
      </c>
      <c r="C382" s="9">
        <v>45363</v>
      </c>
      <c r="D382" s="28" t="str">
        <f t="shared" si="45"/>
        <v>Mar 2024</v>
      </c>
      <c r="E382" s="9">
        <v>45393</v>
      </c>
      <c r="F382" t="s">
        <v>816</v>
      </c>
      <c r="G382">
        <v>2990.94</v>
      </c>
      <c r="H382" t="s">
        <v>819</v>
      </c>
      <c r="I382" s="15">
        <f t="shared" si="46"/>
        <v>0</v>
      </c>
      <c r="J382" s="18">
        <f t="shared" si="47"/>
        <v>2990.94</v>
      </c>
      <c r="L382" s="54" t="str">
        <f t="shared" si="48"/>
        <v/>
      </c>
      <c r="M382" s="9" t="str">
        <f t="shared" si="49"/>
        <v/>
      </c>
      <c r="N382" t="s">
        <v>822</v>
      </c>
      <c r="O382" s="17">
        <f t="shared" si="50"/>
        <v>45868</v>
      </c>
      <c r="P382" s="25">
        <f t="shared" si="51"/>
        <v>475</v>
      </c>
      <c r="Q382" t="str">
        <f t="shared" si="52"/>
        <v>90+</v>
      </c>
      <c r="R382" t="str">
        <f t="shared" si="53"/>
        <v>Due</v>
      </c>
    </row>
    <row r="383" spans="1:18" x14ac:dyDescent="0.35">
      <c r="A383" t="s">
        <v>390</v>
      </c>
      <c r="B383" t="s">
        <v>812</v>
      </c>
      <c r="C383" s="9">
        <v>45552</v>
      </c>
      <c r="D383" s="28" t="str">
        <f t="shared" si="45"/>
        <v>Sep 2024</v>
      </c>
      <c r="E383" s="9">
        <v>45582</v>
      </c>
      <c r="F383" t="s">
        <v>816</v>
      </c>
      <c r="G383">
        <v>986.92</v>
      </c>
      <c r="H383" t="s">
        <v>821</v>
      </c>
      <c r="I383" s="15">
        <f t="shared" si="46"/>
        <v>986.92</v>
      </c>
      <c r="J383" s="18">
        <f t="shared" si="47"/>
        <v>0</v>
      </c>
      <c r="K383" s="9">
        <v>45582</v>
      </c>
      <c r="L383" s="54">
        <f t="shared" si="48"/>
        <v>30</v>
      </c>
      <c r="M383" s="9" t="str">
        <f t="shared" si="49"/>
        <v>2024-Oct</v>
      </c>
      <c r="N383" t="s">
        <v>822</v>
      </c>
      <c r="O383" s="17">
        <f t="shared" si="50"/>
        <v>45868</v>
      </c>
      <c r="P383" s="25">
        <f t="shared" si="51"/>
        <v>0</v>
      </c>
      <c r="Q383" t="str">
        <f t="shared" si="52"/>
        <v>Paid</v>
      </c>
      <c r="R383" t="str">
        <f t="shared" si="53"/>
        <v>Not Due</v>
      </c>
    </row>
    <row r="384" spans="1:18" x14ac:dyDescent="0.35">
      <c r="A384" t="s">
        <v>391</v>
      </c>
      <c r="B384" t="s">
        <v>813</v>
      </c>
      <c r="C384" s="9">
        <v>45329</v>
      </c>
      <c r="D384" s="28" t="str">
        <f t="shared" si="45"/>
        <v>Feb 2024</v>
      </c>
      <c r="E384" s="9">
        <v>45359</v>
      </c>
      <c r="F384" t="s">
        <v>818</v>
      </c>
      <c r="G384">
        <v>3268.23</v>
      </c>
      <c r="H384" t="s">
        <v>820</v>
      </c>
      <c r="I384" s="15">
        <f t="shared" si="46"/>
        <v>0</v>
      </c>
      <c r="J384" s="18" t="str">
        <f t="shared" si="47"/>
        <v>N/A</v>
      </c>
      <c r="L384" s="54" t="str">
        <f t="shared" si="48"/>
        <v/>
      </c>
      <c r="M384" s="9" t="str">
        <f t="shared" si="49"/>
        <v/>
      </c>
      <c r="N384" t="s">
        <v>822</v>
      </c>
      <c r="O384" s="17">
        <f t="shared" si="50"/>
        <v>45868</v>
      </c>
      <c r="P384" s="25">
        <f t="shared" si="51"/>
        <v>509</v>
      </c>
      <c r="Q384" t="str">
        <f t="shared" si="52"/>
        <v>90+</v>
      </c>
      <c r="R384" t="str">
        <f t="shared" si="53"/>
        <v>Due</v>
      </c>
    </row>
    <row r="385" spans="1:18" x14ac:dyDescent="0.35">
      <c r="A385" t="s">
        <v>392</v>
      </c>
      <c r="B385" t="s">
        <v>810</v>
      </c>
      <c r="C385" s="9">
        <v>45797</v>
      </c>
      <c r="D385" s="28" t="str">
        <f t="shared" si="45"/>
        <v>May 2025</v>
      </c>
      <c r="E385" s="9">
        <v>45827</v>
      </c>
      <c r="F385" t="s">
        <v>815</v>
      </c>
      <c r="G385">
        <v>180.12</v>
      </c>
      <c r="H385" t="s">
        <v>821</v>
      </c>
      <c r="I385" s="15">
        <f t="shared" si="46"/>
        <v>180.12</v>
      </c>
      <c r="J385" s="18">
        <f t="shared" si="47"/>
        <v>0</v>
      </c>
      <c r="K385" s="9">
        <v>45827</v>
      </c>
      <c r="L385" s="54">
        <f t="shared" si="48"/>
        <v>30</v>
      </c>
      <c r="M385" s="9" t="str">
        <f t="shared" si="49"/>
        <v>2025-Jun</v>
      </c>
      <c r="N385" t="s">
        <v>822</v>
      </c>
      <c r="O385" s="17">
        <f t="shared" si="50"/>
        <v>45868</v>
      </c>
      <c r="P385" s="25">
        <f t="shared" si="51"/>
        <v>0</v>
      </c>
      <c r="Q385" t="str">
        <f t="shared" si="52"/>
        <v>Paid</v>
      </c>
      <c r="R385" t="str">
        <f t="shared" si="53"/>
        <v>Not Due</v>
      </c>
    </row>
    <row r="386" spans="1:18" x14ac:dyDescent="0.35">
      <c r="A386" t="s">
        <v>393</v>
      </c>
      <c r="B386" t="s">
        <v>809</v>
      </c>
      <c r="C386" s="9">
        <v>45284</v>
      </c>
      <c r="D386" s="28" t="str">
        <f t="shared" si="45"/>
        <v>Dec 2023</v>
      </c>
      <c r="E386" s="9">
        <v>45314</v>
      </c>
      <c r="F386" t="s">
        <v>814</v>
      </c>
      <c r="G386">
        <v>3499.6</v>
      </c>
      <c r="H386" t="s">
        <v>819</v>
      </c>
      <c r="I386" s="15">
        <f t="shared" si="46"/>
        <v>0</v>
      </c>
      <c r="J386" s="18">
        <f t="shared" si="47"/>
        <v>3499.6</v>
      </c>
      <c r="L386" s="54" t="str">
        <f t="shared" si="48"/>
        <v/>
      </c>
      <c r="M386" s="9" t="str">
        <f t="shared" si="49"/>
        <v/>
      </c>
      <c r="N386" t="s">
        <v>822</v>
      </c>
      <c r="O386" s="17">
        <f t="shared" si="50"/>
        <v>45868</v>
      </c>
      <c r="P386" s="25">
        <f t="shared" si="51"/>
        <v>554</v>
      </c>
      <c r="Q386" t="str">
        <f t="shared" si="52"/>
        <v>90+</v>
      </c>
      <c r="R386" t="str">
        <f t="shared" si="53"/>
        <v>Due</v>
      </c>
    </row>
    <row r="387" spans="1:18" x14ac:dyDescent="0.35">
      <c r="A387" t="s">
        <v>394</v>
      </c>
      <c r="B387" t="s">
        <v>813</v>
      </c>
      <c r="C387" s="9">
        <v>44930</v>
      </c>
      <c r="D387" s="28" t="str">
        <f t="shared" ref="D387:D450" si="54">TEXT(C387,"MMM YYYY")</f>
        <v>Jan 2023</v>
      </c>
      <c r="E387" s="9">
        <v>44960</v>
      </c>
      <c r="F387" t="s">
        <v>814</v>
      </c>
      <c r="G387">
        <v>2163.41</v>
      </c>
      <c r="H387" t="s">
        <v>821</v>
      </c>
      <c r="I387" s="15">
        <f t="shared" ref="I387:I450" si="55">IF(H387="Paid",G387,0)</f>
        <v>2163.41</v>
      </c>
      <c r="J387" s="18">
        <f t="shared" ref="J387:J450" si="56">IF(H387="Open",G387,IF(H387="Paid",0,"N/A"))</f>
        <v>0</v>
      </c>
      <c r="K387" s="9">
        <v>44960</v>
      </c>
      <c r="L387" s="54">
        <f t="shared" ref="L387:L450" si="57">IF(H387="Paid",K387-C387,"")</f>
        <v>30</v>
      </c>
      <c r="M387" s="9" t="str">
        <f t="shared" ref="M387:M450" si="58">IF(K387="","",TEXT(K387, "YYYY-MMM"))</f>
        <v>2023-Feb</v>
      </c>
      <c r="N387" t="s">
        <v>822</v>
      </c>
      <c r="O387" s="17">
        <f t="shared" ref="O387:O450" si="59">MAX(MAX($C$2:$C$801), MAX($E$2:$E$801))</f>
        <v>45868</v>
      </c>
      <c r="P387" s="25">
        <f t="shared" ref="P387:P450" si="60">IF(K387="", O387-E387,0)</f>
        <v>0</v>
      </c>
      <c r="Q387" t="str">
        <f t="shared" ref="Q387:Q450" si="61">IF(H387="Paid","Paid",
   IF(P387&lt;=0,"Current",
      IF(P387&lt;=30,"1-30",
         IF(P387&lt;=60,"31-60",
            IF(P387&lt;=90,"61-90","90+")))))</f>
        <v>Paid</v>
      </c>
      <c r="R387" t="str">
        <f t="shared" ref="R387:R450" si="62">IF(P387=0, "Not Due","Due")</f>
        <v>Not Due</v>
      </c>
    </row>
    <row r="388" spans="1:18" x14ac:dyDescent="0.35">
      <c r="A388" t="s">
        <v>395</v>
      </c>
      <c r="B388" t="s">
        <v>813</v>
      </c>
      <c r="C388" s="9">
        <v>45616</v>
      </c>
      <c r="D388" s="28" t="str">
        <f t="shared" si="54"/>
        <v>Nov 2024</v>
      </c>
      <c r="E388" s="9">
        <v>45646</v>
      </c>
      <c r="F388" t="s">
        <v>818</v>
      </c>
      <c r="G388">
        <v>658.54</v>
      </c>
      <c r="H388" t="s">
        <v>819</v>
      </c>
      <c r="I388" s="15">
        <f t="shared" si="55"/>
        <v>0</v>
      </c>
      <c r="J388" s="18">
        <f t="shared" si="56"/>
        <v>658.54</v>
      </c>
      <c r="L388" s="54" t="str">
        <f t="shared" si="57"/>
        <v/>
      </c>
      <c r="M388" s="9" t="str">
        <f t="shared" si="58"/>
        <v/>
      </c>
      <c r="N388" t="s">
        <v>822</v>
      </c>
      <c r="O388" s="17">
        <f t="shared" si="59"/>
        <v>45868</v>
      </c>
      <c r="P388" s="25">
        <f t="shared" si="60"/>
        <v>222</v>
      </c>
      <c r="Q388" t="str">
        <f t="shared" si="61"/>
        <v>90+</v>
      </c>
      <c r="R388" t="str">
        <f t="shared" si="62"/>
        <v>Due</v>
      </c>
    </row>
    <row r="389" spans="1:18" x14ac:dyDescent="0.35">
      <c r="A389" t="s">
        <v>396</v>
      </c>
      <c r="B389" t="s">
        <v>809</v>
      </c>
      <c r="C389" s="9">
        <v>45480</v>
      </c>
      <c r="D389" s="28" t="str">
        <f t="shared" si="54"/>
        <v>Jul 2024</v>
      </c>
      <c r="E389" s="9">
        <v>45510</v>
      </c>
      <c r="F389" t="s">
        <v>816</v>
      </c>
      <c r="G389">
        <v>5573.19</v>
      </c>
      <c r="H389" t="s">
        <v>819</v>
      </c>
      <c r="I389" s="15">
        <f t="shared" si="55"/>
        <v>0</v>
      </c>
      <c r="J389" s="18">
        <f t="shared" si="56"/>
        <v>5573.19</v>
      </c>
      <c r="L389" s="54" t="str">
        <f t="shared" si="57"/>
        <v/>
      </c>
      <c r="M389" s="9" t="str">
        <f t="shared" si="58"/>
        <v/>
      </c>
      <c r="N389" t="s">
        <v>822</v>
      </c>
      <c r="O389" s="17">
        <f t="shared" si="59"/>
        <v>45868</v>
      </c>
      <c r="P389" s="25">
        <f t="shared" si="60"/>
        <v>358</v>
      </c>
      <c r="Q389" t="str">
        <f t="shared" si="61"/>
        <v>90+</v>
      </c>
      <c r="R389" t="str">
        <f t="shared" si="62"/>
        <v>Due</v>
      </c>
    </row>
    <row r="390" spans="1:18" x14ac:dyDescent="0.35">
      <c r="A390" t="s">
        <v>397</v>
      </c>
      <c r="B390" t="s">
        <v>812</v>
      </c>
      <c r="C390" s="9">
        <v>45272</v>
      </c>
      <c r="D390" s="28" t="str">
        <f t="shared" si="54"/>
        <v>Dec 2023</v>
      </c>
      <c r="E390" s="9">
        <v>45302</v>
      </c>
      <c r="F390" t="s">
        <v>814</v>
      </c>
      <c r="G390">
        <v>4872.6099999999997</v>
      </c>
      <c r="H390" t="s">
        <v>820</v>
      </c>
      <c r="I390" s="15">
        <f t="shared" si="55"/>
        <v>0</v>
      </c>
      <c r="J390" s="18" t="str">
        <f t="shared" si="56"/>
        <v>N/A</v>
      </c>
      <c r="L390" s="54" t="str">
        <f t="shared" si="57"/>
        <v/>
      </c>
      <c r="M390" s="9" t="str">
        <f t="shared" si="58"/>
        <v/>
      </c>
      <c r="N390" t="s">
        <v>822</v>
      </c>
      <c r="O390" s="17">
        <f t="shared" si="59"/>
        <v>45868</v>
      </c>
      <c r="P390" s="25">
        <f t="shared" si="60"/>
        <v>566</v>
      </c>
      <c r="Q390" t="str">
        <f t="shared" si="61"/>
        <v>90+</v>
      </c>
      <c r="R390" t="str">
        <f t="shared" si="62"/>
        <v>Due</v>
      </c>
    </row>
    <row r="391" spans="1:18" x14ac:dyDescent="0.35">
      <c r="A391" t="s">
        <v>398</v>
      </c>
      <c r="B391" t="s">
        <v>811</v>
      </c>
      <c r="C391" s="9">
        <v>45408</v>
      </c>
      <c r="D391" s="28" t="str">
        <f t="shared" si="54"/>
        <v>Apr 2024</v>
      </c>
      <c r="E391" s="9">
        <v>45438</v>
      </c>
      <c r="F391" t="s">
        <v>815</v>
      </c>
      <c r="G391">
        <v>3443.89</v>
      </c>
      <c r="H391" t="s">
        <v>819</v>
      </c>
      <c r="I391" s="15">
        <f t="shared" si="55"/>
        <v>0</v>
      </c>
      <c r="J391" s="18">
        <f t="shared" si="56"/>
        <v>3443.89</v>
      </c>
      <c r="L391" s="54" t="str">
        <f t="shared" si="57"/>
        <v/>
      </c>
      <c r="M391" s="9" t="str">
        <f t="shared" si="58"/>
        <v/>
      </c>
      <c r="N391" t="s">
        <v>822</v>
      </c>
      <c r="O391" s="17">
        <f t="shared" si="59"/>
        <v>45868</v>
      </c>
      <c r="P391" s="25">
        <f t="shared" si="60"/>
        <v>430</v>
      </c>
      <c r="Q391" t="str">
        <f t="shared" si="61"/>
        <v>90+</v>
      </c>
      <c r="R391" t="str">
        <f t="shared" si="62"/>
        <v>Due</v>
      </c>
    </row>
    <row r="392" spans="1:18" x14ac:dyDescent="0.35">
      <c r="A392" t="s">
        <v>399</v>
      </c>
      <c r="B392" t="s">
        <v>812</v>
      </c>
      <c r="C392" s="9">
        <v>45387</v>
      </c>
      <c r="D392" s="28" t="str">
        <f t="shared" si="54"/>
        <v>Apr 2024</v>
      </c>
      <c r="E392" s="9">
        <v>45417</v>
      </c>
      <c r="F392" t="s">
        <v>818</v>
      </c>
      <c r="G392">
        <v>2218.5100000000002</v>
      </c>
      <c r="H392" t="s">
        <v>820</v>
      </c>
      <c r="I392" s="15">
        <f t="shared" si="55"/>
        <v>0</v>
      </c>
      <c r="J392" s="18" t="str">
        <f t="shared" si="56"/>
        <v>N/A</v>
      </c>
      <c r="L392" s="54" t="str">
        <f t="shared" si="57"/>
        <v/>
      </c>
      <c r="M392" s="9" t="str">
        <f t="shared" si="58"/>
        <v/>
      </c>
      <c r="N392" t="s">
        <v>822</v>
      </c>
      <c r="O392" s="17">
        <f t="shared" si="59"/>
        <v>45868</v>
      </c>
      <c r="P392" s="25">
        <f t="shared" si="60"/>
        <v>451</v>
      </c>
      <c r="Q392" t="str">
        <f t="shared" si="61"/>
        <v>90+</v>
      </c>
      <c r="R392" t="str">
        <f t="shared" si="62"/>
        <v>Due</v>
      </c>
    </row>
    <row r="393" spans="1:18" x14ac:dyDescent="0.35">
      <c r="A393" t="s">
        <v>400</v>
      </c>
      <c r="B393" t="s">
        <v>810</v>
      </c>
      <c r="C393" s="9">
        <v>45237</v>
      </c>
      <c r="D393" s="28" t="str">
        <f t="shared" si="54"/>
        <v>Nov 2023</v>
      </c>
      <c r="E393" s="9">
        <v>45267</v>
      </c>
      <c r="F393" t="s">
        <v>817</v>
      </c>
      <c r="G393">
        <v>4720.7700000000004</v>
      </c>
      <c r="H393" t="s">
        <v>821</v>
      </c>
      <c r="I393" s="15">
        <f t="shared" si="55"/>
        <v>4720.7700000000004</v>
      </c>
      <c r="J393" s="18">
        <f t="shared" si="56"/>
        <v>0</v>
      </c>
      <c r="K393" s="9">
        <v>45267</v>
      </c>
      <c r="L393" s="54">
        <f t="shared" si="57"/>
        <v>30</v>
      </c>
      <c r="M393" s="9" t="str">
        <f t="shared" si="58"/>
        <v>2023-Dec</v>
      </c>
      <c r="N393" t="s">
        <v>822</v>
      </c>
      <c r="O393" s="17">
        <f t="shared" si="59"/>
        <v>45868</v>
      </c>
      <c r="P393" s="25">
        <f t="shared" si="60"/>
        <v>0</v>
      </c>
      <c r="Q393" t="str">
        <f t="shared" si="61"/>
        <v>Paid</v>
      </c>
      <c r="R393" t="str">
        <f t="shared" si="62"/>
        <v>Not Due</v>
      </c>
    </row>
    <row r="394" spans="1:18" x14ac:dyDescent="0.35">
      <c r="A394" t="s">
        <v>401</v>
      </c>
      <c r="B394" t="s">
        <v>810</v>
      </c>
      <c r="C394" s="9">
        <v>45436</v>
      </c>
      <c r="D394" s="28" t="str">
        <f t="shared" si="54"/>
        <v>May 2024</v>
      </c>
      <c r="E394" s="9">
        <v>45466</v>
      </c>
      <c r="F394" t="s">
        <v>818</v>
      </c>
      <c r="G394">
        <v>3343.06</v>
      </c>
      <c r="H394" t="s">
        <v>819</v>
      </c>
      <c r="I394" s="15">
        <f t="shared" si="55"/>
        <v>0</v>
      </c>
      <c r="J394" s="18">
        <f t="shared" si="56"/>
        <v>3343.06</v>
      </c>
      <c r="L394" s="54" t="str">
        <f t="shared" si="57"/>
        <v/>
      </c>
      <c r="M394" s="9" t="str">
        <f t="shared" si="58"/>
        <v/>
      </c>
      <c r="N394" t="s">
        <v>822</v>
      </c>
      <c r="O394" s="17">
        <f t="shared" si="59"/>
        <v>45868</v>
      </c>
      <c r="P394" s="25">
        <f t="shared" si="60"/>
        <v>402</v>
      </c>
      <c r="Q394" t="str">
        <f t="shared" si="61"/>
        <v>90+</v>
      </c>
      <c r="R394" t="str">
        <f t="shared" si="62"/>
        <v>Due</v>
      </c>
    </row>
    <row r="395" spans="1:18" x14ac:dyDescent="0.35">
      <c r="A395" t="s">
        <v>402</v>
      </c>
      <c r="B395" t="s">
        <v>810</v>
      </c>
      <c r="C395" s="9">
        <v>45464</v>
      </c>
      <c r="D395" s="28" t="str">
        <f t="shared" si="54"/>
        <v>Jun 2024</v>
      </c>
      <c r="E395" s="9">
        <v>45494</v>
      </c>
      <c r="F395" t="s">
        <v>817</v>
      </c>
      <c r="G395">
        <v>2488.5</v>
      </c>
      <c r="H395" t="s">
        <v>819</v>
      </c>
      <c r="I395" s="15">
        <f t="shared" si="55"/>
        <v>0</v>
      </c>
      <c r="J395" s="18">
        <f t="shared" si="56"/>
        <v>2488.5</v>
      </c>
      <c r="L395" s="54" t="str">
        <f t="shared" si="57"/>
        <v/>
      </c>
      <c r="M395" s="9" t="str">
        <f t="shared" si="58"/>
        <v/>
      </c>
      <c r="N395" t="s">
        <v>822</v>
      </c>
      <c r="O395" s="17">
        <f t="shared" si="59"/>
        <v>45868</v>
      </c>
      <c r="P395" s="25">
        <f t="shared" si="60"/>
        <v>374</v>
      </c>
      <c r="Q395" t="str">
        <f t="shared" si="61"/>
        <v>90+</v>
      </c>
      <c r="R395" t="str">
        <f t="shared" si="62"/>
        <v>Due</v>
      </c>
    </row>
    <row r="396" spans="1:18" x14ac:dyDescent="0.35">
      <c r="A396" t="s">
        <v>403</v>
      </c>
      <c r="B396" t="s">
        <v>812</v>
      </c>
      <c r="C396" s="9">
        <v>45308</v>
      </c>
      <c r="D396" s="28" t="str">
        <f t="shared" si="54"/>
        <v>Jan 2024</v>
      </c>
      <c r="E396" s="9">
        <v>45338</v>
      </c>
      <c r="F396" t="s">
        <v>815</v>
      </c>
      <c r="G396">
        <v>3384.12</v>
      </c>
      <c r="H396" t="s">
        <v>820</v>
      </c>
      <c r="I396" s="15">
        <f t="shared" si="55"/>
        <v>0</v>
      </c>
      <c r="J396" s="18" t="str">
        <f t="shared" si="56"/>
        <v>N/A</v>
      </c>
      <c r="L396" s="54" t="str">
        <f t="shared" si="57"/>
        <v/>
      </c>
      <c r="M396" s="9" t="str">
        <f t="shared" si="58"/>
        <v/>
      </c>
      <c r="N396" t="s">
        <v>822</v>
      </c>
      <c r="O396" s="17">
        <f t="shared" si="59"/>
        <v>45868</v>
      </c>
      <c r="P396" s="25">
        <f t="shared" si="60"/>
        <v>530</v>
      </c>
      <c r="Q396" t="str">
        <f t="shared" si="61"/>
        <v>90+</v>
      </c>
      <c r="R396" t="str">
        <f t="shared" si="62"/>
        <v>Due</v>
      </c>
    </row>
    <row r="397" spans="1:18" x14ac:dyDescent="0.35">
      <c r="A397" t="s">
        <v>404</v>
      </c>
      <c r="B397" t="s">
        <v>812</v>
      </c>
      <c r="C397" s="9">
        <v>45227</v>
      </c>
      <c r="D397" s="28" t="str">
        <f t="shared" si="54"/>
        <v>Oct 2023</v>
      </c>
      <c r="E397" s="9">
        <v>45257</v>
      </c>
      <c r="F397" t="s">
        <v>817</v>
      </c>
      <c r="G397">
        <v>3299.79</v>
      </c>
      <c r="H397" t="s">
        <v>819</v>
      </c>
      <c r="I397" s="15">
        <f t="shared" si="55"/>
        <v>0</v>
      </c>
      <c r="J397" s="18">
        <f t="shared" si="56"/>
        <v>3299.79</v>
      </c>
      <c r="L397" s="54" t="str">
        <f t="shared" si="57"/>
        <v/>
      </c>
      <c r="M397" s="9" t="str">
        <f t="shared" si="58"/>
        <v/>
      </c>
      <c r="N397" t="s">
        <v>822</v>
      </c>
      <c r="O397" s="17">
        <f t="shared" si="59"/>
        <v>45868</v>
      </c>
      <c r="P397" s="25">
        <f t="shared" si="60"/>
        <v>611</v>
      </c>
      <c r="Q397" t="str">
        <f t="shared" si="61"/>
        <v>90+</v>
      </c>
      <c r="R397" t="str">
        <f t="shared" si="62"/>
        <v>Due</v>
      </c>
    </row>
    <row r="398" spans="1:18" x14ac:dyDescent="0.35">
      <c r="A398" t="s">
        <v>405</v>
      </c>
      <c r="B398" t="s">
        <v>810</v>
      </c>
      <c r="C398" s="9">
        <v>45541</v>
      </c>
      <c r="D398" s="28" t="str">
        <f t="shared" si="54"/>
        <v>Sep 2024</v>
      </c>
      <c r="E398" s="9">
        <v>45571</v>
      </c>
      <c r="F398" t="s">
        <v>816</v>
      </c>
      <c r="G398">
        <v>1562.77</v>
      </c>
      <c r="H398" t="s">
        <v>821</v>
      </c>
      <c r="I398" s="15">
        <f t="shared" si="55"/>
        <v>1562.77</v>
      </c>
      <c r="J398" s="18">
        <f t="shared" si="56"/>
        <v>0</v>
      </c>
      <c r="K398" s="9">
        <v>45571</v>
      </c>
      <c r="L398" s="54">
        <f t="shared" si="57"/>
        <v>30</v>
      </c>
      <c r="M398" s="9" t="str">
        <f t="shared" si="58"/>
        <v>2024-Oct</v>
      </c>
      <c r="N398" t="s">
        <v>822</v>
      </c>
      <c r="O398" s="17">
        <f t="shared" si="59"/>
        <v>45868</v>
      </c>
      <c r="P398" s="25">
        <f t="shared" si="60"/>
        <v>0</v>
      </c>
      <c r="Q398" t="str">
        <f t="shared" si="61"/>
        <v>Paid</v>
      </c>
      <c r="R398" t="str">
        <f t="shared" si="62"/>
        <v>Not Due</v>
      </c>
    </row>
    <row r="399" spans="1:18" x14ac:dyDescent="0.35">
      <c r="A399" t="s">
        <v>406</v>
      </c>
      <c r="B399" t="s">
        <v>812</v>
      </c>
      <c r="C399" s="9">
        <v>45329</v>
      </c>
      <c r="D399" s="28" t="str">
        <f t="shared" si="54"/>
        <v>Feb 2024</v>
      </c>
      <c r="E399" s="9">
        <v>45359</v>
      </c>
      <c r="F399" t="s">
        <v>815</v>
      </c>
      <c r="G399">
        <v>1040.3900000000001</v>
      </c>
      <c r="H399" t="s">
        <v>819</v>
      </c>
      <c r="I399" s="15">
        <f t="shared" si="55"/>
        <v>0</v>
      </c>
      <c r="J399" s="18">
        <f t="shared" si="56"/>
        <v>1040.3900000000001</v>
      </c>
      <c r="L399" s="54" t="str">
        <f t="shared" si="57"/>
        <v/>
      </c>
      <c r="M399" s="9" t="str">
        <f t="shared" si="58"/>
        <v/>
      </c>
      <c r="N399" t="s">
        <v>822</v>
      </c>
      <c r="O399" s="17">
        <f t="shared" si="59"/>
        <v>45868</v>
      </c>
      <c r="P399" s="25">
        <f t="shared" si="60"/>
        <v>509</v>
      </c>
      <c r="Q399" t="str">
        <f t="shared" si="61"/>
        <v>90+</v>
      </c>
      <c r="R399" t="str">
        <f t="shared" si="62"/>
        <v>Due</v>
      </c>
    </row>
    <row r="400" spans="1:18" x14ac:dyDescent="0.35">
      <c r="A400" t="s">
        <v>407</v>
      </c>
      <c r="B400" t="s">
        <v>811</v>
      </c>
      <c r="C400" s="9">
        <v>45012</v>
      </c>
      <c r="D400" s="28" t="str">
        <f t="shared" si="54"/>
        <v>Mar 2023</v>
      </c>
      <c r="E400" s="9">
        <v>45042</v>
      </c>
      <c r="F400" t="s">
        <v>818</v>
      </c>
      <c r="G400">
        <v>3386.3</v>
      </c>
      <c r="H400" t="s">
        <v>821</v>
      </c>
      <c r="I400" s="15">
        <f t="shared" si="55"/>
        <v>3386.3</v>
      </c>
      <c r="J400" s="18">
        <f t="shared" si="56"/>
        <v>0</v>
      </c>
      <c r="K400" s="9">
        <v>45042</v>
      </c>
      <c r="L400" s="54">
        <f t="shared" si="57"/>
        <v>30</v>
      </c>
      <c r="M400" s="9" t="str">
        <f t="shared" si="58"/>
        <v>2023-Apr</v>
      </c>
      <c r="N400" t="s">
        <v>822</v>
      </c>
      <c r="O400" s="17">
        <f t="shared" si="59"/>
        <v>45868</v>
      </c>
      <c r="P400" s="25">
        <f t="shared" si="60"/>
        <v>0</v>
      </c>
      <c r="Q400" t="str">
        <f t="shared" si="61"/>
        <v>Paid</v>
      </c>
      <c r="R400" t="str">
        <f t="shared" si="62"/>
        <v>Not Due</v>
      </c>
    </row>
    <row r="401" spans="1:18" x14ac:dyDescent="0.35">
      <c r="A401" t="s">
        <v>408</v>
      </c>
      <c r="B401" t="s">
        <v>813</v>
      </c>
      <c r="C401" s="9">
        <v>45086</v>
      </c>
      <c r="D401" s="28" t="str">
        <f t="shared" si="54"/>
        <v>Jun 2023</v>
      </c>
      <c r="E401" s="9">
        <v>45116</v>
      </c>
      <c r="F401" t="s">
        <v>818</v>
      </c>
      <c r="G401">
        <v>3042.09</v>
      </c>
      <c r="H401" t="s">
        <v>821</v>
      </c>
      <c r="I401" s="15">
        <f t="shared" si="55"/>
        <v>3042.09</v>
      </c>
      <c r="J401" s="18">
        <f t="shared" si="56"/>
        <v>0</v>
      </c>
      <c r="K401" s="9">
        <v>45116</v>
      </c>
      <c r="L401" s="54">
        <f t="shared" si="57"/>
        <v>30</v>
      </c>
      <c r="M401" s="9" t="str">
        <f t="shared" si="58"/>
        <v>2023-Jul</v>
      </c>
      <c r="N401" t="s">
        <v>822</v>
      </c>
      <c r="O401" s="17">
        <f t="shared" si="59"/>
        <v>45868</v>
      </c>
      <c r="P401" s="25">
        <f t="shared" si="60"/>
        <v>0</v>
      </c>
      <c r="Q401" t="str">
        <f t="shared" si="61"/>
        <v>Paid</v>
      </c>
      <c r="R401" t="str">
        <f t="shared" si="62"/>
        <v>Not Due</v>
      </c>
    </row>
    <row r="402" spans="1:18" x14ac:dyDescent="0.35">
      <c r="A402" t="s">
        <v>409</v>
      </c>
      <c r="B402" t="s">
        <v>812</v>
      </c>
      <c r="C402" s="9">
        <v>45776</v>
      </c>
      <c r="D402" s="28" t="str">
        <f t="shared" si="54"/>
        <v>Apr 2025</v>
      </c>
      <c r="E402" s="9">
        <v>45806</v>
      </c>
      <c r="F402" t="s">
        <v>816</v>
      </c>
      <c r="G402">
        <v>6394.73</v>
      </c>
      <c r="H402" t="s">
        <v>821</v>
      </c>
      <c r="I402" s="15">
        <f t="shared" si="55"/>
        <v>6394.73</v>
      </c>
      <c r="J402" s="18">
        <f t="shared" si="56"/>
        <v>0</v>
      </c>
      <c r="K402" s="9">
        <v>45806</v>
      </c>
      <c r="L402" s="54">
        <f t="shared" si="57"/>
        <v>30</v>
      </c>
      <c r="M402" s="9" t="str">
        <f t="shared" si="58"/>
        <v>2025-May</v>
      </c>
      <c r="N402" t="s">
        <v>822</v>
      </c>
      <c r="O402" s="17">
        <f t="shared" si="59"/>
        <v>45868</v>
      </c>
      <c r="P402" s="25">
        <f t="shared" si="60"/>
        <v>0</v>
      </c>
      <c r="Q402" t="str">
        <f t="shared" si="61"/>
        <v>Paid</v>
      </c>
      <c r="R402" t="str">
        <f t="shared" si="62"/>
        <v>Not Due</v>
      </c>
    </row>
    <row r="403" spans="1:18" x14ac:dyDescent="0.35">
      <c r="A403" t="s">
        <v>410</v>
      </c>
      <c r="B403" t="s">
        <v>812</v>
      </c>
      <c r="C403" s="9">
        <v>45145</v>
      </c>
      <c r="D403" s="28" t="str">
        <f t="shared" si="54"/>
        <v>Aug 2023</v>
      </c>
      <c r="E403" s="9">
        <v>45175</v>
      </c>
      <c r="F403" t="s">
        <v>817</v>
      </c>
      <c r="G403">
        <v>4149.5200000000004</v>
      </c>
      <c r="H403" t="s">
        <v>821</v>
      </c>
      <c r="I403" s="15">
        <f t="shared" si="55"/>
        <v>4149.5200000000004</v>
      </c>
      <c r="J403" s="18">
        <f t="shared" si="56"/>
        <v>0</v>
      </c>
      <c r="K403" s="9">
        <v>45175</v>
      </c>
      <c r="L403" s="54">
        <f t="shared" si="57"/>
        <v>30</v>
      </c>
      <c r="M403" s="9" t="str">
        <f t="shared" si="58"/>
        <v>2023-Sep</v>
      </c>
      <c r="N403" t="s">
        <v>822</v>
      </c>
      <c r="O403" s="17">
        <f t="shared" si="59"/>
        <v>45868</v>
      </c>
      <c r="P403" s="25">
        <f t="shared" si="60"/>
        <v>0</v>
      </c>
      <c r="Q403" t="str">
        <f t="shared" si="61"/>
        <v>Paid</v>
      </c>
      <c r="R403" t="str">
        <f t="shared" si="62"/>
        <v>Not Due</v>
      </c>
    </row>
    <row r="404" spans="1:18" x14ac:dyDescent="0.35">
      <c r="A404" t="s">
        <v>411</v>
      </c>
      <c r="B404" t="s">
        <v>810</v>
      </c>
      <c r="C404" s="9">
        <v>45286</v>
      </c>
      <c r="D404" s="28" t="str">
        <f t="shared" si="54"/>
        <v>Dec 2023</v>
      </c>
      <c r="E404" s="9">
        <v>45316</v>
      </c>
      <c r="F404" t="s">
        <v>814</v>
      </c>
      <c r="G404">
        <v>1847.77</v>
      </c>
      <c r="H404" t="s">
        <v>820</v>
      </c>
      <c r="I404" s="15">
        <f t="shared" si="55"/>
        <v>0</v>
      </c>
      <c r="J404" s="18" t="str">
        <f t="shared" si="56"/>
        <v>N/A</v>
      </c>
      <c r="L404" s="54" t="str">
        <f t="shared" si="57"/>
        <v/>
      </c>
      <c r="M404" s="9" t="str">
        <f t="shared" si="58"/>
        <v/>
      </c>
      <c r="N404" t="s">
        <v>822</v>
      </c>
      <c r="O404" s="17">
        <f t="shared" si="59"/>
        <v>45868</v>
      </c>
      <c r="P404" s="25">
        <f t="shared" si="60"/>
        <v>552</v>
      </c>
      <c r="Q404" t="str">
        <f t="shared" si="61"/>
        <v>90+</v>
      </c>
      <c r="R404" t="str">
        <f t="shared" si="62"/>
        <v>Due</v>
      </c>
    </row>
    <row r="405" spans="1:18" x14ac:dyDescent="0.35">
      <c r="A405" t="s">
        <v>412</v>
      </c>
      <c r="B405" t="s">
        <v>809</v>
      </c>
      <c r="C405" s="9">
        <v>45757</v>
      </c>
      <c r="D405" s="28" t="str">
        <f t="shared" si="54"/>
        <v>Apr 2025</v>
      </c>
      <c r="E405" s="9">
        <v>45787</v>
      </c>
      <c r="F405" t="s">
        <v>817</v>
      </c>
      <c r="G405">
        <v>2473.2600000000002</v>
      </c>
      <c r="H405" t="s">
        <v>819</v>
      </c>
      <c r="I405" s="15">
        <f t="shared" si="55"/>
        <v>0</v>
      </c>
      <c r="J405" s="18">
        <f t="shared" si="56"/>
        <v>2473.2600000000002</v>
      </c>
      <c r="L405" s="54" t="str">
        <f t="shared" si="57"/>
        <v/>
      </c>
      <c r="M405" s="9" t="str">
        <f t="shared" si="58"/>
        <v/>
      </c>
      <c r="N405" t="s">
        <v>822</v>
      </c>
      <c r="O405" s="17">
        <f t="shared" si="59"/>
        <v>45868</v>
      </c>
      <c r="P405" s="25">
        <f t="shared" si="60"/>
        <v>81</v>
      </c>
      <c r="Q405" t="str">
        <f t="shared" si="61"/>
        <v>61-90</v>
      </c>
      <c r="R405" t="str">
        <f t="shared" si="62"/>
        <v>Due</v>
      </c>
    </row>
    <row r="406" spans="1:18" x14ac:dyDescent="0.35">
      <c r="A406" t="s">
        <v>413</v>
      </c>
      <c r="B406" t="s">
        <v>809</v>
      </c>
      <c r="C406" s="9">
        <v>45577</v>
      </c>
      <c r="D406" s="28" t="str">
        <f t="shared" si="54"/>
        <v>Oct 2024</v>
      </c>
      <c r="E406" s="9">
        <v>45607</v>
      </c>
      <c r="F406" t="s">
        <v>816</v>
      </c>
      <c r="G406">
        <v>4233.1499999999996</v>
      </c>
      <c r="H406" t="s">
        <v>819</v>
      </c>
      <c r="I406" s="15">
        <f t="shared" si="55"/>
        <v>0</v>
      </c>
      <c r="J406" s="18">
        <f t="shared" si="56"/>
        <v>4233.1499999999996</v>
      </c>
      <c r="L406" s="54" t="str">
        <f t="shared" si="57"/>
        <v/>
      </c>
      <c r="M406" s="9" t="str">
        <f t="shared" si="58"/>
        <v/>
      </c>
      <c r="N406" t="s">
        <v>822</v>
      </c>
      <c r="O406" s="17">
        <f t="shared" si="59"/>
        <v>45868</v>
      </c>
      <c r="P406" s="25">
        <f t="shared" si="60"/>
        <v>261</v>
      </c>
      <c r="Q406" t="str">
        <f t="shared" si="61"/>
        <v>90+</v>
      </c>
      <c r="R406" t="str">
        <f t="shared" si="62"/>
        <v>Due</v>
      </c>
    </row>
    <row r="407" spans="1:18" x14ac:dyDescent="0.35">
      <c r="A407" t="s">
        <v>414</v>
      </c>
      <c r="B407" t="s">
        <v>812</v>
      </c>
      <c r="C407" s="9">
        <v>45775</v>
      </c>
      <c r="D407" s="28" t="str">
        <f t="shared" si="54"/>
        <v>Apr 2025</v>
      </c>
      <c r="E407" s="9">
        <v>45805</v>
      </c>
      <c r="F407" t="s">
        <v>818</v>
      </c>
      <c r="G407">
        <v>1614.87</v>
      </c>
      <c r="H407" t="s">
        <v>821</v>
      </c>
      <c r="I407" s="15">
        <f t="shared" si="55"/>
        <v>1614.87</v>
      </c>
      <c r="J407" s="18">
        <f t="shared" si="56"/>
        <v>0</v>
      </c>
      <c r="K407" s="9">
        <v>45805</v>
      </c>
      <c r="L407" s="54">
        <f t="shared" si="57"/>
        <v>30</v>
      </c>
      <c r="M407" s="9" t="str">
        <f t="shared" si="58"/>
        <v>2025-May</v>
      </c>
      <c r="N407" t="s">
        <v>822</v>
      </c>
      <c r="O407" s="17">
        <f t="shared" si="59"/>
        <v>45868</v>
      </c>
      <c r="P407" s="25">
        <f t="shared" si="60"/>
        <v>0</v>
      </c>
      <c r="Q407" t="str">
        <f t="shared" si="61"/>
        <v>Paid</v>
      </c>
      <c r="R407" t="str">
        <f t="shared" si="62"/>
        <v>Not Due</v>
      </c>
    </row>
    <row r="408" spans="1:18" x14ac:dyDescent="0.35">
      <c r="A408" t="s">
        <v>415</v>
      </c>
      <c r="B408" t="s">
        <v>810</v>
      </c>
      <c r="C408" s="9">
        <v>45729</v>
      </c>
      <c r="D408" s="28" t="str">
        <f t="shared" si="54"/>
        <v>Mar 2025</v>
      </c>
      <c r="E408" s="9">
        <v>45759</v>
      </c>
      <c r="F408" t="s">
        <v>816</v>
      </c>
      <c r="G408">
        <v>3756.04</v>
      </c>
      <c r="H408" t="s">
        <v>820</v>
      </c>
      <c r="I408" s="15">
        <f t="shared" si="55"/>
        <v>0</v>
      </c>
      <c r="J408" s="18" t="str">
        <f t="shared" si="56"/>
        <v>N/A</v>
      </c>
      <c r="L408" s="54" t="str">
        <f t="shared" si="57"/>
        <v/>
      </c>
      <c r="M408" s="9" t="str">
        <f t="shared" si="58"/>
        <v/>
      </c>
      <c r="N408" t="s">
        <v>822</v>
      </c>
      <c r="O408" s="17">
        <f t="shared" si="59"/>
        <v>45868</v>
      </c>
      <c r="P408" s="25">
        <f t="shared" si="60"/>
        <v>109</v>
      </c>
      <c r="Q408" t="str">
        <f t="shared" si="61"/>
        <v>90+</v>
      </c>
      <c r="R408" t="str">
        <f t="shared" si="62"/>
        <v>Due</v>
      </c>
    </row>
    <row r="409" spans="1:18" x14ac:dyDescent="0.35">
      <c r="A409" t="s">
        <v>416</v>
      </c>
      <c r="B409" t="s">
        <v>813</v>
      </c>
      <c r="C409" s="9">
        <v>45286</v>
      </c>
      <c r="D409" s="28" t="str">
        <f t="shared" si="54"/>
        <v>Dec 2023</v>
      </c>
      <c r="E409" s="9">
        <v>45316</v>
      </c>
      <c r="F409" t="s">
        <v>817</v>
      </c>
      <c r="G409">
        <v>4219.16</v>
      </c>
      <c r="H409" t="s">
        <v>820</v>
      </c>
      <c r="I409" s="15">
        <f t="shared" si="55"/>
        <v>0</v>
      </c>
      <c r="J409" s="18" t="str">
        <f t="shared" si="56"/>
        <v>N/A</v>
      </c>
      <c r="L409" s="54" t="str">
        <f t="shared" si="57"/>
        <v/>
      </c>
      <c r="M409" s="9" t="str">
        <f t="shared" si="58"/>
        <v/>
      </c>
      <c r="N409" t="s">
        <v>822</v>
      </c>
      <c r="O409" s="17">
        <f t="shared" si="59"/>
        <v>45868</v>
      </c>
      <c r="P409" s="25">
        <f t="shared" si="60"/>
        <v>552</v>
      </c>
      <c r="Q409" t="str">
        <f t="shared" si="61"/>
        <v>90+</v>
      </c>
      <c r="R409" t="str">
        <f t="shared" si="62"/>
        <v>Due</v>
      </c>
    </row>
    <row r="410" spans="1:18" x14ac:dyDescent="0.35">
      <c r="A410" t="s">
        <v>417</v>
      </c>
      <c r="B410" t="s">
        <v>812</v>
      </c>
      <c r="C410" s="9">
        <v>45430</v>
      </c>
      <c r="D410" s="28" t="str">
        <f t="shared" si="54"/>
        <v>May 2024</v>
      </c>
      <c r="E410" s="9">
        <v>45460</v>
      </c>
      <c r="F410" t="s">
        <v>815</v>
      </c>
      <c r="G410">
        <v>1963.44</v>
      </c>
      <c r="H410" t="s">
        <v>819</v>
      </c>
      <c r="I410" s="15">
        <f t="shared" si="55"/>
        <v>0</v>
      </c>
      <c r="J410" s="18">
        <f t="shared" si="56"/>
        <v>1963.44</v>
      </c>
      <c r="L410" s="54" t="str">
        <f t="shared" si="57"/>
        <v/>
      </c>
      <c r="M410" s="9" t="str">
        <f t="shared" si="58"/>
        <v/>
      </c>
      <c r="N410" t="s">
        <v>822</v>
      </c>
      <c r="O410" s="17">
        <f t="shared" si="59"/>
        <v>45868</v>
      </c>
      <c r="P410" s="25">
        <f t="shared" si="60"/>
        <v>408</v>
      </c>
      <c r="Q410" t="str">
        <f t="shared" si="61"/>
        <v>90+</v>
      </c>
      <c r="R410" t="str">
        <f t="shared" si="62"/>
        <v>Due</v>
      </c>
    </row>
    <row r="411" spans="1:18" x14ac:dyDescent="0.35">
      <c r="A411" t="s">
        <v>418</v>
      </c>
      <c r="B411" t="s">
        <v>813</v>
      </c>
      <c r="C411" s="9">
        <v>45617</v>
      </c>
      <c r="D411" s="28" t="str">
        <f t="shared" si="54"/>
        <v>Nov 2024</v>
      </c>
      <c r="E411" s="9">
        <v>45647</v>
      </c>
      <c r="F411" t="s">
        <v>815</v>
      </c>
      <c r="G411">
        <v>2636.59</v>
      </c>
      <c r="H411" t="s">
        <v>820</v>
      </c>
      <c r="I411" s="15">
        <f t="shared" si="55"/>
        <v>0</v>
      </c>
      <c r="J411" s="18" t="str">
        <f t="shared" si="56"/>
        <v>N/A</v>
      </c>
      <c r="L411" s="54" t="str">
        <f t="shared" si="57"/>
        <v/>
      </c>
      <c r="M411" s="9" t="str">
        <f t="shared" si="58"/>
        <v/>
      </c>
      <c r="N411" t="s">
        <v>822</v>
      </c>
      <c r="O411" s="17">
        <f t="shared" si="59"/>
        <v>45868</v>
      </c>
      <c r="P411" s="25">
        <f t="shared" si="60"/>
        <v>221</v>
      </c>
      <c r="Q411" t="str">
        <f t="shared" si="61"/>
        <v>90+</v>
      </c>
      <c r="R411" t="str">
        <f t="shared" si="62"/>
        <v>Due</v>
      </c>
    </row>
    <row r="412" spans="1:18" x14ac:dyDescent="0.35">
      <c r="A412" t="s">
        <v>419</v>
      </c>
      <c r="B412" t="s">
        <v>812</v>
      </c>
      <c r="C412" s="9">
        <v>45358</v>
      </c>
      <c r="D412" s="28" t="str">
        <f t="shared" si="54"/>
        <v>Mar 2024</v>
      </c>
      <c r="E412" s="9">
        <v>45388</v>
      </c>
      <c r="F412" t="s">
        <v>818</v>
      </c>
      <c r="G412">
        <v>897.68</v>
      </c>
      <c r="H412" t="s">
        <v>821</v>
      </c>
      <c r="I412" s="15">
        <f t="shared" si="55"/>
        <v>897.68</v>
      </c>
      <c r="J412" s="18">
        <f t="shared" si="56"/>
        <v>0</v>
      </c>
      <c r="K412" s="9">
        <v>45388</v>
      </c>
      <c r="L412" s="54">
        <f t="shared" si="57"/>
        <v>30</v>
      </c>
      <c r="M412" s="9" t="str">
        <f t="shared" si="58"/>
        <v>2024-Apr</v>
      </c>
      <c r="N412" t="s">
        <v>822</v>
      </c>
      <c r="O412" s="17">
        <f t="shared" si="59"/>
        <v>45868</v>
      </c>
      <c r="P412" s="25">
        <f t="shared" si="60"/>
        <v>0</v>
      </c>
      <c r="Q412" t="str">
        <f t="shared" si="61"/>
        <v>Paid</v>
      </c>
      <c r="R412" t="str">
        <f t="shared" si="62"/>
        <v>Not Due</v>
      </c>
    </row>
    <row r="413" spans="1:18" x14ac:dyDescent="0.35">
      <c r="A413" t="s">
        <v>420</v>
      </c>
      <c r="B413" t="s">
        <v>813</v>
      </c>
      <c r="C413" s="9">
        <v>45586</v>
      </c>
      <c r="D413" s="28" t="str">
        <f t="shared" si="54"/>
        <v>Oct 2024</v>
      </c>
      <c r="E413" s="9">
        <v>45616</v>
      </c>
      <c r="F413" t="s">
        <v>818</v>
      </c>
      <c r="G413">
        <v>1198.44</v>
      </c>
      <c r="H413" t="s">
        <v>819</v>
      </c>
      <c r="I413" s="15">
        <f t="shared" si="55"/>
        <v>0</v>
      </c>
      <c r="J413" s="18">
        <f t="shared" si="56"/>
        <v>1198.44</v>
      </c>
      <c r="L413" s="54" t="str">
        <f t="shared" si="57"/>
        <v/>
      </c>
      <c r="M413" s="9" t="str">
        <f t="shared" si="58"/>
        <v/>
      </c>
      <c r="N413" t="s">
        <v>822</v>
      </c>
      <c r="O413" s="17">
        <f t="shared" si="59"/>
        <v>45868</v>
      </c>
      <c r="P413" s="25">
        <f t="shared" si="60"/>
        <v>252</v>
      </c>
      <c r="Q413" t="str">
        <f t="shared" si="61"/>
        <v>90+</v>
      </c>
      <c r="R413" t="str">
        <f t="shared" si="62"/>
        <v>Due</v>
      </c>
    </row>
    <row r="414" spans="1:18" x14ac:dyDescent="0.35">
      <c r="A414" t="s">
        <v>421</v>
      </c>
      <c r="B414" t="s">
        <v>809</v>
      </c>
      <c r="C414" s="9">
        <v>45769</v>
      </c>
      <c r="D414" s="28" t="str">
        <f t="shared" si="54"/>
        <v>Apr 2025</v>
      </c>
      <c r="E414" s="9">
        <v>45799</v>
      </c>
      <c r="F414" t="s">
        <v>816</v>
      </c>
      <c r="G414">
        <v>5648.67</v>
      </c>
      <c r="H414" t="s">
        <v>820</v>
      </c>
      <c r="I414" s="15">
        <f t="shared" si="55"/>
        <v>0</v>
      </c>
      <c r="J414" s="18" t="str">
        <f t="shared" si="56"/>
        <v>N/A</v>
      </c>
      <c r="L414" s="54" t="str">
        <f t="shared" si="57"/>
        <v/>
      </c>
      <c r="M414" s="9" t="str">
        <f t="shared" si="58"/>
        <v/>
      </c>
      <c r="N414" t="s">
        <v>822</v>
      </c>
      <c r="O414" s="17">
        <f t="shared" si="59"/>
        <v>45868</v>
      </c>
      <c r="P414" s="25">
        <f t="shared" si="60"/>
        <v>69</v>
      </c>
      <c r="Q414" t="str">
        <f t="shared" si="61"/>
        <v>61-90</v>
      </c>
      <c r="R414" t="str">
        <f t="shared" si="62"/>
        <v>Due</v>
      </c>
    </row>
    <row r="415" spans="1:18" x14ac:dyDescent="0.35">
      <c r="A415" t="s">
        <v>422</v>
      </c>
      <c r="B415" t="s">
        <v>812</v>
      </c>
      <c r="C415" s="9">
        <v>45078</v>
      </c>
      <c r="D415" s="28" t="str">
        <f t="shared" si="54"/>
        <v>Jun 2023</v>
      </c>
      <c r="E415" s="9">
        <v>45108</v>
      </c>
      <c r="F415" t="s">
        <v>815</v>
      </c>
      <c r="G415">
        <v>3109</v>
      </c>
      <c r="H415" t="s">
        <v>820</v>
      </c>
      <c r="I415" s="15">
        <f t="shared" si="55"/>
        <v>0</v>
      </c>
      <c r="J415" s="18" t="str">
        <f t="shared" si="56"/>
        <v>N/A</v>
      </c>
      <c r="L415" s="54" t="str">
        <f t="shared" si="57"/>
        <v/>
      </c>
      <c r="M415" s="9" t="str">
        <f t="shared" si="58"/>
        <v/>
      </c>
      <c r="N415" t="s">
        <v>822</v>
      </c>
      <c r="O415" s="17">
        <f t="shared" si="59"/>
        <v>45868</v>
      </c>
      <c r="P415" s="25">
        <f t="shared" si="60"/>
        <v>760</v>
      </c>
      <c r="Q415" t="str">
        <f t="shared" si="61"/>
        <v>90+</v>
      </c>
      <c r="R415" t="str">
        <f t="shared" si="62"/>
        <v>Due</v>
      </c>
    </row>
    <row r="416" spans="1:18" x14ac:dyDescent="0.35">
      <c r="A416" t="s">
        <v>423</v>
      </c>
      <c r="B416" t="s">
        <v>811</v>
      </c>
      <c r="C416" s="9">
        <v>45549</v>
      </c>
      <c r="D416" s="28" t="str">
        <f t="shared" si="54"/>
        <v>Sep 2024</v>
      </c>
      <c r="E416" s="9">
        <v>45579</v>
      </c>
      <c r="F416" t="s">
        <v>818</v>
      </c>
      <c r="G416">
        <v>311.10000000000002</v>
      </c>
      <c r="H416" t="s">
        <v>821</v>
      </c>
      <c r="I416" s="15">
        <f t="shared" si="55"/>
        <v>311.10000000000002</v>
      </c>
      <c r="J416" s="18">
        <f t="shared" si="56"/>
        <v>0</v>
      </c>
      <c r="K416" s="9">
        <v>45579</v>
      </c>
      <c r="L416" s="54">
        <f t="shared" si="57"/>
        <v>30</v>
      </c>
      <c r="M416" s="9" t="str">
        <f t="shared" si="58"/>
        <v>2024-Oct</v>
      </c>
      <c r="N416" t="s">
        <v>822</v>
      </c>
      <c r="O416" s="17">
        <f t="shared" si="59"/>
        <v>45868</v>
      </c>
      <c r="P416" s="25">
        <f t="shared" si="60"/>
        <v>0</v>
      </c>
      <c r="Q416" t="str">
        <f t="shared" si="61"/>
        <v>Paid</v>
      </c>
      <c r="R416" t="str">
        <f t="shared" si="62"/>
        <v>Not Due</v>
      </c>
    </row>
    <row r="417" spans="1:18" x14ac:dyDescent="0.35">
      <c r="A417" t="s">
        <v>424</v>
      </c>
      <c r="B417" t="s">
        <v>809</v>
      </c>
      <c r="C417" s="9">
        <v>45260</v>
      </c>
      <c r="D417" s="28" t="str">
        <f t="shared" si="54"/>
        <v>Nov 2023</v>
      </c>
      <c r="E417" s="9">
        <v>45290</v>
      </c>
      <c r="F417" t="s">
        <v>818</v>
      </c>
      <c r="G417">
        <v>1493.54</v>
      </c>
      <c r="H417" t="s">
        <v>820</v>
      </c>
      <c r="I417" s="15">
        <f t="shared" si="55"/>
        <v>0</v>
      </c>
      <c r="J417" s="18" t="str">
        <f t="shared" si="56"/>
        <v>N/A</v>
      </c>
      <c r="L417" s="54" t="str">
        <f t="shared" si="57"/>
        <v/>
      </c>
      <c r="M417" s="9" t="str">
        <f t="shared" si="58"/>
        <v/>
      </c>
      <c r="N417" t="s">
        <v>822</v>
      </c>
      <c r="O417" s="17">
        <f t="shared" si="59"/>
        <v>45868</v>
      </c>
      <c r="P417" s="25">
        <f t="shared" si="60"/>
        <v>578</v>
      </c>
      <c r="Q417" t="str">
        <f t="shared" si="61"/>
        <v>90+</v>
      </c>
      <c r="R417" t="str">
        <f t="shared" si="62"/>
        <v>Due</v>
      </c>
    </row>
    <row r="418" spans="1:18" x14ac:dyDescent="0.35">
      <c r="A418" t="s">
        <v>425</v>
      </c>
      <c r="B418" t="s">
        <v>812</v>
      </c>
      <c r="C418" s="9">
        <v>44969</v>
      </c>
      <c r="D418" s="28" t="str">
        <f t="shared" si="54"/>
        <v>Feb 2023</v>
      </c>
      <c r="E418" s="9">
        <v>44999</v>
      </c>
      <c r="F418" t="s">
        <v>816</v>
      </c>
      <c r="G418">
        <v>3418.16</v>
      </c>
      <c r="H418" t="s">
        <v>819</v>
      </c>
      <c r="I418" s="15">
        <f t="shared" si="55"/>
        <v>0</v>
      </c>
      <c r="J418" s="18">
        <f t="shared" si="56"/>
        <v>3418.16</v>
      </c>
      <c r="L418" s="54" t="str">
        <f t="shared" si="57"/>
        <v/>
      </c>
      <c r="M418" s="9" t="str">
        <f t="shared" si="58"/>
        <v/>
      </c>
      <c r="N418" t="s">
        <v>822</v>
      </c>
      <c r="O418" s="17">
        <f t="shared" si="59"/>
        <v>45868</v>
      </c>
      <c r="P418" s="25">
        <f t="shared" si="60"/>
        <v>869</v>
      </c>
      <c r="Q418" t="str">
        <f t="shared" si="61"/>
        <v>90+</v>
      </c>
      <c r="R418" t="str">
        <f t="shared" si="62"/>
        <v>Due</v>
      </c>
    </row>
    <row r="419" spans="1:18" x14ac:dyDescent="0.35">
      <c r="A419" t="s">
        <v>426</v>
      </c>
      <c r="B419" t="s">
        <v>812</v>
      </c>
      <c r="C419" s="9">
        <v>45265</v>
      </c>
      <c r="D419" s="28" t="str">
        <f t="shared" si="54"/>
        <v>Dec 2023</v>
      </c>
      <c r="E419" s="9">
        <v>45295</v>
      </c>
      <c r="F419" t="s">
        <v>817</v>
      </c>
      <c r="G419">
        <v>1960.15</v>
      </c>
      <c r="H419" t="s">
        <v>820</v>
      </c>
      <c r="I419" s="15">
        <f t="shared" si="55"/>
        <v>0</v>
      </c>
      <c r="J419" s="18" t="str">
        <f t="shared" si="56"/>
        <v>N/A</v>
      </c>
      <c r="L419" s="54" t="str">
        <f t="shared" si="57"/>
        <v/>
      </c>
      <c r="M419" s="9" t="str">
        <f t="shared" si="58"/>
        <v/>
      </c>
      <c r="N419" t="s">
        <v>822</v>
      </c>
      <c r="O419" s="17">
        <f t="shared" si="59"/>
        <v>45868</v>
      </c>
      <c r="P419" s="25">
        <f t="shared" si="60"/>
        <v>573</v>
      </c>
      <c r="Q419" t="str">
        <f t="shared" si="61"/>
        <v>90+</v>
      </c>
      <c r="R419" t="str">
        <f t="shared" si="62"/>
        <v>Due</v>
      </c>
    </row>
    <row r="420" spans="1:18" x14ac:dyDescent="0.35">
      <c r="A420" t="s">
        <v>427</v>
      </c>
      <c r="B420" t="s">
        <v>811</v>
      </c>
      <c r="C420" s="9">
        <v>45131</v>
      </c>
      <c r="D420" s="28" t="str">
        <f t="shared" si="54"/>
        <v>Jul 2023</v>
      </c>
      <c r="E420" s="9">
        <v>45161</v>
      </c>
      <c r="F420" t="s">
        <v>818</v>
      </c>
      <c r="G420">
        <v>2280.02</v>
      </c>
      <c r="H420" t="s">
        <v>820</v>
      </c>
      <c r="I420" s="15">
        <f t="shared" si="55"/>
        <v>0</v>
      </c>
      <c r="J420" s="18" t="str">
        <f t="shared" si="56"/>
        <v>N/A</v>
      </c>
      <c r="L420" s="54" t="str">
        <f t="shared" si="57"/>
        <v/>
      </c>
      <c r="M420" s="9" t="str">
        <f t="shared" si="58"/>
        <v/>
      </c>
      <c r="N420" t="s">
        <v>822</v>
      </c>
      <c r="O420" s="17">
        <f t="shared" si="59"/>
        <v>45868</v>
      </c>
      <c r="P420" s="25">
        <f t="shared" si="60"/>
        <v>707</v>
      </c>
      <c r="Q420" t="str">
        <f t="shared" si="61"/>
        <v>90+</v>
      </c>
      <c r="R420" t="str">
        <f t="shared" si="62"/>
        <v>Due</v>
      </c>
    </row>
    <row r="421" spans="1:18" x14ac:dyDescent="0.35">
      <c r="A421" t="s">
        <v>428</v>
      </c>
      <c r="B421" t="s">
        <v>813</v>
      </c>
      <c r="C421" s="9">
        <v>45077</v>
      </c>
      <c r="D421" s="28" t="str">
        <f t="shared" si="54"/>
        <v>May 2023</v>
      </c>
      <c r="E421" s="9">
        <v>45107</v>
      </c>
      <c r="F421" t="s">
        <v>817</v>
      </c>
      <c r="G421">
        <v>576.42999999999995</v>
      </c>
      <c r="H421" t="s">
        <v>821</v>
      </c>
      <c r="I421" s="15">
        <f t="shared" si="55"/>
        <v>576.42999999999995</v>
      </c>
      <c r="J421" s="18">
        <f t="shared" si="56"/>
        <v>0</v>
      </c>
      <c r="K421" s="9">
        <v>45107</v>
      </c>
      <c r="L421" s="54">
        <f t="shared" si="57"/>
        <v>30</v>
      </c>
      <c r="M421" s="9" t="str">
        <f t="shared" si="58"/>
        <v>2023-Jun</v>
      </c>
      <c r="N421" t="s">
        <v>822</v>
      </c>
      <c r="O421" s="17">
        <f t="shared" si="59"/>
        <v>45868</v>
      </c>
      <c r="P421" s="25">
        <f t="shared" si="60"/>
        <v>0</v>
      </c>
      <c r="Q421" t="str">
        <f t="shared" si="61"/>
        <v>Paid</v>
      </c>
      <c r="R421" t="str">
        <f t="shared" si="62"/>
        <v>Not Due</v>
      </c>
    </row>
    <row r="422" spans="1:18" x14ac:dyDescent="0.35">
      <c r="A422" t="s">
        <v>429</v>
      </c>
      <c r="B422" t="s">
        <v>812</v>
      </c>
      <c r="C422" s="9">
        <v>45670</v>
      </c>
      <c r="D422" s="28" t="str">
        <f t="shared" si="54"/>
        <v>Jan 2025</v>
      </c>
      <c r="E422" s="9">
        <v>45700</v>
      </c>
      <c r="F422" t="s">
        <v>817</v>
      </c>
      <c r="G422">
        <v>460.35</v>
      </c>
      <c r="H422" t="s">
        <v>819</v>
      </c>
      <c r="I422" s="15">
        <f t="shared" si="55"/>
        <v>0</v>
      </c>
      <c r="J422" s="18">
        <f t="shared" si="56"/>
        <v>460.35</v>
      </c>
      <c r="L422" s="54" t="str">
        <f t="shared" si="57"/>
        <v/>
      </c>
      <c r="M422" s="9" t="str">
        <f t="shared" si="58"/>
        <v/>
      </c>
      <c r="N422" t="s">
        <v>822</v>
      </c>
      <c r="O422" s="17">
        <f t="shared" si="59"/>
        <v>45868</v>
      </c>
      <c r="P422" s="25">
        <f t="shared" si="60"/>
        <v>168</v>
      </c>
      <c r="Q422" t="str">
        <f t="shared" si="61"/>
        <v>90+</v>
      </c>
      <c r="R422" t="str">
        <f t="shared" si="62"/>
        <v>Due</v>
      </c>
    </row>
    <row r="423" spans="1:18" x14ac:dyDescent="0.35">
      <c r="A423" t="s">
        <v>430</v>
      </c>
      <c r="B423" t="s">
        <v>812</v>
      </c>
      <c r="C423" s="9">
        <v>45704</v>
      </c>
      <c r="D423" s="28" t="str">
        <f t="shared" si="54"/>
        <v>Feb 2025</v>
      </c>
      <c r="E423" s="9">
        <v>45734</v>
      </c>
      <c r="F423" t="s">
        <v>817</v>
      </c>
      <c r="G423">
        <v>2305.42</v>
      </c>
      <c r="H423" t="s">
        <v>819</v>
      </c>
      <c r="I423" s="15">
        <f t="shared" si="55"/>
        <v>0</v>
      </c>
      <c r="J423" s="18">
        <f t="shared" si="56"/>
        <v>2305.42</v>
      </c>
      <c r="L423" s="54" t="str">
        <f t="shared" si="57"/>
        <v/>
      </c>
      <c r="M423" s="9" t="str">
        <f t="shared" si="58"/>
        <v/>
      </c>
      <c r="N423" t="s">
        <v>822</v>
      </c>
      <c r="O423" s="17">
        <f t="shared" si="59"/>
        <v>45868</v>
      </c>
      <c r="P423" s="25">
        <f t="shared" si="60"/>
        <v>134</v>
      </c>
      <c r="Q423" t="str">
        <f t="shared" si="61"/>
        <v>90+</v>
      </c>
      <c r="R423" t="str">
        <f t="shared" si="62"/>
        <v>Due</v>
      </c>
    </row>
    <row r="424" spans="1:18" x14ac:dyDescent="0.35">
      <c r="A424" t="s">
        <v>431</v>
      </c>
      <c r="B424" t="s">
        <v>811</v>
      </c>
      <c r="C424" s="9">
        <v>45276</v>
      </c>
      <c r="D424" s="28" t="str">
        <f t="shared" si="54"/>
        <v>Dec 2023</v>
      </c>
      <c r="E424" s="9">
        <v>45306</v>
      </c>
      <c r="F424" t="s">
        <v>816</v>
      </c>
      <c r="G424">
        <v>3564.97</v>
      </c>
      <c r="H424" t="s">
        <v>820</v>
      </c>
      <c r="I424" s="15">
        <f t="shared" si="55"/>
        <v>0</v>
      </c>
      <c r="J424" s="18" t="str">
        <f t="shared" si="56"/>
        <v>N/A</v>
      </c>
      <c r="L424" s="54" t="str">
        <f t="shared" si="57"/>
        <v/>
      </c>
      <c r="M424" s="9" t="str">
        <f t="shared" si="58"/>
        <v/>
      </c>
      <c r="N424" t="s">
        <v>822</v>
      </c>
      <c r="O424" s="17">
        <f t="shared" si="59"/>
        <v>45868</v>
      </c>
      <c r="P424" s="25">
        <f t="shared" si="60"/>
        <v>562</v>
      </c>
      <c r="Q424" t="str">
        <f t="shared" si="61"/>
        <v>90+</v>
      </c>
      <c r="R424" t="str">
        <f t="shared" si="62"/>
        <v>Due</v>
      </c>
    </row>
    <row r="425" spans="1:18" x14ac:dyDescent="0.35">
      <c r="A425" t="s">
        <v>432</v>
      </c>
      <c r="B425" t="s">
        <v>810</v>
      </c>
      <c r="C425" s="9">
        <v>45342</v>
      </c>
      <c r="D425" s="28" t="str">
        <f t="shared" si="54"/>
        <v>Feb 2024</v>
      </c>
      <c r="E425" s="9">
        <v>45372</v>
      </c>
      <c r="F425" t="s">
        <v>814</v>
      </c>
      <c r="G425">
        <v>1830.17</v>
      </c>
      <c r="H425" t="s">
        <v>819</v>
      </c>
      <c r="I425" s="15">
        <f t="shared" si="55"/>
        <v>0</v>
      </c>
      <c r="J425" s="18">
        <f t="shared" si="56"/>
        <v>1830.17</v>
      </c>
      <c r="L425" s="54" t="str">
        <f t="shared" si="57"/>
        <v/>
      </c>
      <c r="M425" s="9" t="str">
        <f t="shared" si="58"/>
        <v/>
      </c>
      <c r="N425" t="s">
        <v>822</v>
      </c>
      <c r="O425" s="17">
        <f t="shared" si="59"/>
        <v>45868</v>
      </c>
      <c r="P425" s="25">
        <f t="shared" si="60"/>
        <v>496</v>
      </c>
      <c r="Q425" t="str">
        <f t="shared" si="61"/>
        <v>90+</v>
      </c>
      <c r="R425" t="str">
        <f t="shared" si="62"/>
        <v>Due</v>
      </c>
    </row>
    <row r="426" spans="1:18" x14ac:dyDescent="0.35">
      <c r="A426" t="s">
        <v>433</v>
      </c>
      <c r="B426" t="s">
        <v>810</v>
      </c>
      <c r="C426" s="9">
        <v>45061</v>
      </c>
      <c r="D426" s="28" t="str">
        <f t="shared" si="54"/>
        <v>May 2023</v>
      </c>
      <c r="E426" s="9">
        <v>45091</v>
      </c>
      <c r="F426" t="s">
        <v>815</v>
      </c>
      <c r="G426">
        <v>3062.41</v>
      </c>
      <c r="H426" t="s">
        <v>819</v>
      </c>
      <c r="I426" s="15">
        <f t="shared" si="55"/>
        <v>0</v>
      </c>
      <c r="J426" s="18">
        <f t="shared" si="56"/>
        <v>3062.41</v>
      </c>
      <c r="L426" s="54" t="str">
        <f t="shared" si="57"/>
        <v/>
      </c>
      <c r="M426" s="9" t="str">
        <f t="shared" si="58"/>
        <v/>
      </c>
      <c r="N426" t="s">
        <v>822</v>
      </c>
      <c r="O426" s="17">
        <f t="shared" si="59"/>
        <v>45868</v>
      </c>
      <c r="P426" s="25">
        <f t="shared" si="60"/>
        <v>777</v>
      </c>
      <c r="Q426" t="str">
        <f t="shared" si="61"/>
        <v>90+</v>
      </c>
      <c r="R426" t="str">
        <f t="shared" si="62"/>
        <v>Due</v>
      </c>
    </row>
    <row r="427" spans="1:18" x14ac:dyDescent="0.35">
      <c r="A427" t="s">
        <v>434</v>
      </c>
      <c r="B427" t="s">
        <v>809</v>
      </c>
      <c r="C427" s="9">
        <v>45086</v>
      </c>
      <c r="D427" s="28" t="str">
        <f t="shared" si="54"/>
        <v>Jun 2023</v>
      </c>
      <c r="E427" s="9">
        <v>45116</v>
      </c>
      <c r="F427" t="s">
        <v>815</v>
      </c>
      <c r="G427">
        <v>2213.91</v>
      </c>
      <c r="H427" t="s">
        <v>821</v>
      </c>
      <c r="I427" s="15">
        <f t="shared" si="55"/>
        <v>2213.91</v>
      </c>
      <c r="J427" s="18">
        <f t="shared" si="56"/>
        <v>0</v>
      </c>
      <c r="K427" s="9">
        <v>45116</v>
      </c>
      <c r="L427" s="54">
        <f t="shared" si="57"/>
        <v>30</v>
      </c>
      <c r="M427" s="9" t="str">
        <f t="shared" si="58"/>
        <v>2023-Jul</v>
      </c>
      <c r="N427" t="s">
        <v>822</v>
      </c>
      <c r="O427" s="17">
        <f t="shared" si="59"/>
        <v>45868</v>
      </c>
      <c r="P427" s="25">
        <f t="shared" si="60"/>
        <v>0</v>
      </c>
      <c r="Q427" t="str">
        <f t="shared" si="61"/>
        <v>Paid</v>
      </c>
      <c r="R427" t="str">
        <f t="shared" si="62"/>
        <v>Not Due</v>
      </c>
    </row>
    <row r="428" spans="1:18" x14ac:dyDescent="0.35">
      <c r="A428" t="s">
        <v>435</v>
      </c>
      <c r="B428" t="s">
        <v>811</v>
      </c>
      <c r="C428" s="9">
        <v>45653</v>
      </c>
      <c r="D428" s="28" t="str">
        <f t="shared" si="54"/>
        <v>Dec 2024</v>
      </c>
      <c r="E428" s="9">
        <v>45683</v>
      </c>
      <c r="F428" t="s">
        <v>818</v>
      </c>
      <c r="G428">
        <v>1168.28</v>
      </c>
      <c r="H428" t="s">
        <v>820</v>
      </c>
      <c r="I428" s="15">
        <f t="shared" si="55"/>
        <v>0</v>
      </c>
      <c r="J428" s="18" t="str">
        <f t="shared" si="56"/>
        <v>N/A</v>
      </c>
      <c r="L428" s="54" t="str">
        <f t="shared" si="57"/>
        <v/>
      </c>
      <c r="M428" s="9" t="str">
        <f t="shared" si="58"/>
        <v/>
      </c>
      <c r="N428" t="s">
        <v>822</v>
      </c>
      <c r="O428" s="17">
        <f t="shared" si="59"/>
        <v>45868</v>
      </c>
      <c r="P428" s="25">
        <f t="shared" si="60"/>
        <v>185</v>
      </c>
      <c r="Q428" t="str">
        <f t="shared" si="61"/>
        <v>90+</v>
      </c>
      <c r="R428" t="str">
        <f t="shared" si="62"/>
        <v>Due</v>
      </c>
    </row>
    <row r="429" spans="1:18" x14ac:dyDescent="0.35">
      <c r="A429" t="s">
        <v>436</v>
      </c>
      <c r="B429" t="s">
        <v>809</v>
      </c>
      <c r="C429" s="9">
        <v>45115</v>
      </c>
      <c r="D429" s="28" t="str">
        <f t="shared" si="54"/>
        <v>Jul 2023</v>
      </c>
      <c r="E429" s="9">
        <v>45145</v>
      </c>
      <c r="F429" t="s">
        <v>817</v>
      </c>
      <c r="G429">
        <v>4738.84</v>
      </c>
      <c r="H429" t="s">
        <v>820</v>
      </c>
      <c r="I429" s="15">
        <f t="shared" si="55"/>
        <v>0</v>
      </c>
      <c r="J429" s="18" t="str">
        <f t="shared" si="56"/>
        <v>N/A</v>
      </c>
      <c r="L429" s="54" t="str">
        <f t="shared" si="57"/>
        <v/>
      </c>
      <c r="M429" s="9" t="str">
        <f t="shared" si="58"/>
        <v/>
      </c>
      <c r="N429" t="s">
        <v>822</v>
      </c>
      <c r="O429" s="17">
        <f t="shared" si="59"/>
        <v>45868</v>
      </c>
      <c r="P429" s="25">
        <f t="shared" si="60"/>
        <v>723</v>
      </c>
      <c r="Q429" t="str">
        <f t="shared" si="61"/>
        <v>90+</v>
      </c>
      <c r="R429" t="str">
        <f t="shared" si="62"/>
        <v>Due</v>
      </c>
    </row>
    <row r="430" spans="1:18" x14ac:dyDescent="0.35">
      <c r="A430" t="s">
        <v>437</v>
      </c>
      <c r="B430" t="s">
        <v>809</v>
      </c>
      <c r="C430" s="9">
        <v>45179</v>
      </c>
      <c r="D430" s="28" t="str">
        <f t="shared" si="54"/>
        <v>Sep 2023</v>
      </c>
      <c r="E430" s="9">
        <v>45209</v>
      </c>
      <c r="F430" t="s">
        <v>815</v>
      </c>
      <c r="G430">
        <v>1999.88</v>
      </c>
      <c r="H430" t="s">
        <v>820</v>
      </c>
      <c r="I430" s="15">
        <f t="shared" si="55"/>
        <v>0</v>
      </c>
      <c r="J430" s="18" t="str">
        <f t="shared" si="56"/>
        <v>N/A</v>
      </c>
      <c r="L430" s="54" t="str">
        <f t="shared" si="57"/>
        <v/>
      </c>
      <c r="M430" s="9" t="str">
        <f t="shared" si="58"/>
        <v/>
      </c>
      <c r="N430" t="s">
        <v>822</v>
      </c>
      <c r="O430" s="17">
        <f t="shared" si="59"/>
        <v>45868</v>
      </c>
      <c r="P430" s="25">
        <f t="shared" si="60"/>
        <v>659</v>
      </c>
      <c r="Q430" t="str">
        <f t="shared" si="61"/>
        <v>90+</v>
      </c>
      <c r="R430" t="str">
        <f t="shared" si="62"/>
        <v>Due</v>
      </c>
    </row>
    <row r="431" spans="1:18" x14ac:dyDescent="0.35">
      <c r="A431" t="s">
        <v>438</v>
      </c>
      <c r="B431" t="s">
        <v>809</v>
      </c>
      <c r="C431" s="9">
        <v>45641</v>
      </c>
      <c r="D431" s="28" t="str">
        <f t="shared" si="54"/>
        <v>Dec 2024</v>
      </c>
      <c r="E431" s="9">
        <v>45671</v>
      </c>
      <c r="F431" t="s">
        <v>816</v>
      </c>
      <c r="G431">
        <v>3917.88</v>
      </c>
      <c r="H431" t="s">
        <v>819</v>
      </c>
      <c r="I431" s="15">
        <f t="shared" si="55"/>
        <v>0</v>
      </c>
      <c r="J431" s="18">
        <f t="shared" si="56"/>
        <v>3917.88</v>
      </c>
      <c r="L431" s="54" t="str">
        <f t="shared" si="57"/>
        <v/>
      </c>
      <c r="M431" s="9" t="str">
        <f t="shared" si="58"/>
        <v/>
      </c>
      <c r="N431" t="s">
        <v>822</v>
      </c>
      <c r="O431" s="17">
        <f t="shared" si="59"/>
        <v>45868</v>
      </c>
      <c r="P431" s="25">
        <f t="shared" si="60"/>
        <v>197</v>
      </c>
      <c r="Q431" t="str">
        <f t="shared" si="61"/>
        <v>90+</v>
      </c>
      <c r="R431" t="str">
        <f t="shared" si="62"/>
        <v>Due</v>
      </c>
    </row>
    <row r="432" spans="1:18" x14ac:dyDescent="0.35">
      <c r="A432" t="s">
        <v>439</v>
      </c>
      <c r="B432" t="s">
        <v>811</v>
      </c>
      <c r="C432" s="9">
        <v>45447</v>
      </c>
      <c r="D432" s="28" t="str">
        <f t="shared" si="54"/>
        <v>Jun 2024</v>
      </c>
      <c r="E432" s="9">
        <v>45477</v>
      </c>
      <c r="F432" t="s">
        <v>818</v>
      </c>
      <c r="G432">
        <v>1679.91</v>
      </c>
      <c r="H432" t="s">
        <v>819</v>
      </c>
      <c r="I432" s="15">
        <f t="shared" si="55"/>
        <v>0</v>
      </c>
      <c r="J432" s="18">
        <f t="shared" si="56"/>
        <v>1679.91</v>
      </c>
      <c r="L432" s="54" t="str">
        <f t="shared" si="57"/>
        <v/>
      </c>
      <c r="M432" s="9" t="str">
        <f t="shared" si="58"/>
        <v/>
      </c>
      <c r="N432" t="s">
        <v>822</v>
      </c>
      <c r="O432" s="17">
        <f t="shared" si="59"/>
        <v>45868</v>
      </c>
      <c r="P432" s="25">
        <f t="shared" si="60"/>
        <v>391</v>
      </c>
      <c r="Q432" t="str">
        <f t="shared" si="61"/>
        <v>90+</v>
      </c>
      <c r="R432" t="str">
        <f t="shared" si="62"/>
        <v>Due</v>
      </c>
    </row>
    <row r="433" spans="1:18" x14ac:dyDescent="0.35">
      <c r="A433" t="s">
        <v>440</v>
      </c>
      <c r="B433" t="s">
        <v>813</v>
      </c>
      <c r="C433" s="9">
        <v>45219</v>
      </c>
      <c r="D433" s="28" t="str">
        <f t="shared" si="54"/>
        <v>Oct 2023</v>
      </c>
      <c r="E433" s="9">
        <v>45249</v>
      </c>
      <c r="F433" t="s">
        <v>817</v>
      </c>
      <c r="G433">
        <v>3148.17</v>
      </c>
      <c r="H433" t="s">
        <v>819</v>
      </c>
      <c r="I433" s="15">
        <f t="shared" si="55"/>
        <v>0</v>
      </c>
      <c r="J433" s="18">
        <f t="shared" si="56"/>
        <v>3148.17</v>
      </c>
      <c r="L433" s="54" t="str">
        <f t="shared" si="57"/>
        <v/>
      </c>
      <c r="M433" s="9" t="str">
        <f t="shared" si="58"/>
        <v/>
      </c>
      <c r="N433" t="s">
        <v>822</v>
      </c>
      <c r="O433" s="17">
        <f t="shared" si="59"/>
        <v>45868</v>
      </c>
      <c r="P433" s="25">
        <f t="shared" si="60"/>
        <v>619</v>
      </c>
      <c r="Q433" t="str">
        <f t="shared" si="61"/>
        <v>90+</v>
      </c>
      <c r="R433" t="str">
        <f t="shared" si="62"/>
        <v>Due</v>
      </c>
    </row>
    <row r="434" spans="1:18" x14ac:dyDescent="0.35">
      <c r="A434" t="s">
        <v>441</v>
      </c>
      <c r="B434" t="s">
        <v>813</v>
      </c>
      <c r="C434" s="9">
        <v>45573</v>
      </c>
      <c r="D434" s="28" t="str">
        <f t="shared" si="54"/>
        <v>Oct 2024</v>
      </c>
      <c r="E434" s="9">
        <v>45603</v>
      </c>
      <c r="F434" t="s">
        <v>816</v>
      </c>
      <c r="G434">
        <v>1872.62</v>
      </c>
      <c r="H434" t="s">
        <v>821</v>
      </c>
      <c r="I434" s="15">
        <f t="shared" si="55"/>
        <v>1872.62</v>
      </c>
      <c r="J434" s="18">
        <f t="shared" si="56"/>
        <v>0</v>
      </c>
      <c r="K434" s="9">
        <v>45603</v>
      </c>
      <c r="L434" s="54">
        <f t="shared" si="57"/>
        <v>30</v>
      </c>
      <c r="M434" s="9" t="str">
        <f t="shared" si="58"/>
        <v>2024-Nov</v>
      </c>
      <c r="N434" t="s">
        <v>822</v>
      </c>
      <c r="O434" s="17">
        <f t="shared" si="59"/>
        <v>45868</v>
      </c>
      <c r="P434" s="25">
        <f t="shared" si="60"/>
        <v>0</v>
      </c>
      <c r="Q434" t="str">
        <f t="shared" si="61"/>
        <v>Paid</v>
      </c>
      <c r="R434" t="str">
        <f t="shared" si="62"/>
        <v>Not Due</v>
      </c>
    </row>
    <row r="435" spans="1:18" x14ac:dyDescent="0.35">
      <c r="A435" t="s">
        <v>442</v>
      </c>
      <c r="B435" t="s">
        <v>812</v>
      </c>
      <c r="C435" s="9">
        <v>45699</v>
      </c>
      <c r="D435" s="28" t="str">
        <f t="shared" si="54"/>
        <v>Feb 2025</v>
      </c>
      <c r="E435" s="9">
        <v>45729</v>
      </c>
      <c r="F435" t="s">
        <v>816</v>
      </c>
      <c r="G435">
        <v>374.13</v>
      </c>
      <c r="H435" t="s">
        <v>819</v>
      </c>
      <c r="I435" s="15">
        <f t="shared" si="55"/>
        <v>0</v>
      </c>
      <c r="J435" s="18">
        <f t="shared" si="56"/>
        <v>374.13</v>
      </c>
      <c r="L435" s="54" t="str">
        <f t="shared" si="57"/>
        <v/>
      </c>
      <c r="M435" s="9" t="str">
        <f t="shared" si="58"/>
        <v/>
      </c>
      <c r="N435" t="s">
        <v>822</v>
      </c>
      <c r="O435" s="17">
        <f t="shared" si="59"/>
        <v>45868</v>
      </c>
      <c r="P435" s="25">
        <f t="shared" si="60"/>
        <v>139</v>
      </c>
      <c r="Q435" t="str">
        <f t="shared" si="61"/>
        <v>90+</v>
      </c>
      <c r="R435" t="str">
        <f t="shared" si="62"/>
        <v>Due</v>
      </c>
    </row>
    <row r="436" spans="1:18" x14ac:dyDescent="0.35">
      <c r="A436" t="s">
        <v>443</v>
      </c>
      <c r="B436" t="s">
        <v>809</v>
      </c>
      <c r="C436" s="9">
        <v>45016</v>
      </c>
      <c r="D436" s="28" t="str">
        <f t="shared" si="54"/>
        <v>Mar 2023</v>
      </c>
      <c r="E436" s="9">
        <v>45046</v>
      </c>
      <c r="F436" t="s">
        <v>814</v>
      </c>
      <c r="G436">
        <v>2648.01</v>
      </c>
      <c r="H436" t="s">
        <v>820</v>
      </c>
      <c r="I436" s="15">
        <f t="shared" si="55"/>
        <v>0</v>
      </c>
      <c r="J436" s="18" t="str">
        <f t="shared" si="56"/>
        <v>N/A</v>
      </c>
      <c r="L436" s="54" t="str">
        <f t="shared" si="57"/>
        <v/>
      </c>
      <c r="M436" s="9" t="str">
        <f t="shared" si="58"/>
        <v/>
      </c>
      <c r="N436" t="s">
        <v>822</v>
      </c>
      <c r="O436" s="17">
        <f t="shared" si="59"/>
        <v>45868</v>
      </c>
      <c r="P436" s="25">
        <f t="shared" si="60"/>
        <v>822</v>
      </c>
      <c r="Q436" t="str">
        <f t="shared" si="61"/>
        <v>90+</v>
      </c>
      <c r="R436" t="str">
        <f t="shared" si="62"/>
        <v>Due</v>
      </c>
    </row>
    <row r="437" spans="1:18" x14ac:dyDescent="0.35">
      <c r="A437" t="s">
        <v>444</v>
      </c>
      <c r="B437" t="s">
        <v>812</v>
      </c>
      <c r="C437" s="9">
        <v>45181</v>
      </c>
      <c r="D437" s="28" t="str">
        <f t="shared" si="54"/>
        <v>Sep 2023</v>
      </c>
      <c r="E437" s="9">
        <v>45211</v>
      </c>
      <c r="F437" t="s">
        <v>815</v>
      </c>
      <c r="G437">
        <v>578.29999999999995</v>
      </c>
      <c r="H437" t="s">
        <v>821</v>
      </c>
      <c r="I437" s="15">
        <f t="shared" si="55"/>
        <v>578.29999999999995</v>
      </c>
      <c r="J437" s="18">
        <f t="shared" si="56"/>
        <v>0</v>
      </c>
      <c r="K437" s="9">
        <v>45211</v>
      </c>
      <c r="L437" s="54">
        <f t="shared" si="57"/>
        <v>30</v>
      </c>
      <c r="M437" s="9" t="str">
        <f t="shared" si="58"/>
        <v>2023-Oct</v>
      </c>
      <c r="N437" t="s">
        <v>822</v>
      </c>
      <c r="O437" s="17">
        <f t="shared" si="59"/>
        <v>45868</v>
      </c>
      <c r="P437" s="25">
        <f t="shared" si="60"/>
        <v>0</v>
      </c>
      <c r="Q437" t="str">
        <f t="shared" si="61"/>
        <v>Paid</v>
      </c>
      <c r="R437" t="str">
        <f t="shared" si="62"/>
        <v>Not Due</v>
      </c>
    </row>
    <row r="438" spans="1:18" x14ac:dyDescent="0.35">
      <c r="A438" t="s">
        <v>445</v>
      </c>
      <c r="B438" t="s">
        <v>811</v>
      </c>
      <c r="C438" s="9">
        <v>44964</v>
      </c>
      <c r="D438" s="28" t="str">
        <f t="shared" si="54"/>
        <v>Feb 2023</v>
      </c>
      <c r="E438" s="9">
        <v>44994</v>
      </c>
      <c r="F438" t="s">
        <v>818</v>
      </c>
      <c r="G438">
        <v>1867.7</v>
      </c>
      <c r="H438" t="s">
        <v>819</v>
      </c>
      <c r="I438" s="15">
        <f t="shared" si="55"/>
        <v>0</v>
      </c>
      <c r="J438" s="18">
        <f t="shared" si="56"/>
        <v>1867.7</v>
      </c>
      <c r="L438" s="54" t="str">
        <f t="shared" si="57"/>
        <v/>
      </c>
      <c r="M438" s="9" t="str">
        <f t="shared" si="58"/>
        <v/>
      </c>
      <c r="N438" t="s">
        <v>822</v>
      </c>
      <c r="O438" s="17">
        <f t="shared" si="59"/>
        <v>45868</v>
      </c>
      <c r="P438" s="25">
        <f t="shared" si="60"/>
        <v>874</v>
      </c>
      <c r="Q438" t="str">
        <f t="shared" si="61"/>
        <v>90+</v>
      </c>
      <c r="R438" t="str">
        <f t="shared" si="62"/>
        <v>Due</v>
      </c>
    </row>
    <row r="439" spans="1:18" x14ac:dyDescent="0.35">
      <c r="A439" t="s">
        <v>446</v>
      </c>
      <c r="B439" t="s">
        <v>812</v>
      </c>
      <c r="C439" s="9">
        <v>45210</v>
      </c>
      <c r="D439" s="28" t="str">
        <f t="shared" si="54"/>
        <v>Oct 2023</v>
      </c>
      <c r="E439" s="9">
        <v>45240</v>
      </c>
      <c r="F439" t="s">
        <v>817</v>
      </c>
      <c r="G439">
        <v>4967.66</v>
      </c>
      <c r="H439" t="s">
        <v>821</v>
      </c>
      <c r="I439" s="15">
        <f t="shared" si="55"/>
        <v>4967.66</v>
      </c>
      <c r="J439" s="18">
        <f t="shared" si="56"/>
        <v>0</v>
      </c>
      <c r="K439" s="9">
        <v>45240</v>
      </c>
      <c r="L439" s="54">
        <f t="shared" si="57"/>
        <v>30</v>
      </c>
      <c r="M439" s="9" t="str">
        <f t="shared" si="58"/>
        <v>2023-Nov</v>
      </c>
      <c r="N439" t="s">
        <v>822</v>
      </c>
      <c r="O439" s="17">
        <f t="shared" si="59"/>
        <v>45868</v>
      </c>
      <c r="P439" s="25">
        <f t="shared" si="60"/>
        <v>0</v>
      </c>
      <c r="Q439" t="str">
        <f t="shared" si="61"/>
        <v>Paid</v>
      </c>
      <c r="R439" t="str">
        <f t="shared" si="62"/>
        <v>Not Due</v>
      </c>
    </row>
    <row r="440" spans="1:18" x14ac:dyDescent="0.35">
      <c r="A440" t="s">
        <v>447</v>
      </c>
      <c r="B440" t="s">
        <v>809</v>
      </c>
      <c r="C440" s="9">
        <v>45361</v>
      </c>
      <c r="D440" s="28" t="str">
        <f t="shared" si="54"/>
        <v>Mar 2024</v>
      </c>
      <c r="E440" s="9">
        <v>45391</v>
      </c>
      <c r="F440" t="s">
        <v>814</v>
      </c>
      <c r="G440">
        <v>609.04</v>
      </c>
      <c r="H440" t="s">
        <v>819</v>
      </c>
      <c r="I440" s="15">
        <f t="shared" si="55"/>
        <v>0</v>
      </c>
      <c r="J440" s="18">
        <f t="shared" si="56"/>
        <v>609.04</v>
      </c>
      <c r="L440" s="54" t="str">
        <f t="shared" si="57"/>
        <v/>
      </c>
      <c r="M440" s="9" t="str">
        <f t="shared" si="58"/>
        <v/>
      </c>
      <c r="N440" t="s">
        <v>822</v>
      </c>
      <c r="O440" s="17">
        <f t="shared" si="59"/>
        <v>45868</v>
      </c>
      <c r="P440" s="25">
        <f t="shared" si="60"/>
        <v>477</v>
      </c>
      <c r="Q440" t="str">
        <f t="shared" si="61"/>
        <v>90+</v>
      </c>
      <c r="R440" t="str">
        <f t="shared" si="62"/>
        <v>Due</v>
      </c>
    </row>
    <row r="441" spans="1:18" x14ac:dyDescent="0.35">
      <c r="A441" t="s">
        <v>448</v>
      </c>
      <c r="B441" t="s">
        <v>811</v>
      </c>
      <c r="C441" s="9">
        <v>45075</v>
      </c>
      <c r="D441" s="28" t="str">
        <f t="shared" si="54"/>
        <v>May 2023</v>
      </c>
      <c r="E441" s="9">
        <v>45105</v>
      </c>
      <c r="F441" t="s">
        <v>814</v>
      </c>
      <c r="G441">
        <v>4057.95</v>
      </c>
      <c r="H441" t="s">
        <v>821</v>
      </c>
      <c r="I441" s="15">
        <f t="shared" si="55"/>
        <v>4057.95</v>
      </c>
      <c r="J441" s="18">
        <f t="shared" si="56"/>
        <v>0</v>
      </c>
      <c r="K441" s="9">
        <v>45105</v>
      </c>
      <c r="L441" s="54">
        <f t="shared" si="57"/>
        <v>30</v>
      </c>
      <c r="M441" s="9" t="str">
        <f t="shared" si="58"/>
        <v>2023-Jun</v>
      </c>
      <c r="N441" t="s">
        <v>822</v>
      </c>
      <c r="O441" s="17">
        <f t="shared" si="59"/>
        <v>45868</v>
      </c>
      <c r="P441" s="25">
        <f t="shared" si="60"/>
        <v>0</v>
      </c>
      <c r="Q441" t="str">
        <f t="shared" si="61"/>
        <v>Paid</v>
      </c>
      <c r="R441" t="str">
        <f t="shared" si="62"/>
        <v>Not Due</v>
      </c>
    </row>
    <row r="442" spans="1:18" x14ac:dyDescent="0.35">
      <c r="A442" t="s">
        <v>449</v>
      </c>
      <c r="B442" t="s">
        <v>810</v>
      </c>
      <c r="C442" s="9">
        <v>44961</v>
      </c>
      <c r="D442" s="28" t="str">
        <f t="shared" si="54"/>
        <v>Feb 2023</v>
      </c>
      <c r="E442" s="9">
        <v>44991</v>
      </c>
      <c r="F442" t="s">
        <v>814</v>
      </c>
      <c r="G442">
        <v>2621.11</v>
      </c>
      <c r="H442" t="s">
        <v>821</v>
      </c>
      <c r="I442" s="15">
        <f t="shared" si="55"/>
        <v>2621.11</v>
      </c>
      <c r="J442" s="18">
        <f t="shared" si="56"/>
        <v>0</v>
      </c>
      <c r="K442" s="9">
        <v>44991</v>
      </c>
      <c r="L442" s="54">
        <f t="shared" si="57"/>
        <v>30</v>
      </c>
      <c r="M442" s="9" t="str">
        <f t="shared" si="58"/>
        <v>2023-Mar</v>
      </c>
      <c r="N442" t="s">
        <v>822</v>
      </c>
      <c r="O442" s="17">
        <f t="shared" si="59"/>
        <v>45868</v>
      </c>
      <c r="P442" s="25">
        <f t="shared" si="60"/>
        <v>0</v>
      </c>
      <c r="Q442" t="str">
        <f t="shared" si="61"/>
        <v>Paid</v>
      </c>
      <c r="R442" t="str">
        <f t="shared" si="62"/>
        <v>Not Due</v>
      </c>
    </row>
    <row r="443" spans="1:18" x14ac:dyDescent="0.35">
      <c r="A443" t="s">
        <v>450</v>
      </c>
      <c r="B443" t="s">
        <v>813</v>
      </c>
      <c r="C443" s="9">
        <v>45210</v>
      </c>
      <c r="D443" s="28" t="str">
        <f t="shared" si="54"/>
        <v>Oct 2023</v>
      </c>
      <c r="E443" s="9">
        <v>45240</v>
      </c>
      <c r="F443" t="s">
        <v>816</v>
      </c>
      <c r="G443">
        <v>4785.03</v>
      </c>
      <c r="H443" t="s">
        <v>821</v>
      </c>
      <c r="I443" s="15">
        <f t="shared" si="55"/>
        <v>4785.03</v>
      </c>
      <c r="J443" s="18">
        <f t="shared" si="56"/>
        <v>0</v>
      </c>
      <c r="K443" s="9">
        <v>45240</v>
      </c>
      <c r="L443" s="54">
        <f t="shared" si="57"/>
        <v>30</v>
      </c>
      <c r="M443" s="9" t="str">
        <f t="shared" si="58"/>
        <v>2023-Nov</v>
      </c>
      <c r="N443" t="s">
        <v>822</v>
      </c>
      <c r="O443" s="17">
        <f t="shared" si="59"/>
        <v>45868</v>
      </c>
      <c r="P443" s="25">
        <f t="shared" si="60"/>
        <v>0</v>
      </c>
      <c r="Q443" t="str">
        <f t="shared" si="61"/>
        <v>Paid</v>
      </c>
      <c r="R443" t="str">
        <f t="shared" si="62"/>
        <v>Not Due</v>
      </c>
    </row>
    <row r="444" spans="1:18" x14ac:dyDescent="0.35">
      <c r="A444" t="s">
        <v>451</v>
      </c>
      <c r="B444" t="s">
        <v>810</v>
      </c>
      <c r="C444" s="9">
        <v>45756</v>
      </c>
      <c r="D444" s="28" t="str">
        <f t="shared" si="54"/>
        <v>Apr 2025</v>
      </c>
      <c r="E444" s="9">
        <v>45786</v>
      </c>
      <c r="F444" t="s">
        <v>815</v>
      </c>
      <c r="G444">
        <v>2749.87</v>
      </c>
      <c r="H444" t="s">
        <v>819</v>
      </c>
      <c r="I444" s="15">
        <f t="shared" si="55"/>
        <v>0</v>
      </c>
      <c r="J444" s="18">
        <f t="shared" si="56"/>
        <v>2749.87</v>
      </c>
      <c r="L444" s="54" t="str">
        <f t="shared" si="57"/>
        <v/>
      </c>
      <c r="M444" s="9" t="str">
        <f t="shared" si="58"/>
        <v/>
      </c>
      <c r="N444" t="s">
        <v>822</v>
      </c>
      <c r="O444" s="17">
        <f t="shared" si="59"/>
        <v>45868</v>
      </c>
      <c r="P444" s="25">
        <f t="shared" si="60"/>
        <v>82</v>
      </c>
      <c r="Q444" t="str">
        <f t="shared" si="61"/>
        <v>61-90</v>
      </c>
      <c r="R444" t="str">
        <f t="shared" si="62"/>
        <v>Due</v>
      </c>
    </row>
    <row r="445" spans="1:18" x14ac:dyDescent="0.35">
      <c r="A445" t="s">
        <v>452</v>
      </c>
      <c r="B445" t="s">
        <v>811</v>
      </c>
      <c r="C445" s="9">
        <v>45063</v>
      </c>
      <c r="D445" s="28" t="str">
        <f t="shared" si="54"/>
        <v>May 2023</v>
      </c>
      <c r="E445" s="9">
        <v>45093</v>
      </c>
      <c r="F445" t="s">
        <v>818</v>
      </c>
      <c r="G445">
        <v>2821.27</v>
      </c>
      <c r="H445" t="s">
        <v>821</v>
      </c>
      <c r="I445" s="15">
        <f t="shared" si="55"/>
        <v>2821.27</v>
      </c>
      <c r="J445" s="18">
        <f t="shared" si="56"/>
        <v>0</v>
      </c>
      <c r="K445" s="9">
        <v>45093</v>
      </c>
      <c r="L445" s="54">
        <f t="shared" si="57"/>
        <v>30</v>
      </c>
      <c r="M445" s="9" t="str">
        <f t="shared" si="58"/>
        <v>2023-Jun</v>
      </c>
      <c r="N445" t="s">
        <v>822</v>
      </c>
      <c r="O445" s="17">
        <f t="shared" si="59"/>
        <v>45868</v>
      </c>
      <c r="P445" s="25">
        <f t="shared" si="60"/>
        <v>0</v>
      </c>
      <c r="Q445" t="str">
        <f t="shared" si="61"/>
        <v>Paid</v>
      </c>
      <c r="R445" t="str">
        <f t="shared" si="62"/>
        <v>Not Due</v>
      </c>
    </row>
    <row r="446" spans="1:18" x14ac:dyDescent="0.35">
      <c r="A446" t="s">
        <v>453</v>
      </c>
      <c r="B446" t="s">
        <v>811</v>
      </c>
      <c r="C446" s="9">
        <v>45007</v>
      </c>
      <c r="D446" s="28" t="str">
        <f t="shared" si="54"/>
        <v>Mar 2023</v>
      </c>
      <c r="E446" s="9">
        <v>45037</v>
      </c>
      <c r="F446" t="s">
        <v>816</v>
      </c>
      <c r="G446">
        <v>6714.86</v>
      </c>
      <c r="H446" t="s">
        <v>820</v>
      </c>
      <c r="I446" s="15">
        <f t="shared" si="55"/>
        <v>0</v>
      </c>
      <c r="J446" s="18" t="str">
        <f t="shared" si="56"/>
        <v>N/A</v>
      </c>
      <c r="L446" s="54" t="str">
        <f t="shared" si="57"/>
        <v/>
      </c>
      <c r="M446" s="9" t="str">
        <f t="shared" si="58"/>
        <v/>
      </c>
      <c r="N446" t="s">
        <v>822</v>
      </c>
      <c r="O446" s="17">
        <f t="shared" si="59"/>
        <v>45868</v>
      </c>
      <c r="P446" s="25">
        <f t="shared" si="60"/>
        <v>831</v>
      </c>
      <c r="Q446" t="str">
        <f t="shared" si="61"/>
        <v>90+</v>
      </c>
      <c r="R446" t="str">
        <f t="shared" si="62"/>
        <v>Due</v>
      </c>
    </row>
    <row r="447" spans="1:18" x14ac:dyDescent="0.35">
      <c r="A447" t="s">
        <v>454</v>
      </c>
      <c r="B447" t="s">
        <v>811</v>
      </c>
      <c r="C447" s="9">
        <v>45234</v>
      </c>
      <c r="D447" s="28" t="str">
        <f t="shared" si="54"/>
        <v>Nov 2023</v>
      </c>
      <c r="E447" s="9">
        <v>45264</v>
      </c>
      <c r="F447" t="s">
        <v>817</v>
      </c>
      <c r="G447">
        <v>1079.6099999999999</v>
      </c>
      <c r="H447" t="s">
        <v>819</v>
      </c>
      <c r="I447" s="15">
        <f t="shared" si="55"/>
        <v>0</v>
      </c>
      <c r="J447" s="18">
        <f t="shared" si="56"/>
        <v>1079.6099999999999</v>
      </c>
      <c r="L447" s="54" t="str">
        <f t="shared" si="57"/>
        <v/>
      </c>
      <c r="M447" s="9" t="str">
        <f t="shared" si="58"/>
        <v/>
      </c>
      <c r="N447" t="s">
        <v>822</v>
      </c>
      <c r="O447" s="17">
        <f t="shared" si="59"/>
        <v>45868</v>
      </c>
      <c r="P447" s="25">
        <f t="shared" si="60"/>
        <v>604</v>
      </c>
      <c r="Q447" t="str">
        <f t="shared" si="61"/>
        <v>90+</v>
      </c>
      <c r="R447" t="str">
        <f t="shared" si="62"/>
        <v>Due</v>
      </c>
    </row>
    <row r="448" spans="1:18" x14ac:dyDescent="0.35">
      <c r="A448" t="s">
        <v>455</v>
      </c>
      <c r="B448" t="s">
        <v>811</v>
      </c>
      <c r="C448" s="9">
        <v>45072</v>
      </c>
      <c r="D448" s="28" t="str">
        <f t="shared" si="54"/>
        <v>May 2023</v>
      </c>
      <c r="E448" s="9">
        <v>45102</v>
      </c>
      <c r="F448" t="s">
        <v>818</v>
      </c>
      <c r="G448">
        <v>3374.19</v>
      </c>
      <c r="H448" t="s">
        <v>821</v>
      </c>
      <c r="I448" s="15">
        <f t="shared" si="55"/>
        <v>3374.19</v>
      </c>
      <c r="J448" s="18">
        <f t="shared" si="56"/>
        <v>0</v>
      </c>
      <c r="K448" s="9">
        <v>45102</v>
      </c>
      <c r="L448" s="54">
        <f t="shared" si="57"/>
        <v>30</v>
      </c>
      <c r="M448" s="9" t="str">
        <f t="shared" si="58"/>
        <v>2023-Jun</v>
      </c>
      <c r="N448" t="s">
        <v>822</v>
      </c>
      <c r="O448" s="17">
        <f t="shared" si="59"/>
        <v>45868</v>
      </c>
      <c r="P448" s="25">
        <f t="shared" si="60"/>
        <v>0</v>
      </c>
      <c r="Q448" t="str">
        <f t="shared" si="61"/>
        <v>Paid</v>
      </c>
      <c r="R448" t="str">
        <f t="shared" si="62"/>
        <v>Not Due</v>
      </c>
    </row>
    <row r="449" spans="1:18" x14ac:dyDescent="0.35">
      <c r="A449" t="s">
        <v>456</v>
      </c>
      <c r="B449" t="s">
        <v>811</v>
      </c>
      <c r="C449" s="9">
        <v>45264</v>
      </c>
      <c r="D449" s="28" t="str">
        <f t="shared" si="54"/>
        <v>Dec 2023</v>
      </c>
      <c r="E449" s="9">
        <v>45294</v>
      </c>
      <c r="F449" t="s">
        <v>817</v>
      </c>
      <c r="G449">
        <v>705.05</v>
      </c>
      <c r="H449" t="s">
        <v>820</v>
      </c>
      <c r="I449" s="15">
        <f t="shared" si="55"/>
        <v>0</v>
      </c>
      <c r="J449" s="18" t="str">
        <f t="shared" si="56"/>
        <v>N/A</v>
      </c>
      <c r="L449" s="54" t="str">
        <f t="shared" si="57"/>
        <v/>
      </c>
      <c r="M449" s="9" t="str">
        <f t="shared" si="58"/>
        <v/>
      </c>
      <c r="N449" t="s">
        <v>822</v>
      </c>
      <c r="O449" s="17">
        <f t="shared" si="59"/>
        <v>45868</v>
      </c>
      <c r="P449" s="25">
        <f t="shared" si="60"/>
        <v>574</v>
      </c>
      <c r="Q449" t="str">
        <f t="shared" si="61"/>
        <v>90+</v>
      </c>
      <c r="R449" t="str">
        <f t="shared" si="62"/>
        <v>Due</v>
      </c>
    </row>
    <row r="450" spans="1:18" x14ac:dyDescent="0.35">
      <c r="A450" t="s">
        <v>457</v>
      </c>
      <c r="B450" t="s">
        <v>812</v>
      </c>
      <c r="C450" s="9">
        <v>45068</v>
      </c>
      <c r="D450" s="28" t="str">
        <f t="shared" si="54"/>
        <v>May 2023</v>
      </c>
      <c r="E450" s="9">
        <v>45098</v>
      </c>
      <c r="F450" t="s">
        <v>815</v>
      </c>
      <c r="G450">
        <v>862.02</v>
      </c>
      <c r="H450" t="s">
        <v>819</v>
      </c>
      <c r="I450" s="15">
        <f t="shared" si="55"/>
        <v>0</v>
      </c>
      <c r="J450" s="18">
        <f t="shared" si="56"/>
        <v>862.02</v>
      </c>
      <c r="L450" s="54" t="str">
        <f t="shared" si="57"/>
        <v/>
      </c>
      <c r="M450" s="9" t="str">
        <f t="shared" si="58"/>
        <v/>
      </c>
      <c r="N450" t="s">
        <v>822</v>
      </c>
      <c r="O450" s="17">
        <f t="shared" si="59"/>
        <v>45868</v>
      </c>
      <c r="P450" s="25">
        <f t="shared" si="60"/>
        <v>770</v>
      </c>
      <c r="Q450" t="str">
        <f t="shared" si="61"/>
        <v>90+</v>
      </c>
      <c r="R450" t="str">
        <f t="shared" si="62"/>
        <v>Due</v>
      </c>
    </row>
    <row r="451" spans="1:18" x14ac:dyDescent="0.35">
      <c r="A451" t="s">
        <v>458</v>
      </c>
      <c r="B451" t="s">
        <v>812</v>
      </c>
      <c r="C451" s="9">
        <v>45571</v>
      </c>
      <c r="D451" s="28" t="str">
        <f t="shared" ref="D451:D514" si="63">TEXT(C451,"MMM YYYY")</f>
        <v>Oct 2024</v>
      </c>
      <c r="E451" s="9">
        <v>45601</v>
      </c>
      <c r="F451" t="s">
        <v>817</v>
      </c>
      <c r="G451">
        <v>232.29</v>
      </c>
      <c r="H451" t="s">
        <v>821</v>
      </c>
      <c r="I451" s="15">
        <f t="shared" ref="I451:I514" si="64">IF(H451="Paid",G451,0)</f>
        <v>232.29</v>
      </c>
      <c r="J451" s="18">
        <f t="shared" ref="J451:J514" si="65">IF(H451="Open",G451,IF(H451="Paid",0,"N/A"))</f>
        <v>0</v>
      </c>
      <c r="K451" s="9">
        <v>45601</v>
      </c>
      <c r="L451" s="54">
        <f t="shared" ref="L451:L514" si="66">IF(H451="Paid",K451-C451,"")</f>
        <v>30</v>
      </c>
      <c r="M451" s="9" t="str">
        <f t="shared" ref="M451:M514" si="67">IF(K451="","",TEXT(K451, "YYYY-MMM"))</f>
        <v>2024-Nov</v>
      </c>
      <c r="N451" t="s">
        <v>822</v>
      </c>
      <c r="O451" s="17">
        <f t="shared" ref="O451:O514" si="68">MAX(MAX($C$2:$C$801), MAX($E$2:$E$801))</f>
        <v>45868</v>
      </c>
      <c r="P451" s="25">
        <f t="shared" ref="P451:P514" si="69">IF(K451="", O451-E451,0)</f>
        <v>0</v>
      </c>
      <c r="Q451" t="str">
        <f t="shared" ref="Q451:Q514" si="70">IF(H451="Paid","Paid",
   IF(P451&lt;=0,"Current",
      IF(P451&lt;=30,"1-30",
         IF(P451&lt;=60,"31-60",
            IF(P451&lt;=90,"61-90","90+")))))</f>
        <v>Paid</v>
      </c>
      <c r="R451" t="str">
        <f t="shared" ref="R451:R514" si="71">IF(P451=0, "Not Due","Due")</f>
        <v>Not Due</v>
      </c>
    </row>
    <row r="452" spans="1:18" x14ac:dyDescent="0.35">
      <c r="A452" t="s">
        <v>459</v>
      </c>
      <c r="B452" t="s">
        <v>810</v>
      </c>
      <c r="C452" s="9">
        <v>45317</v>
      </c>
      <c r="D452" s="28" t="str">
        <f t="shared" si="63"/>
        <v>Jan 2024</v>
      </c>
      <c r="E452" s="9">
        <v>45347</v>
      </c>
      <c r="F452" t="s">
        <v>814</v>
      </c>
      <c r="G452">
        <v>4893.1099999999997</v>
      </c>
      <c r="H452" t="s">
        <v>820</v>
      </c>
      <c r="I452" s="15">
        <f t="shared" si="64"/>
        <v>0</v>
      </c>
      <c r="J452" s="18" t="str">
        <f t="shared" si="65"/>
        <v>N/A</v>
      </c>
      <c r="L452" s="54" t="str">
        <f t="shared" si="66"/>
        <v/>
      </c>
      <c r="M452" s="9" t="str">
        <f t="shared" si="67"/>
        <v/>
      </c>
      <c r="N452" t="s">
        <v>822</v>
      </c>
      <c r="O452" s="17">
        <f t="shared" si="68"/>
        <v>45868</v>
      </c>
      <c r="P452" s="25">
        <f t="shared" si="69"/>
        <v>521</v>
      </c>
      <c r="Q452" t="str">
        <f t="shared" si="70"/>
        <v>90+</v>
      </c>
      <c r="R452" t="str">
        <f t="shared" si="71"/>
        <v>Due</v>
      </c>
    </row>
    <row r="453" spans="1:18" x14ac:dyDescent="0.35">
      <c r="A453" t="s">
        <v>460</v>
      </c>
      <c r="B453" t="s">
        <v>813</v>
      </c>
      <c r="C453" s="9">
        <v>45315</v>
      </c>
      <c r="D453" s="28" t="str">
        <f t="shared" si="63"/>
        <v>Jan 2024</v>
      </c>
      <c r="E453" s="9">
        <v>45345</v>
      </c>
      <c r="F453" t="s">
        <v>818</v>
      </c>
      <c r="G453">
        <v>2660.25</v>
      </c>
      <c r="H453" t="s">
        <v>821</v>
      </c>
      <c r="I453" s="15">
        <f t="shared" si="64"/>
        <v>2660.25</v>
      </c>
      <c r="J453" s="18">
        <f t="shared" si="65"/>
        <v>0</v>
      </c>
      <c r="K453" s="9">
        <v>45345</v>
      </c>
      <c r="L453" s="54">
        <f t="shared" si="66"/>
        <v>30</v>
      </c>
      <c r="M453" s="9" t="str">
        <f t="shared" si="67"/>
        <v>2024-Feb</v>
      </c>
      <c r="N453" t="s">
        <v>822</v>
      </c>
      <c r="O453" s="17">
        <f t="shared" si="68"/>
        <v>45868</v>
      </c>
      <c r="P453" s="25">
        <f t="shared" si="69"/>
        <v>0</v>
      </c>
      <c r="Q453" t="str">
        <f t="shared" si="70"/>
        <v>Paid</v>
      </c>
      <c r="R453" t="str">
        <f t="shared" si="71"/>
        <v>Not Due</v>
      </c>
    </row>
    <row r="454" spans="1:18" x14ac:dyDescent="0.35">
      <c r="A454" t="s">
        <v>461</v>
      </c>
      <c r="B454" t="s">
        <v>812</v>
      </c>
      <c r="C454" s="9">
        <v>45319</v>
      </c>
      <c r="D454" s="28" t="str">
        <f t="shared" si="63"/>
        <v>Jan 2024</v>
      </c>
      <c r="E454" s="9">
        <v>45349</v>
      </c>
      <c r="F454" t="s">
        <v>817</v>
      </c>
      <c r="G454">
        <v>3133.53</v>
      </c>
      <c r="H454" t="s">
        <v>821</v>
      </c>
      <c r="I454" s="15">
        <f t="shared" si="64"/>
        <v>3133.53</v>
      </c>
      <c r="J454" s="18">
        <f t="shared" si="65"/>
        <v>0</v>
      </c>
      <c r="K454" s="9">
        <v>45349</v>
      </c>
      <c r="L454" s="54">
        <f t="shared" si="66"/>
        <v>30</v>
      </c>
      <c r="M454" s="9" t="str">
        <f t="shared" si="67"/>
        <v>2024-Feb</v>
      </c>
      <c r="N454" t="s">
        <v>822</v>
      </c>
      <c r="O454" s="17">
        <f t="shared" si="68"/>
        <v>45868</v>
      </c>
      <c r="P454" s="25">
        <f t="shared" si="69"/>
        <v>0</v>
      </c>
      <c r="Q454" t="str">
        <f t="shared" si="70"/>
        <v>Paid</v>
      </c>
      <c r="R454" t="str">
        <f t="shared" si="71"/>
        <v>Not Due</v>
      </c>
    </row>
    <row r="455" spans="1:18" x14ac:dyDescent="0.35">
      <c r="A455" t="s">
        <v>462</v>
      </c>
      <c r="B455" t="s">
        <v>809</v>
      </c>
      <c r="C455" s="9">
        <v>45460</v>
      </c>
      <c r="D455" s="28" t="str">
        <f t="shared" si="63"/>
        <v>Jun 2024</v>
      </c>
      <c r="E455" s="9">
        <v>45490</v>
      </c>
      <c r="F455" t="s">
        <v>817</v>
      </c>
      <c r="G455">
        <v>2405.39</v>
      </c>
      <c r="H455" t="s">
        <v>821</v>
      </c>
      <c r="I455" s="15">
        <f t="shared" si="64"/>
        <v>2405.39</v>
      </c>
      <c r="J455" s="18">
        <f t="shared" si="65"/>
        <v>0</v>
      </c>
      <c r="K455" s="9">
        <v>45490</v>
      </c>
      <c r="L455" s="54">
        <f t="shared" si="66"/>
        <v>30</v>
      </c>
      <c r="M455" s="9" t="str">
        <f t="shared" si="67"/>
        <v>2024-Jul</v>
      </c>
      <c r="N455" t="s">
        <v>822</v>
      </c>
      <c r="O455" s="17">
        <f t="shared" si="68"/>
        <v>45868</v>
      </c>
      <c r="P455" s="25">
        <f t="shared" si="69"/>
        <v>0</v>
      </c>
      <c r="Q455" t="str">
        <f t="shared" si="70"/>
        <v>Paid</v>
      </c>
      <c r="R455" t="str">
        <f t="shared" si="71"/>
        <v>Not Due</v>
      </c>
    </row>
    <row r="456" spans="1:18" x14ac:dyDescent="0.35">
      <c r="A456" t="s">
        <v>463</v>
      </c>
      <c r="B456" t="s">
        <v>812</v>
      </c>
      <c r="C456" s="9">
        <v>45302</v>
      </c>
      <c r="D456" s="28" t="str">
        <f t="shared" si="63"/>
        <v>Jan 2024</v>
      </c>
      <c r="E456" s="9">
        <v>45332</v>
      </c>
      <c r="F456" t="s">
        <v>817</v>
      </c>
      <c r="G456">
        <v>1074.8499999999999</v>
      </c>
      <c r="H456" t="s">
        <v>820</v>
      </c>
      <c r="I456" s="15">
        <f t="shared" si="64"/>
        <v>0</v>
      </c>
      <c r="J456" s="18" t="str">
        <f t="shared" si="65"/>
        <v>N/A</v>
      </c>
      <c r="L456" s="54" t="str">
        <f t="shared" si="66"/>
        <v/>
      </c>
      <c r="M456" s="9" t="str">
        <f t="shared" si="67"/>
        <v/>
      </c>
      <c r="N456" t="s">
        <v>822</v>
      </c>
      <c r="O456" s="17">
        <f t="shared" si="68"/>
        <v>45868</v>
      </c>
      <c r="P456" s="25">
        <f t="shared" si="69"/>
        <v>536</v>
      </c>
      <c r="Q456" t="str">
        <f t="shared" si="70"/>
        <v>90+</v>
      </c>
      <c r="R456" t="str">
        <f t="shared" si="71"/>
        <v>Due</v>
      </c>
    </row>
    <row r="457" spans="1:18" x14ac:dyDescent="0.35">
      <c r="A457" t="s">
        <v>464</v>
      </c>
      <c r="B457" t="s">
        <v>811</v>
      </c>
      <c r="C457" s="9">
        <v>45648</v>
      </c>
      <c r="D457" s="28" t="str">
        <f t="shared" si="63"/>
        <v>Dec 2024</v>
      </c>
      <c r="E457" s="9">
        <v>45678</v>
      </c>
      <c r="F457" t="s">
        <v>816</v>
      </c>
      <c r="G457">
        <v>4564.21</v>
      </c>
      <c r="H457" t="s">
        <v>819</v>
      </c>
      <c r="I457" s="15">
        <f t="shared" si="64"/>
        <v>0</v>
      </c>
      <c r="J457" s="18">
        <f t="shared" si="65"/>
        <v>4564.21</v>
      </c>
      <c r="L457" s="54" t="str">
        <f t="shared" si="66"/>
        <v/>
      </c>
      <c r="M457" s="9" t="str">
        <f t="shared" si="67"/>
        <v/>
      </c>
      <c r="N457" t="s">
        <v>822</v>
      </c>
      <c r="O457" s="17">
        <f t="shared" si="68"/>
        <v>45868</v>
      </c>
      <c r="P457" s="25">
        <f t="shared" si="69"/>
        <v>190</v>
      </c>
      <c r="Q457" t="str">
        <f t="shared" si="70"/>
        <v>90+</v>
      </c>
      <c r="R457" t="str">
        <f t="shared" si="71"/>
        <v>Due</v>
      </c>
    </row>
    <row r="458" spans="1:18" x14ac:dyDescent="0.35">
      <c r="A458" t="s">
        <v>465</v>
      </c>
      <c r="B458" t="s">
        <v>813</v>
      </c>
      <c r="C458" s="9">
        <v>45700</v>
      </c>
      <c r="D458" s="28" t="str">
        <f t="shared" si="63"/>
        <v>Feb 2025</v>
      </c>
      <c r="E458" s="9">
        <v>45730</v>
      </c>
      <c r="F458" t="s">
        <v>818</v>
      </c>
      <c r="G458">
        <v>301.97000000000003</v>
      </c>
      <c r="H458" t="s">
        <v>821</v>
      </c>
      <c r="I458" s="15">
        <f t="shared" si="64"/>
        <v>301.97000000000003</v>
      </c>
      <c r="J458" s="18">
        <f t="shared" si="65"/>
        <v>0</v>
      </c>
      <c r="K458" s="9">
        <v>45730</v>
      </c>
      <c r="L458" s="54">
        <f t="shared" si="66"/>
        <v>30</v>
      </c>
      <c r="M458" s="9" t="str">
        <f t="shared" si="67"/>
        <v>2025-Mar</v>
      </c>
      <c r="N458" t="s">
        <v>822</v>
      </c>
      <c r="O458" s="17">
        <f t="shared" si="68"/>
        <v>45868</v>
      </c>
      <c r="P458" s="25">
        <f t="shared" si="69"/>
        <v>0</v>
      </c>
      <c r="Q458" t="str">
        <f t="shared" si="70"/>
        <v>Paid</v>
      </c>
      <c r="R458" t="str">
        <f t="shared" si="71"/>
        <v>Not Due</v>
      </c>
    </row>
    <row r="459" spans="1:18" x14ac:dyDescent="0.35">
      <c r="A459" t="s">
        <v>466</v>
      </c>
      <c r="B459" t="s">
        <v>810</v>
      </c>
      <c r="C459" s="9">
        <v>45376</v>
      </c>
      <c r="D459" s="28" t="str">
        <f t="shared" si="63"/>
        <v>Mar 2024</v>
      </c>
      <c r="E459" s="9">
        <v>45406</v>
      </c>
      <c r="F459" t="s">
        <v>815</v>
      </c>
      <c r="G459">
        <v>1230.48</v>
      </c>
      <c r="H459" t="s">
        <v>819</v>
      </c>
      <c r="I459" s="15">
        <f t="shared" si="64"/>
        <v>0</v>
      </c>
      <c r="J459" s="18">
        <f t="shared" si="65"/>
        <v>1230.48</v>
      </c>
      <c r="L459" s="54" t="str">
        <f t="shared" si="66"/>
        <v/>
      </c>
      <c r="M459" s="9" t="str">
        <f t="shared" si="67"/>
        <v/>
      </c>
      <c r="N459" t="s">
        <v>822</v>
      </c>
      <c r="O459" s="17">
        <f t="shared" si="68"/>
        <v>45868</v>
      </c>
      <c r="P459" s="25">
        <f t="shared" si="69"/>
        <v>462</v>
      </c>
      <c r="Q459" t="str">
        <f t="shared" si="70"/>
        <v>90+</v>
      </c>
      <c r="R459" t="str">
        <f t="shared" si="71"/>
        <v>Due</v>
      </c>
    </row>
    <row r="460" spans="1:18" x14ac:dyDescent="0.35">
      <c r="A460" t="s">
        <v>467</v>
      </c>
      <c r="B460" t="s">
        <v>811</v>
      </c>
      <c r="C460" s="9">
        <v>45397</v>
      </c>
      <c r="D460" s="28" t="str">
        <f t="shared" si="63"/>
        <v>Apr 2024</v>
      </c>
      <c r="E460" s="9">
        <v>45427</v>
      </c>
      <c r="F460" t="s">
        <v>816</v>
      </c>
      <c r="G460">
        <v>2099.6</v>
      </c>
      <c r="H460" t="s">
        <v>821</v>
      </c>
      <c r="I460" s="15">
        <f t="shared" si="64"/>
        <v>2099.6</v>
      </c>
      <c r="J460" s="18">
        <f t="shared" si="65"/>
        <v>0</v>
      </c>
      <c r="K460" s="9">
        <v>45427</v>
      </c>
      <c r="L460" s="54">
        <f t="shared" si="66"/>
        <v>30</v>
      </c>
      <c r="M460" s="9" t="str">
        <f t="shared" si="67"/>
        <v>2024-May</v>
      </c>
      <c r="N460" t="s">
        <v>822</v>
      </c>
      <c r="O460" s="17">
        <f t="shared" si="68"/>
        <v>45868</v>
      </c>
      <c r="P460" s="25">
        <f t="shared" si="69"/>
        <v>0</v>
      </c>
      <c r="Q460" t="str">
        <f t="shared" si="70"/>
        <v>Paid</v>
      </c>
      <c r="R460" t="str">
        <f t="shared" si="71"/>
        <v>Not Due</v>
      </c>
    </row>
    <row r="461" spans="1:18" x14ac:dyDescent="0.35">
      <c r="A461" t="s">
        <v>468</v>
      </c>
      <c r="B461" t="s">
        <v>811</v>
      </c>
      <c r="C461" s="9">
        <v>45198</v>
      </c>
      <c r="D461" s="28" t="str">
        <f t="shared" si="63"/>
        <v>Sep 2023</v>
      </c>
      <c r="E461" s="9">
        <v>45228</v>
      </c>
      <c r="F461" t="s">
        <v>818</v>
      </c>
      <c r="G461">
        <v>2457.35</v>
      </c>
      <c r="H461" t="s">
        <v>820</v>
      </c>
      <c r="I461" s="15">
        <f t="shared" si="64"/>
        <v>0</v>
      </c>
      <c r="J461" s="18" t="str">
        <f t="shared" si="65"/>
        <v>N/A</v>
      </c>
      <c r="L461" s="54" t="str">
        <f t="shared" si="66"/>
        <v/>
      </c>
      <c r="M461" s="9" t="str">
        <f t="shared" si="67"/>
        <v/>
      </c>
      <c r="N461" t="s">
        <v>822</v>
      </c>
      <c r="O461" s="17">
        <f t="shared" si="68"/>
        <v>45868</v>
      </c>
      <c r="P461" s="25">
        <f t="shared" si="69"/>
        <v>640</v>
      </c>
      <c r="Q461" t="str">
        <f t="shared" si="70"/>
        <v>90+</v>
      </c>
      <c r="R461" t="str">
        <f t="shared" si="71"/>
        <v>Due</v>
      </c>
    </row>
    <row r="462" spans="1:18" x14ac:dyDescent="0.35">
      <c r="A462" t="s">
        <v>469</v>
      </c>
      <c r="B462" t="s">
        <v>809</v>
      </c>
      <c r="C462" s="9">
        <v>45779</v>
      </c>
      <c r="D462" s="28" t="str">
        <f t="shared" si="63"/>
        <v>May 2025</v>
      </c>
      <c r="E462" s="9">
        <v>45809</v>
      </c>
      <c r="F462" t="s">
        <v>817</v>
      </c>
      <c r="G462">
        <v>3597.78</v>
      </c>
      <c r="H462" t="s">
        <v>820</v>
      </c>
      <c r="I462" s="15">
        <f t="shared" si="64"/>
        <v>0</v>
      </c>
      <c r="J462" s="18" t="str">
        <f t="shared" si="65"/>
        <v>N/A</v>
      </c>
      <c r="L462" s="54" t="str">
        <f t="shared" si="66"/>
        <v/>
      </c>
      <c r="M462" s="9" t="str">
        <f t="shared" si="67"/>
        <v/>
      </c>
      <c r="N462" t="s">
        <v>822</v>
      </c>
      <c r="O462" s="17">
        <f t="shared" si="68"/>
        <v>45868</v>
      </c>
      <c r="P462" s="25">
        <f t="shared" si="69"/>
        <v>59</v>
      </c>
      <c r="Q462" t="str">
        <f t="shared" si="70"/>
        <v>31-60</v>
      </c>
      <c r="R462" t="str">
        <f t="shared" si="71"/>
        <v>Due</v>
      </c>
    </row>
    <row r="463" spans="1:18" x14ac:dyDescent="0.35">
      <c r="A463" t="s">
        <v>470</v>
      </c>
      <c r="B463" t="s">
        <v>810</v>
      </c>
      <c r="C463" s="9">
        <v>45599</v>
      </c>
      <c r="D463" s="28" t="str">
        <f t="shared" si="63"/>
        <v>Nov 2024</v>
      </c>
      <c r="E463" s="9">
        <v>45629</v>
      </c>
      <c r="F463" t="s">
        <v>814</v>
      </c>
      <c r="G463">
        <v>3076.69</v>
      </c>
      <c r="H463" t="s">
        <v>819</v>
      </c>
      <c r="I463" s="15">
        <f t="shared" si="64"/>
        <v>0</v>
      </c>
      <c r="J463" s="18">
        <f t="shared" si="65"/>
        <v>3076.69</v>
      </c>
      <c r="L463" s="54" t="str">
        <f t="shared" si="66"/>
        <v/>
      </c>
      <c r="M463" s="9" t="str">
        <f t="shared" si="67"/>
        <v/>
      </c>
      <c r="N463" t="s">
        <v>822</v>
      </c>
      <c r="O463" s="17">
        <f t="shared" si="68"/>
        <v>45868</v>
      </c>
      <c r="P463" s="25">
        <f t="shared" si="69"/>
        <v>239</v>
      </c>
      <c r="Q463" t="str">
        <f t="shared" si="70"/>
        <v>90+</v>
      </c>
      <c r="R463" t="str">
        <f t="shared" si="71"/>
        <v>Due</v>
      </c>
    </row>
    <row r="464" spans="1:18" x14ac:dyDescent="0.35">
      <c r="A464" t="s">
        <v>471</v>
      </c>
      <c r="B464" t="s">
        <v>810</v>
      </c>
      <c r="C464" s="9">
        <v>44983</v>
      </c>
      <c r="D464" s="28" t="str">
        <f t="shared" si="63"/>
        <v>Feb 2023</v>
      </c>
      <c r="E464" s="9">
        <v>45013</v>
      </c>
      <c r="F464" t="s">
        <v>818</v>
      </c>
      <c r="G464">
        <v>3402.79</v>
      </c>
      <c r="H464" t="s">
        <v>820</v>
      </c>
      <c r="I464" s="15">
        <f t="shared" si="64"/>
        <v>0</v>
      </c>
      <c r="J464" s="18" t="str">
        <f t="shared" si="65"/>
        <v>N/A</v>
      </c>
      <c r="L464" s="54" t="str">
        <f t="shared" si="66"/>
        <v/>
      </c>
      <c r="M464" s="9" t="str">
        <f t="shared" si="67"/>
        <v/>
      </c>
      <c r="N464" t="s">
        <v>822</v>
      </c>
      <c r="O464" s="17">
        <f t="shared" si="68"/>
        <v>45868</v>
      </c>
      <c r="P464" s="25">
        <f t="shared" si="69"/>
        <v>855</v>
      </c>
      <c r="Q464" t="str">
        <f t="shared" si="70"/>
        <v>90+</v>
      </c>
      <c r="R464" t="str">
        <f t="shared" si="71"/>
        <v>Due</v>
      </c>
    </row>
    <row r="465" spans="1:18" x14ac:dyDescent="0.35">
      <c r="A465" t="s">
        <v>472</v>
      </c>
      <c r="B465" t="s">
        <v>813</v>
      </c>
      <c r="C465" s="9">
        <v>45624</v>
      </c>
      <c r="D465" s="28" t="str">
        <f t="shared" si="63"/>
        <v>Nov 2024</v>
      </c>
      <c r="E465" s="9">
        <v>45654</v>
      </c>
      <c r="F465" t="s">
        <v>815</v>
      </c>
      <c r="G465">
        <v>1126.6099999999999</v>
      </c>
      <c r="H465" t="s">
        <v>820</v>
      </c>
      <c r="I465" s="15">
        <f t="shared" si="64"/>
        <v>0</v>
      </c>
      <c r="J465" s="18" t="str">
        <f t="shared" si="65"/>
        <v>N/A</v>
      </c>
      <c r="L465" s="54" t="str">
        <f t="shared" si="66"/>
        <v/>
      </c>
      <c r="M465" s="9" t="str">
        <f t="shared" si="67"/>
        <v/>
      </c>
      <c r="N465" t="s">
        <v>822</v>
      </c>
      <c r="O465" s="17">
        <f t="shared" si="68"/>
        <v>45868</v>
      </c>
      <c r="P465" s="25">
        <f t="shared" si="69"/>
        <v>214</v>
      </c>
      <c r="Q465" t="str">
        <f t="shared" si="70"/>
        <v>90+</v>
      </c>
      <c r="R465" t="str">
        <f t="shared" si="71"/>
        <v>Due</v>
      </c>
    </row>
    <row r="466" spans="1:18" x14ac:dyDescent="0.35">
      <c r="A466" t="s">
        <v>473</v>
      </c>
      <c r="B466" t="s">
        <v>812</v>
      </c>
      <c r="C466" s="9">
        <v>45374</v>
      </c>
      <c r="D466" s="28" t="str">
        <f t="shared" si="63"/>
        <v>Mar 2024</v>
      </c>
      <c r="E466" s="9">
        <v>45404</v>
      </c>
      <c r="F466" t="s">
        <v>816</v>
      </c>
      <c r="G466">
        <v>2754.27</v>
      </c>
      <c r="H466" t="s">
        <v>819</v>
      </c>
      <c r="I466" s="15">
        <f t="shared" si="64"/>
        <v>0</v>
      </c>
      <c r="J466" s="18">
        <f t="shared" si="65"/>
        <v>2754.27</v>
      </c>
      <c r="L466" s="54" t="str">
        <f t="shared" si="66"/>
        <v/>
      </c>
      <c r="M466" s="9" t="str">
        <f t="shared" si="67"/>
        <v/>
      </c>
      <c r="N466" t="s">
        <v>822</v>
      </c>
      <c r="O466" s="17">
        <f t="shared" si="68"/>
        <v>45868</v>
      </c>
      <c r="P466" s="25">
        <f t="shared" si="69"/>
        <v>464</v>
      </c>
      <c r="Q466" t="str">
        <f t="shared" si="70"/>
        <v>90+</v>
      </c>
      <c r="R466" t="str">
        <f t="shared" si="71"/>
        <v>Due</v>
      </c>
    </row>
    <row r="467" spans="1:18" x14ac:dyDescent="0.35">
      <c r="A467" t="s">
        <v>474</v>
      </c>
      <c r="B467" t="s">
        <v>809</v>
      </c>
      <c r="C467" s="9">
        <v>45574</v>
      </c>
      <c r="D467" s="28" t="str">
        <f t="shared" si="63"/>
        <v>Oct 2024</v>
      </c>
      <c r="E467" s="9">
        <v>45604</v>
      </c>
      <c r="F467" t="s">
        <v>817</v>
      </c>
      <c r="G467">
        <v>1142.8399999999999</v>
      </c>
      <c r="H467" t="s">
        <v>821</v>
      </c>
      <c r="I467" s="15">
        <f t="shared" si="64"/>
        <v>1142.8399999999999</v>
      </c>
      <c r="J467" s="18">
        <f t="shared" si="65"/>
        <v>0</v>
      </c>
      <c r="K467" s="9">
        <v>45604</v>
      </c>
      <c r="L467" s="54">
        <f t="shared" si="66"/>
        <v>30</v>
      </c>
      <c r="M467" s="9" t="str">
        <f t="shared" si="67"/>
        <v>2024-Nov</v>
      </c>
      <c r="N467" t="s">
        <v>822</v>
      </c>
      <c r="O467" s="17">
        <f t="shared" si="68"/>
        <v>45868</v>
      </c>
      <c r="P467" s="25">
        <f t="shared" si="69"/>
        <v>0</v>
      </c>
      <c r="Q467" t="str">
        <f t="shared" si="70"/>
        <v>Paid</v>
      </c>
      <c r="R467" t="str">
        <f t="shared" si="71"/>
        <v>Not Due</v>
      </c>
    </row>
    <row r="468" spans="1:18" x14ac:dyDescent="0.35">
      <c r="A468" t="s">
        <v>475</v>
      </c>
      <c r="B468" t="s">
        <v>812</v>
      </c>
      <c r="C468" s="9">
        <v>45414</v>
      </c>
      <c r="D468" s="28" t="str">
        <f t="shared" si="63"/>
        <v>May 2024</v>
      </c>
      <c r="E468" s="9">
        <v>45444</v>
      </c>
      <c r="F468" t="s">
        <v>816</v>
      </c>
      <c r="G468">
        <v>4622.26</v>
      </c>
      <c r="H468" t="s">
        <v>819</v>
      </c>
      <c r="I468" s="15">
        <f t="shared" si="64"/>
        <v>0</v>
      </c>
      <c r="J468" s="18">
        <f t="shared" si="65"/>
        <v>4622.26</v>
      </c>
      <c r="L468" s="54" t="str">
        <f t="shared" si="66"/>
        <v/>
      </c>
      <c r="M468" s="9" t="str">
        <f t="shared" si="67"/>
        <v/>
      </c>
      <c r="N468" t="s">
        <v>822</v>
      </c>
      <c r="O468" s="17">
        <f t="shared" si="68"/>
        <v>45868</v>
      </c>
      <c r="P468" s="25">
        <f t="shared" si="69"/>
        <v>424</v>
      </c>
      <c r="Q468" t="str">
        <f t="shared" si="70"/>
        <v>90+</v>
      </c>
      <c r="R468" t="str">
        <f t="shared" si="71"/>
        <v>Due</v>
      </c>
    </row>
    <row r="469" spans="1:18" x14ac:dyDescent="0.35">
      <c r="A469" t="s">
        <v>476</v>
      </c>
      <c r="B469" t="s">
        <v>809</v>
      </c>
      <c r="C469" s="9">
        <v>45076</v>
      </c>
      <c r="D469" s="28" t="str">
        <f t="shared" si="63"/>
        <v>May 2023</v>
      </c>
      <c r="E469" s="9">
        <v>45106</v>
      </c>
      <c r="F469" t="s">
        <v>816</v>
      </c>
      <c r="G469">
        <v>6458.68</v>
      </c>
      <c r="H469" t="s">
        <v>820</v>
      </c>
      <c r="I469" s="15">
        <f t="shared" si="64"/>
        <v>0</v>
      </c>
      <c r="J469" s="18" t="str">
        <f t="shared" si="65"/>
        <v>N/A</v>
      </c>
      <c r="L469" s="54" t="str">
        <f t="shared" si="66"/>
        <v/>
      </c>
      <c r="M469" s="9" t="str">
        <f t="shared" si="67"/>
        <v/>
      </c>
      <c r="N469" t="s">
        <v>822</v>
      </c>
      <c r="O469" s="17">
        <f t="shared" si="68"/>
        <v>45868</v>
      </c>
      <c r="P469" s="25">
        <f t="shared" si="69"/>
        <v>762</v>
      </c>
      <c r="Q469" t="str">
        <f t="shared" si="70"/>
        <v>90+</v>
      </c>
      <c r="R469" t="str">
        <f t="shared" si="71"/>
        <v>Due</v>
      </c>
    </row>
    <row r="470" spans="1:18" x14ac:dyDescent="0.35">
      <c r="A470" t="s">
        <v>477</v>
      </c>
      <c r="B470" t="s">
        <v>809</v>
      </c>
      <c r="C470" s="9">
        <v>45789</v>
      </c>
      <c r="D470" s="28" t="str">
        <f t="shared" si="63"/>
        <v>May 2025</v>
      </c>
      <c r="E470" s="9">
        <v>45819</v>
      </c>
      <c r="F470" t="s">
        <v>816</v>
      </c>
      <c r="G470">
        <v>4947.16</v>
      </c>
      <c r="H470" t="s">
        <v>820</v>
      </c>
      <c r="I470" s="15">
        <f t="shared" si="64"/>
        <v>0</v>
      </c>
      <c r="J470" s="18" t="str">
        <f t="shared" si="65"/>
        <v>N/A</v>
      </c>
      <c r="L470" s="54" t="str">
        <f t="shared" si="66"/>
        <v/>
      </c>
      <c r="M470" s="9" t="str">
        <f t="shared" si="67"/>
        <v/>
      </c>
      <c r="N470" t="s">
        <v>822</v>
      </c>
      <c r="O470" s="17">
        <f t="shared" si="68"/>
        <v>45868</v>
      </c>
      <c r="P470" s="25">
        <f t="shared" si="69"/>
        <v>49</v>
      </c>
      <c r="Q470" t="str">
        <f t="shared" si="70"/>
        <v>31-60</v>
      </c>
      <c r="R470" t="str">
        <f t="shared" si="71"/>
        <v>Due</v>
      </c>
    </row>
    <row r="471" spans="1:18" x14ac:dyDescent="0.35">
      <c r="A471" t="s">
        <v>478</v>
      </c>
      <c r="B471" t="s">
        <v>810</v>
      </c>
      <c r="C471" s="9">
        <v>45358</v>
      </c>
      <c r="D471" s="28" t="str">
        <f t="shared" si="63"/>
        <v>Mar 2024</v>
      </c>
      <c r="E471" s="9">
        <v>45388</v>
      </c>
      <c r="F471" t="s">
        <v>815</v>
      </c>
      <c r="G471">
        <v>1922.38</v>
      </c>
      <c r="H471" t="s">
        <v>820</v>
      </c>
      <c r="I471" s="15">
        <f t="shared" si="64"/>
        <v>0</v>
      </c>
      <c r="J471" s="18" t="str">
        <f t="shared" si="65"/>
        <v>N/A</v>
      </c>
      <c r="L471" s="54" t="str">
        <f t="shared" si="66"/>
        <v/>
      </c>
      <c r="M471" s="9" t="str">
        <f t="shared" si="67"/>
        <v/>
      </c>
      <c r="N471" t="s">
        <v>822</v>
      </c>
      <c r="O471" s="17">
        <f t="shared" si="68"/>
        <v>45868</v>
      </c>
      <c r="P471" s="25">
        <f t="shared" si="69"/>
        <v>480</v>
      </c>
      <c r="Q471" t="str">
        <f t="shared" si="70"/>
        <v>90+</v>
      </c>
      <c r="R471" t="str">
        <f t="shared" si="71"/>
        <v>Due</v>
      </c>
    </row>
    <row r="472" spans="1:18" x14ac:dyDescent="0.35">
      <c r="A472" t="s">
        <v>479</v>
      </c>
      <c r="B472" t="s">
        <v>809</v>
      </c>
      <c r="C472" s="9">
        <v>45619</v>
      </c>
      <c r="D472" s="28" t="str">
        <f t="shared" si="63"/>
        <v>Nov 2024</v>
      </c>
      <c r="E472" s="9">
        <v>45649</v>
      </c>
      <c r="F472" t="s">
        <v>814</v>
      </c>
      <c r="G472">
        <v>247.92</v>
      </c>
      <c r="H472" t="s">
        <v>819</v>
      </c>
      <c r="I472" s="15">
        <f t="shared" si="64"/>
        <v>0</v>
      </c>
      <c r="J472" s="18">
        <f t="shared" si="65"/>
        <v>247.92</v>
      </c>
      <c r="L472" s="54" t="str">
        <f t="shared" si="66"/>
        <v/>
      </c>
      <c r="M472" s="9" t="str">
        <f t="shared" si="67"/>
        <v/>
      </c>
      <c r="N472" t="s">
        <v>822</v>
      </c>
      <c r="O472" s="17">
        <f t="shared" si="68"/>
        <v>45868</v>
      </c>
      <c r="P472" s="25">
        <f t="shared" si="69"/>
        <v>219</v>
      </c>
      <c r="Q472" t="str">
        <f t="shared" si="70"/>
        <v>90+</v>
      </c>
      <c r="R472" t="str">
        <f t="shared" si="71"/>
        <v>Due</v>
      </c>
    </row>
    <row r="473" spans="1:18" x14ac:dyDescent="0.35">
      <c r="A473" t="s">
        <v>480</v>
      </c>
      <c r="B473" t="s">
        <v>809</v>
      </c>
      <c r="C473" s="9">
        <v>45254</v>
      </c>
      <c r="D473" s="28" t="str">
        <f t="shared" si="63"/>
        <v>Nov 2023</v>
      </c>
      <c r="E473" s="9">
        <v>45284</v>
      </c>
      <c r="F473" t="s">
        <v>816</v>
      </c>
      <c r="G473">
        <v>1331.75</v>
      </c>
      <c r="H473" t="s">
        <v>821</v>
      </c>
      <c r="I473" s="15">
        <f t="shared" si="64"/>
        <v>1331.75</v>
      </c>
      <c r="J473" s="18">
        <f t="shared" si="65"/>
        <v>0</v>
      </c>
      <c r="K473" s="9">
        <v>45284</v>
      </c>
      <c r="L473" s="54">
        <f t="shared" si="66"/>
        <v>30</v>
      </c>
      <c r="M473" s="9" t="str">
        <f t="shared" si="67"/>
        <v>2023-Dec</v>
      </c>
      <c r="N473" t="s">
        <v>822</v>
      </c>
      <c r="O473" s="17">
        <f t="shared" si="68"/>
        <v>45868</v>
      </c>
      <c r="P473" s="25">
        <f t="shared" si="69"/>
        <v>0</v>
      </c>
      <c r="Q473" t="str">
        <f t="shared" si="70"/>
        <v>Paid</v>
      </c>
      <c r="R473" t="str">
        <f t="shared" si="71"/>
        <v>Not Due</v>
      </c>
    </row>
    <row r="474" spans="1:18" x14ac:dyDescent="0.35">
      <c r="A474" t="s">
        <v>481</v>
      </c>
      <c r="B474" t="s">
        <v>811</v>
      </c>
      <c r="C474" s="9">
        <v>45262</v>
      </c>
      <c r="D474" s="28" t="str">
        <f t="shared" si="63"/>
        <v>Dec 2023</v>
      </c>
      <c r="E474" s="9">
        <v>45292</v>
      </c>
      <c r="F474" t="s">
        <v>816</v>
      </c>
      <c r="G474">
        <v>1603.22</v>
      </c>
      <c r="H474" t="s">
        <v>819</v>
      </c>
      <c r="I474" s="15">
        <f t="shared" si="64"/>
        <v>0</v>
      </c>
      <c r="J474" s="18">
        <f t="shared" si="65"/>
        <v>1603.22</v>
      </c>
      <c r="L474" s="54" t="str">
        <f t="shared" si="66"/>
        <v/>
      </c>
      <c r="M474" s="9" t="str">
        <f t="shared" si="67"/>
        <v/>
      </c>
      <c r="N474" t="s">
        <v>822</v>
      </c>
      <c r="O474" s="17">
        <f t="shared" si="68"/>
        <v>45868</v>
      </c>
      <c r="P474" s="25">
        <f t="shared" si="69"/>
        <v>576</v>
      </c>
      <c r="Q474" t="str">
        <f t="shared" si="70"/>
        <v>90+</v>
      </c>
      <c r="R474" t="str">
        <f t="shared" si="71"/>
        <v>Due</v>
      </c>
    </row>
    <row r="475" spans="1:18" x14ac:dyDescent="0.35">
      <c r="A475" t="s">
        <v>482</v>
      </c>
      <c r="B475" t="s">
        <v>810</v>
      </c>
      <c r="C475" s="9">
        <v>45324</v>
      </c>
      <c r="D475" s="28" t="str">
        <f t="shared" si="63"/>
        <v>Feb 2024</v>
      </c>
      <c r="E475" s="9">
        <v>45354</v>
      </c>
      <c r="F475" t="s">
        <v>818</v>
      </c>
      <c r="G475">
        <v>1259.93</v>
      </c>
      <c r="H475" t="s">
        <v>819</v>
      </c>
      <c r="I475" s="15">
        <f t="shared" si="64"/>
        <v>0</v>
      </c>
      <c r="J475" s="18">
        <f t="shared" si="65"/>
        <v>1259.93</v>
      </c>
      <c r="L475" s="54" t="str">
        <f t="shared" si="66"/>
        <v/>
      </c>
      <c r="M475" s="9" t="str">
        <f t="shared" si="67"/>
        <v/>
      </c>
      <c r="N475" t="s">
        <v>822</v>
      </c>
      <c r="O475" s="17">
        <f t="shared" si="68"/>
        <v>45868</v>
      </c>
      <c r="P475" s="25">
        <f t="shared" si="69"/>
        <v>514</v>
      </c>
      <c r="Q475" t="str">
        <f t="shared" si="70"/>
        <v>90+</v>
      </c>
      <c r="R475" t="str">
        <f t="shared" si="71"/>
        <v>Due</v>
      </c>
    </row>
    <row r="476" spans="1:18" x14ac:dyDescent="0.35">
      <c r="A476" t="s">
        <v>483</v>
      </c>
      <c r="B476" t="s">
        <v>810</v>
      </c>
      <c r="C476" s="9">
        <v>45624</v>
      </c>
      <c r="D476" s="28" t="str">
        <f t="shared" si="63"/>
        <v>Nov 2024</v>
      </c>
      <c r="E476" s="9">
        <v>45654</v>
      </c>
      <c r="F476" t="s">
        <v>818</v>
      </c>
      <c r="G476">
        <v>2308.37</v>
      </c>
      <c r="H476" t="s">
        <v>821</v>
      </c>
      <c r="I476" s="15">
        <f t="shared" si="64"/>
        <v>2308.37</v>
      </c>
      <c r="J476" s="18">
        <f t="shared" si="65"/>
        <v>0</v>
      </c>
      <c r="K476" s="9">
        <v>45654</v>
      </c>
      <c r="L476" s="54">
        <f t="shared" si="66"/>
        <v>30</v>
      </c>
      <c r="M476" s="9" t="str">
        <f t="shared" si="67"/>
        <v>2024-Dec</v>
      </c>
      <c r="N476" t="s">
        <v>822</v>
      </c>
      <c r="O476" s="17">
        <f t="shared" si="68"/>
        <v>45868</v>
      </c>
      <c r="P476" s="25">
        <f t="shared" si="69"/>
        <v>0</v>
      </c>
      <c r="Q476" t="str">
        <f t="shared" si="70"/>
        <v>Paid</v>
      </c>
      <c r="R476" t="str">
        <f t="shared" si="71"/>
        <v>Not Due</v>
      </c>
    </row>
    <row r="477" spans="1:18" x14ac:dyDescent="0.35">
      <c r="A477" t="s">
        <v>484</v>
      </c>
      <c r="B477" t="s">
        <v>810</v>
      </c>
      <c r="C477" s="9">
        <v>45229</v>
      </c>
      <c r="D477" s="28" t="str">
        <f t="shared" si="63"/>
        <v>Oct 2023</v>
      </c>
      <c r="E477" s="9">
        <v>45259</v>
      </c>
      <c r="F477" t="s">
        <v>814</v>
      </c>
      <c r="G477">
        <v>2809.36</v>
      </c>
      <c r="H477" t="s">
        <v>821</v>
      </c>
      <c r="I477" s="15">
        <f t="shared" si="64"/>
        <v>2809.36</v>
      </c>
      <c r="J477" s="18">
        <f t="shared" si="65"/>
        <v>0</v>
      </c>
      <c r="K477" s="9">
        <v>45259</v>
      </c>
      <c r="L477" s="54">
        <f t="shared" si="66"/>
        <v>30</v>
      </c>
      <c r="M477" s="9" t="str">
        <f t="shared" si="67"/>
        <v>2023-Nov</v>
      </c>
      <c r="N477" t="s">
        <v>822</v>
      </c>
      <c r="O477" s="17">
        <f t="shared" si="68"/>
        <v>45868</v>
      </c>
      <c r="P477" s="25">
        <f t="shared" si="69"/>
        <v>0</v>
      </c>
      <c r="Q477" t="str">
        <f t="shared" si="70"/>
        <v>Paid</v>
      </c>
      <c r="R477" t="str">
        <f t="shared" si="71"/>
        <v>Not Due</v>
      </c>
    </row>
    <row r="478" spans="1:18" x14ac:dyDescent="0.35">
      <c r="A478" t="s">
        <v>485</v>
      </c>
      <c r="B478" t="s">
        <v>813</v>
      </c>
      <c r="C478" s="9">
        <v>45235</v>
      </c>
      <c r="D478" s="28" t="str">
        <f t="shared" si="63"/>
        <v>Nov 2023</v>
      </c>
      <c r="E478" s="9">
        <v>45265</v>
      </c>
      <c r="F478" t="s">
        <v>817</v>
      </c>
      <c r="G478">
        <v>382.4</v>
      </c>
      <c r="H478" t="s">
        <v>820</v>
      </c>
      <c r="I478" s="15">
        <f t="shared" si="64"/>
        <v>0</v>
      </c>
      <c r="J478" s="18" t="str">
        <f t="shared" si="65"/>
        <v>N/A</v>
      </c>
      <c r="L478" s="54" t="str">
        <f t="shared" si="66"/>
        <v/>
      </c>
      <c r="M478" s="9" t="str">
        <f t="shared" si="67"/>
        <v/>
      </c>
      <c r="N478" t="s">
        <v>822</v>
      </c>
      <c r="O478" s="17">
        <f t="shared" si="68"/>
        <v>45868</v>
      </c>
      <c r="P478" s="25">
        <f t="shared" si="69"/>
        <v>603</v>
      </c>
      <c r="Q478" t="str">
        <f t="shared" si="70"/>
        <v>90+</v>
      </c>
      <c r="R478" t="str">
        <f t="shared" si="71"/>
        <v>Due</v>
      </c>
    </row>
    <row r="479" spans="1:18" x14ac:dyDescent="0.35">
      <c r="A479" t="s">
        <v>486</v>
      </c>
      <c r="B479" t="s">
        <v>811</v>
      </c>
      <c r="C479" s="9">
        <v>45106</v>
      </c>
      <c r="D479" s="28" t="str">
        <f t="shared" si="63"/>
        <v>Jun 2023</v>
      </c>
      <c r="E479" s="9">
        <v>45136</v>
      </c>
      <c r="F479" t="s">
        <v>815</v>
      </c>
      <c r="G479">
        <v>2891.36</v>
      </c>
      <c r="H479" t="s">
        <v>821</v>
      </c>
      <c r="I479" s="15">
        <f t="shared" si="64"/>
        <v>2891.36</v>
      </c>
      <c r="J479" s="18">
        <f t="shared" si="65"/>
        <v>0</v>
      </c>
      <c r="K479" s="9">
        <v>45136</v>
      </c>
      <c r="L479" s="54">
        <f t="shared" si="66"/>
        <v>30</v>
      </c>
      <c r="M479" s="9" t="str">
        <f t="shared" si="67"/>
        <v>2023-Jul</v>
      </c>
      <c r="N479" t="s">
        <v>822</v>
      </c>
      <c r="O479" s="17">
        <f t="shared" si="68"/>
        <v>45868</v>
      </c>
      <c r="P479" s="25">
        <f t="shared" si="69"/>
        <v>0</v>
      </c>
      <c r="Q479" t="str">
        <f t="shared" si="70"/>
        <v>Paid</v>
      </c>
      <c r="R479" t="str">
        <f t="shared" si="71"/>
        <v>Not Due</v>
      </c>
    </row>
    <row r="480" spans="1:18" x14ac:dyDescent="0.35">
      <c r="A480" t="s">
        <v>487</v>
      </c>
      <c r="B480" t="s">
        <v>812</v>
      </c>
      <c r="C480" s="9">
        <v>45342</v>
      </c>
      <c r="D480" s="28" t="str">
        <f t="shared" si="63"/>
        <v>Feb 2024</v>
      </c>
      <c r="E480" s="9">
        <v>45372</v>
      </c>
      <c r="F480" t="s">
        <v>818</v>
      </c>
      <c r="G480">
        <v>3438.42</v>
      </c>
      <c r="H480" t="s">
        <v>819</v>
      </c>
      <c r="I480" s="15">
        <f t="shared" si="64"/>
        <v>0</v>
      </c>
      <c r="J480" s="18">
        <f t="shared" si="65"/>
        <v>3438.42</v>
      </c>
      <c r="L480" s="54" t="str">
        <f t="shared" si="66"/>
        <v/>
      </c>
      <c r="M480" s="9" t="str">
        <f t="shared" si="67"/>
        <v/>
      </c>
      <c r="N480" t="s">
        <v>822</v>
      </c>
      <c r="O480" s="17">
        <f t="shared" si="68"/>
        <v>45868</v>
      </c>
      <c r="P480" s="25">
        <f t="shared" si="69"/>
        <v>496</v>
      </c>
      <c r="Q480" t="str">
        <f t="shared" si="70"/>
        <v>90+</v>
      </c>
      <c r="R480" t="str">
        <f t="shared" si="71"/>
        <v>Due</v>
      </c>
    </row>
    <row r="481" spans="1:18" x14ac:dyDescent="0.35">
      <c r="A481" t="s">
        <v>488</v>
      </c>
      <c r="B481" t="s">
        <v>810</v>
      </c>
      <c r="C481" s="9">
        <v>45185</v>
      </c>
      <c r="D481" s="28" t="str">
        <f t="shared" si="63"/>
        <v>Sep 2023</v>
      </c>
      <c r="E481" s="9">
        <v>45215</v>
      </c>
      <c r="F481" t="s">
        <v>816</v>
      </c>
      <c r="G481">
        <v>2173.67</v>
      </c>
      <c r="H481" t="s">
        <v>820</v>
      </c>
      <c r="I481" s="15">
        <f t="shared" si="64"/>
        <v>0</v>
      </c>
      <c r="J481" s="18" t="str">
        <f t="shared" si="65"/>
        <v>N/A</v>
      </c>
      <c r="L481" s="54" t="str">
        <f t="shared" si="66"/>
        <v/>
      </c>
      <c r="M481" s="9" t="str">
        <f t="shared" si="67"/>
        <v/>
      </c>
      <c r="N481" t="s">
        <v>822</v>
      </c>
      <c r="O481" s="17">
        <f t="shared" si="68"/>
        <v>45868</v>
      </c>
      <c r="P481" s="25">
        <f t="shared" si="69"/>
        <v>653</v>
      </c>
      <c r="Q481" t="str">
        <f t="shared" si="70"/>
        <v>90+</v>
      </c>
      <c r="R481" t="str">
        <f t="shared" si="71"/>
        <v>Due</v>
      </c>
    </row>
    <row r="482" spans="1:18" x14ac:dyDescent="0.35">
      <c r="A482" t="s">
        <v>489</v>
      </c>
      <c r="B482" t="s">
        <v>810</v>
      </c>
      <c r="C482" s="9">
        <v>45707</v>
      </c>
      <c r="D482" s="28" t="str">
        <f t="shared" si="63"/>
        <v>Feb 2025</v>
      </c>
      <c r="E482" s="9">
        <v>45737</v>
      </c>
      <c r="F482" t="s">
        <v>817</v>
      </c>
      <c r="G482">
        <v>4973.3</v>
      </c>
      <c r="H482" t="s">
        <v>819</v>
      </c>
      <c r="I482" s="15">
        <f t="shared" si="64"/>
        <v>0</v>
      </c>
      <c r="J482" s="18">
        <f t="shared" si="65"/>
        <v>4973.3</v>
      </c>
      <c r="L482" s="54" t="str">
        <f t="shared" si="66"/>
        <v/>
      </c>
      <c r="M482" s="9" t="str">
        <f t="shared" si="67"/>
        <v/>
      </c>
      <c r="N482" t="s">
        <v>822</v>
      </c>
      <c r="O482" s="17">
        <f t="shared" si="68"/>
        <v>45868</v>
      </c>
      <c r="P482" s="25">
        <f t="shared" si="69"/>
        <v>131</v>
      </c>
      <c r="Q482" t="str">
        <f t="shared" si="70"/>
        <v>90+</v>
      </c>
      <c r="R482" t="str">
        <f t="shared" si="71"/>
        <v>Due</v>
      </c>
    </row>
    <row r="483" spans="1:18" x14ac:dyDescent="0.35">
      <c r="A483" t="s">
        <v>490</v>
      </c>
      <c r="B483" t="s">
        <v>811</v>
      </c>
      <c r="C483" s="9">
        <v>45099</v>
      </c>
      <c r="D483" s="28" t="str">
        <f t="shared" si="63"/>
        <v>Jun 2023</v>
      </c>
      <c r="E483" s="9">
        <v>45129</v>
      </c>
      <c r="F483" t="s">
        <v>814</v>
      </c>
      <c r="G483">
        <v>835.93</v>
      </c>
      <c r="H483" t="s">
        <v>819</v>
      </c>
      <c r="I483" s="15">
        <f t="shared" si="64"/>
        <v>0</v>
      </c>
      <c r="J483" s="18">
        <f t="shared" si="65"/>
        <v>835.93</v>
      </c>
      <c r="L483" s="54" t="str">
        <f t="shared" si="66"/>
        <v/>
      </c>
      <c r="M483" s="9" t="str">
        <f t="shared" si="67"/>
        <v/>
      </c>
      <c r="N483" t="s">
        <v>822</v>
      </c>
      <c r="O483" s="17">
        <f t="shared" si="68"/>
        <v>45868</v>
      </c>
      <c r="P483" s="25">
        <f t="shared" si="69"/>
        <v>739</v>
      </c>
      <c r="Q483" t="str">
        <f t="shared" si="70"/>
        <v>90+</v>
      </c>
      <c r="R483" t="str">
        <f t="shared" si="71"/>
        <v>Due</v>
      </c>
    </row>
    <row r="484" spans="1:18" x14ac:dyDescent="0.35">
      <c r="A484" t="s">
        <v>491</v>
      </c>
      <c r="B484" t="s">
        <v>812</v>
      </c>
      <c r="C484" s="9">
        <v>45684</v>
      </c>
      <c r="D484" s="28" t="str">
        <f t="shared" si="63"/>
        <v>Jan 2025</v>
      </c>
      <c r="E484" s="9">
        <v>45714</v>
      </c>
      <c r="F484" t="s">
        <v>816</v>
      </c>
      <c r="G484">
        <v>1887.09</v>
      </c>
      <c r="H484" t="s">
        <v>821</v>
      </c>
      <c r="I484" s="15">
        <f t="shared" si="64"/>
        <v>1887.09</v>
      </c>
      <c r="J484" s="18">
        <f t="shared" si="65"/>
        <v>0</v>
      </c>
      <c r="K484" s="9">
        <v>45714</v>
      </c>
      <c r="L484" s="54">
        <f t="shared" si="66"/>
        <v>30</v>
      </c>
      <c r="M484" s="9" t="str">
        <f t="shared" si="67"/>
        <v>2025-Feb</v>
      </c>
      <c r="N484" t="s">
        <v>822</v>
      </c>
      <c r="O484" s="17">
        <f t="shared" si="68"/>
        <v>45868</v>
      </c>
      <c r="P484" s="25">
        <f t="shared" si="69"/>
        <v>0</v>
      </c>
      <c r="Q484" t="str">
        <f t="shared" si="70"/>
        <v>Paid</v>
      </c>
      <c r="R484" t="str">
        <f t="shared" si="71"/>
        <v>Not Due</v>
      </c>
    </row>
    <row r="485" spans="1:18" x14ac:dyDescent="0.35">
      <c r="A485" t="s">
        <v>492</v>
      </c>
      <c r="B485" t="s">
        <v>809</v>
      </c>
      <c r="C485" s="9">
        <v>45823</v>
      </c>
      <c r="D485" s="28" t="str">
        <f t="shared" si="63"/>
        <v>Jun 2025</v>
      </c>
      <c r="E485" s="9">
        <v>45853</v>
      </c>
      <c r="F485" t="s">
        <v>816</v>
      </c>
      <c r="G485">
        <v>909.12</v>
      </c>
      <c r="H485" t="s">
        <v>821</v>
      </c>
      <c r="I485" s="15">
        <f t="shared" si="64"/>
        <v>909.12</v>
      </c>
      <c r="J485" s="18">
        <f t="shared" si="65"/>
        <v>0</v>
      </c>
      <c r="K485" s="9">
        <v>45853</v>
      </c>
      <c r="L485" s="54">
        <f t="shared" si="66"/>
        <v>30</v>
      </c>
      <c r="M485" s="9" t="str">
        <f t="shared" si="67"/>
        <v>2025-Jul</v>
      </c>
      <c r="N485" t="s">
        <v>822</v>
      </c>
      <c r="O485" s="17">
        <f t="shared" si="68"/>
        <v>45868</v>
      </c>
      <c r="P485" s="25">
        <f t="shared" si="69"/>
        <v>0</v>
      </c>
      <c r="Q485" t="str">
        <f t="shared" si="70"/>
        <v>Paid</v>
      </c>
      <c r="R485" t="str">
        <f t="shared" si="71"/>
        <v>Not Due</v>
      </c>
    </row>
    <row r="486" spans="1:18" x14ac:dyDescent="0.35">
      <c r="A486" t="s">
        <v>493</v>
      </c>
      <c r="B486" t="s">
        <v>811</v>
      </c>
      <c r="C486" s="9">
        <v>45192</v>
      </c>
      <c r="D486" s="28" t="str">
        <f t="shared" si="63"/>
        <v>Sep 2023</v>
      </c>
      <c r="E486" s="9">
        <v>45222</v>
      </c>
      <c r="F486" t="s">
        <v>818</v>
      </c>
      <c r="G486">
        <v>114.23</v>
      </c>
      <c r="H486" t="s">
        <v>821</v>
      </c>
      <c r="I486" s="15">
        <f t="shared" si="64"/>
        <v>114.23</v>
      </c>
      <c r="J486" s="18">
        <f t="shared" si="65"/>
        <v>0</v>
      </c>
      <c r="K486" s="9">
        <v>45222</v>
      </c>
      <c r="L486" s="54">
        <f t="shared" si="66"/>
        <v>30</v>
      </c>
      <c r="M486" s="9" t="str">
        <f t="shared" si="67"/>
        <v>2023-Oct</v>
      </c>
      <c r="N486" t="s">
        <v>822</v>
      </c>
      <c r="O486" s="17">
        <f t="shared" si="68"/>
        <v>45868</v>
      </c>
      <c r="P486" s="25">
        <f t="shared" si="69"/>
        <v>0</v>
      </c>
      <c r="Q486" t="str">
        <f t="shared" si="70"/>
        <v>Paid</v>
      </c>
      <c r="R486" t="str">
        <f t="shared" si="71"/>
        <v>Not Due</v>
      </c>
    </row>
    <row r="487" spans="1:18" x14ac:dyDescent="0.35">
      <c r="A487" t="s">
        <v>494</v>
      </c>
      <c r="B487" t="s">
        <v>813</v>
      </c>
      <c r="C487" s="9">
        <v>45346</v>
      </c>
      <c r="D487" s="28" t="str">
        <f t="shared" si="63"/>
        <v>Feb 2024</v>
      </c>
      <c r="E487" s="9">
        <v>45376</v>
      </c>
      <c r="F487" t="s">
        <v>817</v>
      </c>
      <c r="G487">
        <v>502.65</v>
      </c>
      <c r="H487" t="s">
        <v>820</v>
      </c>
      <c r="I487" s="15">
        <f t="shared" si="64"/>
        <v>0</v>
      </c>
      <c r="J487" s="18" t="str">
        <f t="shared" si="65"/>
        <v>N/A</v>
      </c>
      <c r="L487" s="54" t="str">
        <f t="shared" si="66"/>
        <v/>
      </c>
      <c r="M487" s="9" t="str">
        <f t="shared" si="67"/>
        <v/>
      </c>
      <c r="N487" t="s">
        <v>822</v>
      </c>
      <c r="O487" s="17">
        <f t="shared" si="68"/>
        <v>45868</v>
      </c>
      <c r="P487" s="25">
        <f t="shared" si="69"/>
        <v>492</v>
      </c>
      <c r="Q487" t="str">
        <f t="shared" si="70"/>
        <v>90+</v>
      </c>
      <c r="R487" t="str">
        <f t="shared" si="71"/>
        <v>Due</v>
      </c>
    </row>
    <row r="488" spans="1:18" x14ac:dyDescent="0.35">
      <c r="A488" t="s">
        <v>495</v>
      </c>
      <c r="B488" t="s">
        <v>812</v>
      </c>
      <c r="C488" s="9">
        <v>44971</v>
      </c>
      <c r="D488" s="28" t="str">
        <f t="shared" si="63"/>
        <v>Feb 2023</v>
      </c>
      <c r="E488" s="9">
        <v>45001</v>
      </c>
      <c r="F488" t="s">
        <v>814</v>
      </c>
      <c r="G488">
        <v>2486.0100000000002</v>
      </c>
      <c r="H488" t="s">
        <v>819</v>
      </c>
      <c r="I488" s="15">
        <f t="shared" si="64"/>
        <v>0</v>
      </c>
      <c r="J488" s="18">
        <f t="shared" si="65"/>
        <v>2486.0100000000002</v>
      </c>
      <c r="L488" s="54" t="str">
        <f t="shared" si="66"/>
        <v/>
      </c>
      <c r="M488" s="9" t="str">
        <f t="shared" si="67"/>
        <v/>
      </c>
      <c r="N488" t="s">
        <v>822</v>
      </c>
      <c r="O488" s="17">
        <f t="shared" si="68"/>
        <v>45868</v>
      </c>
      <c r="P488" s="25">
        <f t="shared" si="69"/>
        <v>867</v>
      </c>
      <c r="Q488" t="str">
        <f t="shared" si="70"/>
        <v>90+</v>
      </c>
      <c r="R488" t="str">
        <f t="shared" si="71"/>
        <v>Due</v>
      </c>
    </row>
    <row r="489" spans="1:18" x14ac:dyDescent="0.35">
      <c r="A489" t="s">
        <v>496</v>
      </c>
      <c r="B489" t="s">
        <v>813</v>
      </c>
      <c r="C489" s="9">
        <v>44937</v>
      </c>
      <c r="D489" s="28" t="str">
        <f t="shared" si="63"/>
        <v>Jan 2023</v>
      </c>
      <c r="E489" s="9">
        <v>44967</v>
      </c>
      <c r="F489" t="s">
        <v>817</v>
      </c>
      <c r="G489">
        <v>386.6</v>
      </c>
      <c r="H489" t="s">
        <v>820</v>
      </c>
      <c r="I489" s="15">
        <f t="shared" si="64"/>
        <v>0</v>
      </c>
      <c r="J489" s="18" t="str">
        <f t="shared" si="65"/>
        <v>N/A</v>
      </c>
      <c r="L489" s="54" t="str">
        <f t="shared" si="66"/>
        <v/>
      </c>
      <c r="M489" s="9" t="str">
        <f t="shared" si="67"/>
        <v/>
      </c>
      <c r="N489" t="s">
        <v>822</v>
      </c>
      <c r="O489" s="17">
        <f t="shared" si="68"/>
        <v>45868</v>
      </c>
      <c r="P489" s="25">
        <f t="shared" si="69"/>
        <v>901</v>
      </c>
      <c r="Q489" t="str">
        <f t="shared" si="70"/>
        <v>90+</v>
      </c>
      <c r="R489" t="str">
        <f t="shared" si="71"/>
        <v>Due</v>
      </c>
    </row>
    <row r="490" spans="1:18" x14ac:dyDescent="0.35">
      <c r="A490" t="s">
        <v>497</v>
      </c>
      <c r="B490" t="s">
        <v>812</v>
      </c>
      <c r="C490" s="9">
        <v>45131</v>
      </c>
      <c r="D490" s="28" t="str">
        <f t="shared" si="63"/>
        <v>Jul 2023</v>
      </c>
      <c r="E490" s="9">
        <v>45161</v>
      </c>
      <c r="F490" t="s">
        <v>817</v>
      </c>
      <c r="G490">
        <v>3185.2</v>
      </c>
      <c r="H490" t="s">
        <v>819</v>
      </c>
      <c r="I490" s="15">
        <f t="shared" si="64"/>
        <v>0</v>
      </c>
      <c r="J490" s="18">
        <f t="shared" si="65"/>
        <v>3185.2</v>
      </c>
      <c r="L490" s="54" t="str">
        <f t="shared" si="66"/>
        <v/>
      </c>
      <c r="M490" s="9" t="str">
        <f t="shared" si="67"/>
        <v/>
      </c>
      <c r="N490" t="s">
        <v>822</v>
      </c>
      <c r="O490" s="17">
        <f t="shared" si="68"/>
        <v>45868</v>
      </c>
      <c r="P490" s="25">
        <f t="shared" si="69"/>
        <v>707</v>
      </c>
      <c r="Q490" t="str">
        <f t="shared" si="70"/>
        <v>90+</v>
      </c>
      <c r="R490" t="str">
        <f t="shared" si="71"/>
        <v>Due</v>
      </c>
    </row>
    <row r="491" spans="1:18" x14ac:dyDescent="0.35">
      <c r="A491" t="s">
        <v>498</v>
      </c>
      <c r="B491" t="s">
        <v>812</v>
      </c>
      <c r="C491" s="9">
        <v>45387</v>
      </c>
      <c r="D491" s="28" t="str">
        <f t="shared" si="63"/>
        <v>Apr 2024</v>
      </c>
      <c r="E491" s="9">
        <v>45417</v>
      </c>
      <c r="F491" t="s">
        <v>815</v>
      </c>
      <c r="G491">
        <v>2033.93</v>
      </c>
      <c r="H491" t="s">
        <v>820</v>
      </c>
      <c r="I491" s="15">
        <f t="shared" si="64"/>
        <v>0</v>
      </c>
      <c r="J491" s="18" t="str">
        <f t="shared" si="65"/>
        <v>N/A</v>
      </c>
      <c r="L491" s="54" t="str">
        <f t="shared" si="66"/>
        <v/>
      </c>
      <c r="M491" s="9" t="str">
        <f t="shared" si="67"/>
        <v/>
      </c>
      <c r="N491" t="s">
        <v>822</v>
      </c>
      <c r="O491" s="17">
        <f t="shared" si="68"/>
        <v>45868</v>
      </c>
      <c r="P491" s="25">
        <f t="shared" si="69"/>
        <v>451</v>
      </c>
      <c r="Q491" t="str">
        <f t="shared" si="70"/>
        <v>90+</v>
      </c>
      <c r="R491" t="str">
        <f t="shared" si="71"/>
        <v>Due</v>
      </c>
    </row>
    <row r="492" spans="1:18" x14ac:dyDescent="0.35">
      <c r="A492" t="s">
        <v>499</v>
      </c>
      <c r="B492" t="s">
        <v>813</v>
      </c>
      <c r="C492" s="9">
        <v>44991</v>
      </c>
      <c r="D492" s="28" t="str">
        <f t="shared" si="63"/>
        <v>Mar 2023</v>
      </c>
      <c r="E492" s="9">
        <v>45021</v>
      </c>
      <c r="F492" t="s">
        <v>818</v>
      </c>
      <c r="G492">
        <v>2805.38</v>
      </c>
      <c r="H492" t="s">
        <v>821</v>
      </c>
      <c r="I492" s="15">
        <f t="shared" si="64"/>
        <v>2805.38</v>
      </c>
      <c r="J492" s="18">
        <f t="shared" si="65"/>
        <v>0</v>
      </c>
      <c r="K492" s="9">
        <v>45021</v>
      </c>
      <c r="L492" s="54">
        <f t="shared" si="66"/>
        <v>30</v>
      </c>
      <c r="M492" s="9" t="str">
        <f t="shared" si="67"/>
        <v>2023-Apr</v>
      </c>
      <c r="N492" t="s">
        <v>822</v>
      </c>
      <c r="O492" s="17">
        <f t="shared" si="68"/>
        <v>45868</v>
      </c>
      <c r="P492" s="25">
        <f t="shared" si="69"/>
        <v>0</v>
      </c>
      <c r="Q492" t="str">
        <f t="shared" si="70"/>
        <v>Paid</v>
      </c>
      <c r="R492" t="str">
        <f t="shared" si="71"/>
        <v>Not Due</v>
      </c>
    </row>
    <row r="493" spans="1:18" x14ac:dyDescent="0.35">
      <c r="A493" t="s">
        <v>500</v>
      </c>
      <c r="B493" t="s">
        <v>812</v>
      </c>
      <c r="C493" s="9">
        <v>45631</v>
      </c>
      <c r="D493" s="28" t="str">
        <f t="shared" si="63"/>
        <v>Dec 2024</v>
      </c>
      <c r="E493" s="9">
        <v>45661</v>
      </c>
      <c r="F493" t="s">
        <v>817</v>
      </c>
      <c r="G493">
        <v>3623.95</v>
      </c>
      <c r="H493" t="s">
        <v>820</v>
      </c>
      <c r="I493" s="15">
        <f t="shared" si="64"/>
        <v>0</v>
      </c>
      <c r="J493" s="18" t="str">
        <f t="shared" si="65"/>
        <v>N/A</v>
      </c>
      <c r="L493" s="54" t="str">
        <f t="shared" si="66"/>
        <v/>
      </c>
      <c r="M493" s="9" t="str">
        <f t="shared" si="67"/>
        <v/>
      </c>
      <c r="N493" t="s">
        <v>822</v>
      </c>
      <c r="O493" s="17">
        <f t="shared" si="68"/>
        <v>45868</v>
      </c>
      <c r="P493" s="25">
        <f t="shared" si="69"/>
        <v>207</v>
      </c>
      <c r="Q493" t="str">
        <f t="shared" si="70"/>
        <v>90+</v>
      </c>
      <c r="R493" t="str">
        <f t="shared" si="71"/>
        <v>Due</v>
      </c>
    </row>
    <row r="494" spans="1:18" x14ac:dyDescent="0.35">
      <c r="A494" t="s">
        <v>501</v>
      </c>
      <c r="B494" t="s">
        <v>811</v>
      </c>
      <c r="C494" s="9">
        <v>45433</v>
      </c>
      <c r="D494" s="28" t="str">
        <f t="shared" si="63"/>
        <v>May 2024</v>
      </c>
      <c r="E494" s="9">
        <v>45463</v>
      </c>
      <c r="F494" t="s">
        <v>817</v>
      </c>
      <c r="G494">
        <v>1803.9</v>
      </c>
      <c r="H494" t="s">
        <v>820</v>
      </c>
      <c r="I494" s="15">
        <f t="shared" si="64"/>
        <v>0</v>
      </c>
      <c r="J494" s="18" t="str">
        <f t="shared" si="65"/>
        <v>N/A</v>
      </c>
      <c r="L494" s="54" t="str">
        <f t="shared" si="66"/>
        <v/>
      </c>
      <c r="M494" s="9" t="str">
        <f t="shared" si="67"/>
        <v/>
      </c>
      <c r="N494" t="s">
        <v>822</v>
      </c>
      <c r="O494" s="17">
        <f t="shared" si="68"/>
        <v>45868</v>
      </c>
      <c r="P494" s="25">
        <f t="shared" si="69"/>
        <v>405</v>
      </c>
      <c r="Q494" t="str">
        <f t="shared" si="70"/>
        <v>90+</v>
      </c>
      <c r="R494" t="str">
        <f t="shared" si="71"/>
        <v>Due</v>
      </c>
    </row>
    <row r="495" spans="1:18" x14ac:dyDescent="0.35">
      <c r="A495" t="s">
        <v>502</v>
      </c>
      <c r="B495" t="s">
        <v>809</v>
      </c>
      <c r="C495" s="9">
        <v>45106</v>
      </c>
      <c r="D495" s="28" t="str">
        <f t="shared" si="63"/>
        <v>Jun 2023</v>
      </c>
      <c r="E495" s="9">
        <v>45136</v>
      </c>
      <c r="F495" t="s">
        <v>817</v>
      </c>
      <c r="G495">
        <v>2543.84</v>
      </c>
      <c r="H495" t="s">
        <v>820</v>
      </c>
      <c r="I495" s="15">
        <f t="shared" si="64"/>
        <v>0</v>
      </c>
      <c r="J495" s="18" t="str">
        <f t="shared" si="65"/>
        <v>N/A</v>
      </c>
      <c r="L495" s="54" t="str">
        <f t="shared" si="66"/>
        <v/>
      </c>
      <c r="M495" s="9" t="str">
        <f t="shared" si="67"/>
        <v/>
      </c>
      <c r="N495" t="s">
        <v>822</v>
      </c>
      <c r="O495" s="17">
        <f t="shared" si="68"/>
        <v>45868</v>
      </c>
      <c r="P495" s="25">
        <f t="shared" si="69"/>
        <v>732</v>
      </c>
      <c r="Q495" t="str">
        <f t="shared" si="70"/>
        <v>90+</v>
      </c>
      <c r="R495" t="str">
        <f t="shared" si="71"/>
        <v>Due</v>
      </c>
    </row>
    <row r="496" spans="1:18" x14ac:dyDescent="0.35">
      <c r="A496" t="s">
        <v>503</v>
      </c>
      <c r="B496" t="s">
        <v>813</v>
      </c>
      <c r="C496" s="9">
        <v>45128</v>
      </c>
      <c r="D496" s="28" t="str">
        <f t="shared" si="63"/>
        <v>Jul 2023</v>
      </c>
      <c r="E496" s="9">
        <v>45158</v>
      </c>
      <c r="F496" t="s">
        <v>815</v>
      </c>
      <c r="G496">
        <v>211.24</v>
      </c>
      <c r="H496" t="s">
        <v>819</v>
      </c>
      <c r="I496" s="15">
        <f t="shared" si="64"/>
        <v>0</v>
      </c>
      <c r="J496" s="18">
        <f t="shared" si="65"/>
        <v>211.24</v>
      </c>
      <c r="L496" s="54" t="str">
        <f t="shared" si="66"/>
        <v/>
      </c>
      <c r="M496" s="9" t="str">
        <f t="shared" si="67"/>
        <v/>
      </c>
      <c r="N496" t="s">
        <v>822</v>
      </c>
      <c r="O496" s="17">
        <f t="shared" si="68"/>
        <v>45868</v>
      </c>
      <c r="P496" s="25">
        <f t="shared" si="69"/>
        <v>710</v>
      </c>
      <c r="Q496" t="str">
        <f t="shared" si="70"/>
        <v>90+</v>
      </c>
      <c r="R496" t="str">
        <f t="shared" si="71"/>
        <v>Due</v>
      </c>
    </row>
    <row r="497" spans="1:18" x14ac:dyDescent="0.35">
      <c r="A497" t="s">
        <v>504</v>
      </c>
      <c r="B497" t="s">
        <v>811</v>
      </c>
      <c r="C497" s="9">
        <v>45522</v>
      </c>
      <c r="D497" s="28" t="str">
        <f t="shared" si="63"/>
        <v>Aug 2024</v>
      </c>
      <c r="E497" s="9">
        <v>45552</v>
      </c>
      <c r="F497" t="s">
        <v>817</v>
      </c>
      <c r="G497">
        <v>688.61</v>
      </c>
      <c r="H497" t="s">
        <v>821</v>
      </c>
      <c r="I497" s="15">
        <f t="shared" si="64"/>
        <v>688.61</v>
      </c>
      <c r="J497" s="18">
        <f t="shared" si="65"/>
        <v>0</v>
      </c>
      <c r="K497" s="9">
        <v>45552</v>
      </c>
      <c r="L497" s="54">
        <f t="shared" si="66"/>
        <v>30</v>
      </c>
      <c r="M497" s="9" t="str">
        <f t="shared" si="67"/>
        <v>2024-Sep</v>
      </c>
      <c r="N497" t="s">
        <v>822</v>
      </c>
      <c r="O497" s="17">
        <f t="shared" si="68"/>
        <v>45868</v>
      </c>
      <c r="P497" s="25">
        <f t="shared" si="69"/>
        <v>0</v>
      </c>
      <c r="Q497" t="str">
        <f t="shared" si="70"/>
        <v>Paid</v>
      </c>
      <c r="R497" t="str">
        <f t="shared" si="71"/>
        <v>Not Due</v>
      </c>
    </row>
    <row r="498" spans="1:18" x14ac:dyDescent="0.35">
      <c r="A498" t="s">
        <v>505</v>
      </c>
      <c r="B498" t="s">
        <v>812</v>
      </c>
      <c r="C498" s="9">
        <v>45288</v>
      </c>
      <c r="D498" s="28" t="str">
        <f t="shared" si="63"/>
        <v>Dec 2023</v>
      </c>
      <c r="E498" s="9">
        <v>45318</v>
      </c>
      <c r="F498" t="s">
        <v>817</v>
      </c>
      <c r="G498">
        <v>1121.18</v>
      </c>
      <c r="H498" t="s">
        <v>820</v>
      </c>
      <c r="I498" s="15">
        <f t="shared" si="64"/>
        <v>0</v>
      </c>
      <c r="J498" s="18" t="str">
        <f t="shared" si="65"/>
        <v>N/A</v>
      </c>
      <c r="L498" s="54" t="str">
        <f t="shared" si="66"/>
        <v/>
      </c>
      <c r="M498" s="9" t="str">
        <f t="shared" si="67"/>
        <v/>
      </c>
      <c r="N498" t="s">
        <v>822</v>
      </c>
      <c r="O498" s="17">
        <f t="shared" si="68"/>
        <v>45868</v>
      </c>
      <c r="P498" s="25">
        <f t="shared" si="69"/>
        <v>550</v>
      </c>
      <c r="Q498" t="str">
        <f t="shared" si="70"/>
        <v>90+</v>
      </c>
      <c r="R498" t="str">
        <f t="shared" si="71"/>
        <v>Due</v>
      </c>
    </row>
    <row r="499" spans="1:18" x14ac:dyDescent="0.35">
      <c r="A499" t="s">
        <v>506</v>
      </c>
      <c r="B499" t="s">
        <v>810</v>
      </c>
      <c r="C499" s="9">
        <v>45395</v>
      </c>
      <c r="D499" s="28" t="str">
        <f t="shared" si="63"/>
        <v>Apr 2024</v>
      </c>
      <c r="E499" s="9">
        <v>45425</v>
      </c>
      <c r="F499" t="s">
        <v>814</v>
      </c>
      <c r="G499">
        <v>4604.01</v>
      </c>
      <c r="H499" t="s">
        <v>820</v>
      </c>
      <c r="I499" s="15">
        <f t="shared" si="64"/>
        <v>0</v>
      </c>
      <c r="J499" s="18" t="str">
        <f t="shared" si="65"/>
        <v>N/A</v>
      </c>
      <c r="L499" s="54" t="str">
        <f t="shared" si="66"/>
        <v/>
      </c>
      <c r="M499" s="9" t="str">
        <f t="shared" si="67"/>
        <v/>
      </c>
      <c r="N499" t="s">
        <v>822</v>
      </c>
      <c r="O499" s="17">
        <f t="shared" si="68"/>
        <v>45868</v>
      </c>
      <c r="P499" s="25">
        <f t="shared" si="69"/>
        <v>443</v>
      </c>
      <c r="Q499" t="str">
        <f t="shared" si="70"/>
        <v>90+</v>
      </c>
      <c r="R499" t="str">
        <f t="shared" si="71"/>
        <v>Due</v>
      </c>
    </row>
    <row r="500" spans="1:18" x14ac:dyDescent="0.35">
      <c r="A500" t="s">
        <v>507</v>
      </c>
      <c r="B500" t="s">
        <v>811</v>
      </c>
      <c r="C500" s="9">
        <v>45327</v>
      </c>
      <c r="D500" s="28" t="str">
        <f t="shared" si="63"/>
        <v>Feb 2024</v>
      </c>
      <c r="E500" s="9">
        <v>45357</v>
      </c>
      <c r="F500" t="s">
        <v>817</v>
      </c>
      <c r="G500">
        <v>597.75</v>
      </c>
      <c r="H500" t="s">
        <v>819</v>
      </c>
      <c r="I500" s="15">
        <f t="shared" si="64"/>
        <v>0</v>
      </c>
      <c r="J500" s="18">
        <f t="shared" si="65"/>
        <v>597.75</v>
      </c>
      <c r="L500" s="54" t="str">
        <f t="shared" si="66"/>
        <v/>
      </c>
      <c r="M500" s="9" t="str">
        <f t="shared" si="67"/>
        <v/>
      </c>
      <c r="N500" t="s">
        <v>822</v>
      </c>
      <c r="O500" s="17">
        <f t="shared" si="68"/>
        <v>45868</v>
      </c>
      <c r="P500" s="25">
        <f t="shared" si="69"/>
        <v>511</v>
      </c>
      <c r="Q500" t="str">
        <f t="shared" si="70"/>
        <v>90+</v>
      </c>
      <c r="R500" t="str">
        <f t="shared" si="71"/>
        <v>Due</v>
      </c>
    </row>
    <row r="501" spans="1:18" x14ac:dyDescent="0.35">
      <c r="A501" t="s">
        <v>508</v>
      </c>
      <c r="B501" t="s">
        <v>809</v>
      </c>
      <c r="C501" s="9">
        <v>45680</v>
      </c>
      <c r="D501" s="28" t="str">
        <f t="shared" si="63"/>
        <v>Jan 2025</v>
      </c>
      <c r="E501" s="9">
        <v>45710</v>
      </c>
      <c r="F501" t="s">
        <v>817</v>
      </c>
      <c r="G501">
        <v>1752.55</v>
      </c>
      <c r="H501" t="s">
        <v>819</v>
      </c>
      <c r="I501" s="15">
        <f t="shared" si="64"/>
        <v>0</v>
      </c>
      <c r="J501" s="18">
        <f t="shared" si="65"/>
        <v>1752.55</v>
      </c>
      <c r="L501" s="54" t="str">
        <f t="shared" si="66"/>
        <v/>
      </c>
      <c r="M501" s="9" t="str">
        <f t="shared" si="67"/>
        <v/>
      </c>
      <c r="N501" t="s">
        <v>822</v>
      </c>
      <c r="O501" s="17">
        <f t="shared" si="68"/>
        <v>45868</v>
      </c>
      <c r="P501" s="25">
        <f t="shared" si="69"/>
        <v>158</v>
      </c>
      <c r="Q501" t="str">
        <f t="shared" si="70"/>
        <v>90+</v>
      </c>
      <c r="R501" t="str">
        <f t="shared" si="71"/>
        <v>Due</v>
      </c>
    </row>
    <row r="502" spans="1:18" x14ac:dyDescent="0.35">
      <c r="A502" t="s">
        <v>509</v>
      </c>
      <c r="B502" t="s">
        <v>811</v>
      </c>
      <c r="C502" s="9">
        <v>44998</v>
      </c>
      <c r="D502" s="28" t="str">
        <f t="shared" si="63"/>
        <v>Mar 2023</v>
      </c>
      <c r="E502" s="9">
        <v>45028</v>
      </c>
      <c r="F502" t="s">
        <v>814</v>
      </c>
      <c r="G502">
        <v>4064.61</v>
      </c>
      <c r="H502" t="s">
        <v>819</v>
      </c>
      <c r="I502" s="15">
        <f t="shared" si="64"/>
        <v>0</v>
      </c>
      <c r="J502" s="18">
        <f t="shared" si="65"/>
        <v>4064.61</v>
      </c>
      <c r="L502" s="54" t="str">
        <f t="shared" si="66"/>
        <v/>
      </c>
      <c r="M502" s="9" t="str">
        <f t="shared" si="67"/>
        <v/>
      </c>
      <c r="N502" t="s">
        <v>822</v>
      </c>
      <c r="O502" s="17">
        <f t="shared" si="68"/>
        <v>45868</v>
      </c>
      <c r="P502" s="25">
        <f t="shared" si="69"/>
        <v>840</v>
      </c>
      <c r="Q502" t="str">
        <f t="shared" si="70"/>
        <v>90+</v>
      </c>
      <c r="R502" t="str">
        <f t="shared" si="71"/>
        <v>Due</v>
      </c>
    </row>
    <row r="503" spans="1:18" x14ac:dyDescent="0.35">
      <c r="A503" t="s">
        <v>510</v>
      </c>
      <c r="B503" t="s">
        <v>809</v>
      </c>
      <c r="C503" s="9">
        <v>45584</v>
      </c>
      <c r="D503" s="28" t="str">
        <f t="shared" si="63"/>
        <v>Oct 2024</v>
      </c>
      <c r="E503" s="9">
        <v>45614</v>
      </c>
      <c r="F503" t="s">
        <v>818</v>
      </c>
      <c r="G503">
        <v>823.12</v>
      </c>
      <c r="H503" t="s">
        <v>820</v>
      </c>
      <c r="I503" s="15">
        <f t="shared" si="64"/>
        <v>0</v>
      </c>
      <c r="J503" s="18" t="str">
        <f t="shared" si="65"/>
        <v>N/A</v>
      </c>
      <c r="L503" s="54" t="str">
        <f t="shared" si="66"/>
        <v/>
      </c>
      <c r="M503" s="9" t="str">
        <f t="shared" si="67"/>
        <v/>
      </c>
      <c r="N503" t="s">
        <v>822</v>
      </c>
      <c r="O503" s="17">
        <f t="shared" si="68"/>
        <v>45868</v>
      </c>
      <c r="P503" s="25">
        <f t="shared" si="69"/>
        <v>254</v>
      </c>
      <c r="Q503" t="str">
        <f t="shared" si="70"/>
        <v>90+</v>
      </c>
      <c r="R503" t="str">
        <f t="shared" si="71"/>
        <v>Due</v>
      </c>
    </row>
    <row r="504" spans="1:18" x14ac:dyDescent="0.35">
      <c r="A504" t="s">
        <v>511</v>
      </c>
      <c r="B504" t="s">
        <v>813</v>
      </c>
      <c r="C504" s="9">
        <v>45555</v>
      </c>
      <c r="D504" s="28" t="str">
        <f t="shared" si="63"/>
        <v>Sep 2024</v>
      </c>
      <c r="E504" s="9">
        <v>45585</v>
      </c>
      <c r="F504" t="s">
        <v>814</v>
      </c>
      <c r="G504">
        <v>741.26</v>
      </c>
      <c r="H504" t="s">
        <v>821</v>
      </c>
      <c r="I504" s="15">
        <f t="shared" si="64"/>
        <v>741.26</v>
      </c>
      <c r="J504" s="18">
        <f t="shared" si="65"/>
        <v>0</v>
      </c>
      <c r="K504" s="9">
        <v>45585</v>
      </c>
      <c r="L504" s="54">
        <f t="shared" si="66"/>
        <v>30</v>
      </c>
      <c r="M504" s="9" t="str">
        <f t="shared" si="67"/>
        <v>2024-Oct</v>
      </c>
      <c r="N504" t="s">
        <v>822</v>
      </c>
      <c r="O504" s="17">
        <f t="shared" si="68"/>
        <v>45868</v>
      </c>
      <c r="P504" s="25">
        <f t="shared" si="69"/>
        <v>0</v>
      </c>
      <c r="Q504" t="str">
        <f t="shared" si="70"/>
        <v>Paid</v>
      </c>
      <c r="R504" t="str">
        <f t="shared" si="71"/>
        <v>Not Due</v>
      </c>
    </row>
    <row r="505" spans="1:18" x14ac:dyDescent="0.35">
      <c r="A505" t="s">
        <v>512</v>
      </c>
      <c r="B505" t="s">
        <v>810</v>
      </c>
      <c r="C505" s="9">
        <v>45761</v>
      </c>
      <c r="D505" s="28" t="str">
        <f t="shared" si="63"/>
        <v>Apr 2025</v>
      </c>
      <c r="E505" s="9">
        <v>45791</v>
      </c>
      <c r="F505" t="s">
        <v>814</v>
      </c>
      <c r="G505">
        <v>3888.56</v>
      </c>
      <c r="H505" t="s">
        <v>819</v>
      </c>
      <c r="I505" s="15">
        <f t="shared" si="64"/>
        <v>0</v>
      </c>
      <c r="J505" s="18">
        <f t="shared" si="65"/>
        <v>3888.56</v>
      </c>
      <c r="L505" s="54" t="str">
        <f t="shared" si="66"/>
        <v/>
      </c>
      <c r="M505" s="9" t="str">
        <f t="shared" si="67"/>
        <v/>
      </c>
      <c r="N505" t="s">
        <v>822</v>
      </c>
      <c r="O505" s="17">
        <f t="shared" si="68"/>
        <v>45868</v>
      </c>
      <c r="P505" s="25">
        <f t="shared" si="69"/>
        <v>77</v>
      </c>
      <c r="Q505" t="str">
        <f t="shared" si="70"/>
        <v>61-90</v>
      </c>
      <c r="R505" t="str">
        <f t="shared" si="71"/>
        <v>Due</v>
      </c>
    </row>
    <row r="506" spans="1:18" x14ac:dyDescent="0.35">
      <c r="A506" t="s">
        <v>513</v>
      </c>
      <c r="B506" t="s">
        <v>809</v>
      </c>
      <c r="C506" s="9">
        <v>45641</v>
      </c>
      <c r="D506" s="28" t="str">
        <f t="shared" si="63"/>
        <v>Dec 2024</v>
      </c>
      <c r="E506" s="9">
        <v>45671</v>
      </c>
      <c r="F506" t="s">
        <v>814</v>
      </c>
      <c r="G506">
        <v>4140.28</v>
      </c>
      <c r="H506" t="s">
        <v>820</v>
      </c>
      <c r="I506" s="15">
        <f t="shared" si="64"/>
        <v>0</v>
      </c>
      <c r="J506" s="18" t="str">
        <f t="shared" si="65"/>
        <v>N/A</v>
      </c>
      <c r="L506" s="54" t="str">
        <f t="shared" si="66"/>
        <v/>
      </c>
      <c r="M506" s="9" t="str">
        <f t="shared" si="67"/>
        <v/>
      </c>
      <c r="N506" t="s">
        <v>822</v>
      </c>
      <c r="O506" s="17">
        <f t="shared" si="68"/>
        <v>45868</v>
      </c>
      <c r="P506" s="25">
        <f t="shared" si="69"/>
        <v>197</v>
      </c>
      <c r="Q506" t="str">
        <f t="shared" si="70"/>
        <v>90+</v>
      </c>
      <c r="R506" t="str">
        <f t="shared" si="71"/>
        <v>Due</v>
      </c>
    </row>
    <row r="507" spans="1:18" x14ac:dyDescent="0.35">
      <c r="A507" t="s">
        <v>514</v>
      </c>
      <c r="B507" t="s">
        <v>811</v>
      </c>
      <c r="C507" s="9">
        <v>45777</v>
      </c>
      <c r="D507" s="28" t="str">
        <f t="shared" si="63"/>
        <v>Apr 2025</v>
      </c>
      <c r="E507" s="9">
        <v>45807</v>
      </c>
      <c r="F507" t="s">
        <v>817</v>
      </c>
      <c r="G507">
        <v>2971.5</v>
      </c>
      <c r="H507" t="s">
        <v>819</v>
      </c>
      <c r="I507" s="15">
        <f t="shared" si="64"/>
        <v>0</v>
      </c>
      <c r="J507" s="18">
        <f t="shared" si="65"/>
        <v>2971.5</v>
      </c>
      <c r="L507" s="54" t="str">
        <f t="shared" si="66"/>
        <v/>
      </c>
      <c r="M507" s="9" t="str">
        <f t="shared" si="67"/>
        <v/>
      </c>
      <c r="N507" t="s">
        <v>822</v>
      </c>
      <c r="O507" s="17">
        <f t="shared" si="68"/>
        <v>45868</v>
      </c>
      <c r="P507" s="25">
        <f t="shared" si="69"/>
        <v>61</v>
      </c>
      <c r="Q507" t="str">
        <f t="shared" si="70"/>
        <v>61-90</v>
      </c>
      <c r="R507" t="str">
        <f t="shared" si="71"/>
        <v>Due</v>
      </c>
    </row>
    <row r="508" spans="1:18" x14ac:dyDescent="0.35">
      <c r="A508" t="s">
        <v>515</v>
      </c>
      <c r="B508" t="s">
        <v>809</v>
      </c>
      <c r="C508" s="9">
        <v>45786</v>
      </c>
      <c r="D508" s="28" t="str">
        <f t="shared" si="63"/>
        <v>May 2025</v>
      </c>
      <c r="E508" s="9">
        <v>45816</v>
      </c>
      <c r="F508" t="s">
        <v>818</v>
      </c>
      <c r="G508">
        <v>2119.8000000000002</v>
      </c>
      <c r="H508" t="s">
        <v>821</v>
      </c>
      <c r="I508" s="15">
        <f t="shared" si="64"/>
        <v>2119.8000000000002</v>
      </c>
      <c r="J508" s="18">
        <f t="shared" si="65"/>
        <v>0</v>
      </c>
      <c r="K508" s="9">
        <v>45816</v>
      </c>
      <c r="L508" s="54">
        <f t="shared" si="66"/>
        <v>30</v>
      </c>
      <c r="M508" s="9" t="str">
        <f t="shared" si="67"/>
        <v>2025-Jun</v>
      </c>
      <c r="N508" t="s">
        <v>822</v>
      </c>
      <c r="O508" s="17">
        <f t="shared" si="68"/>
        <v>45868</v>
      </c>
      <c r="P508" s="25">
        <f t="shared" si="69"/>
        <v>0</v>
      </c>
      <c r="Q508" t="str">
        <f t="shared" si="70"/>
        <v>Paid</v>
      </c>
      <c r="R508" t="str">
        <f t="shared" si="71"/>
        <v>Not Due</v>
      </c>
    </row>
    <row r="509" spans="1:18" x14ac:dyDescent="0.35">
      <c r="A509" t="s">
        <v>516</v>
      </c>
      <c r="B509" t="s">
        <v>811</v>
      </c>
      <c r="C509" s="9">
        <v>45472</v>
      </c>
      <c r="D509" s="28" t="str">
        <f t="shared" si="63"/>
        <v>Jun 2024</v>
      </c>
      <c r="E509" s="9">
        <v>45502</v>
      </c>
      <c r="F509" t="s">
        <v>816</v>
      </c>
      <c r="G509">
        <v>6201.29</v>
      </c>
      <c r="H509" t="s">
        <v>821</v>
      </c>
      <c r="I509" s="15">
        <f t="shared" si="64"/>
        <v>6201.29</v>
      </c>
      <c r="J509" s="18">
        <f t="shared" si="65"/>
        <v>0</v>
      </c>
      <c r="K509" s="9">
        <v>45502</v>
      </c>
      <c r="L509" s="54">
        <f t="shared" si="66"/>
        <v>30</v>
      </c>
      <c r="M509" s="9" t="str">
        <f t="shared" si="67"/>
        <v>2024-Jul</v>
      </c>
      <c r="N509" t="s">
        <v>822</v>
      </c>
      <c r="O509" s="17">
        <f t="shared" si="68"/>
        <v>45868</v>
      </c>
      <c r="P509" s="25">
        <f t="shared" si="69"/>
        <v>0</v>
      </c>
      <c r="Q509" t="str">
        <f t="shared" si="70"/>
        <v>Paid</v>
      </c>
      <c r="R509" t="str">
        <f t="shared" si="71"/>
        <v>Not Due</v>
      </c>
    </row>
    <row r="510" spans="1:18" x14ac:dyDescent="0.35">
      <c r="A510" t="s">
        <v>517</v>
      </c>
      <c r="B510" t="s">
        <v>811</v>
      </c>
      <c r="C510" s="9">
        <v>45002</v>
      </c>
      <c r="D510" s="28" t="str">
        <f t="shared" si="63"/>
        <v>Mar 2023</v>
      </c>
      <c r="E510" s="9">
        <v>45032</v>
      </c>
      <c r="F510" t="s">
        <v>818</v>
      </c>
      <c r="G510">
        <v>2584.08</v>
      </c>
      <c r="H510" t="s">
        <v>819</v>
      </c>
      <c r="I510" s="15">
        <f t="shared" si="64"/>
        <v>0</v>
      </c>
      <c r="J510" s="18">
        <f t="shared" si="65"/>
        <v>2584.08</v>
      </c>
      <c r="L510" s="54" t="str">
        <f t="shared" si="66"/>
        <v/>
      </c>
      <c r="M510" s="9" t="str">
        <f t="shared" si="67"/>
        <v/>
      </c>
      <c r="N510" t="s">
        <v>822</v>
      </c>
      <c r="O510" s="17">
        <f t="shared" si="68"/>
        <v>45868</v>
      </c>
      <c r="P510" s="25">
        <f t="shared" si="69"/>
        <v>836</v>
      </c>
      <c r="Q510" t="str">
        <f t="shared" si="70"/>
        <v>90+</v>
      </c>
      <c r="R510" t="str">
        <f t="shared" si="71"/>
        <v>Due</v>
      </c>
    </row>
    <row r="511" spans="1:18" x14ac:dyDescent="0.35">
      <c r="A511" t="s">
        <v>518</v>
      </c>
      <c r="B511" t="s">
        <v>811</v>
      </c>
      <c r="C511" s="9">
        <v>44948</v>
      </c>
      <c r="D511" s="28" t="str">
        <f t="shared" si="63"/>
        <v>Jan 2023</v>
      </c>
      <c r="E511" s="9">
        <v>44978</v>
      </c>
      <c r="F511" t="s">
        <v>814</v>
      </c>
      <c r="G511">
        <v>2316.25</v>
      </c>
      <c r="H511" t="s">
        <v>820</v>
      </c>
      <c r="I511" s="15">
        <f t="shared" si="64"/>
        <v>0</v>
      </c>
      <c r="J511" s="18" t="str">
        <f t="shared" si="65"/>
        <v>N/A</v>
      </c>
      <c r="L511" s="54" t="str">
        <f t="shared" si="66"/>
        <v/>
      </c>
      <c r="M511" s="9" t="str">
        <f t="shared" si="67"/>
        <v/>
      </c>
      <c r="N511" t="s">
        <v>822</v>
      </c>
      <c r="O511" s="17">
        <f t="shared" si="68"/>
        <v>45868</v>
      </c>
      <c r="P511" s="25">
        <f t="shared" si="69"/>
        <v>890</v>
      </c>
      <c r="Q511" t="str">
        <f t="shared" si="70"/>
        <v>90+</v>
      </c>
      <c r="R511" t="str">
        <f t="shared" si="71"/>
        <v>Due</v>
      </c>
    </row>
    <row r="512" spans="1:18" x14ac:dyDescent="0.35">
      <c r="A512" t="s">
        <v>519</v>
      </c>
      <c r="B512" t="s">
        <v>809</v>
      </c>
      <c r="C512" s="9">
        <v>44930</v>
      </c>
      <c r="D512" s="28" t="str">
        <f t="shared" si="63"/>
        <v>Jan 2023</v>
      </c>
      <c r="E512" s="9">
        <v>44960</v>
      </c>
      <c r="F512" t="s">
        <v>815</v>
      </c>
      <c r="G512">
        <v>3357.86</v>
      </c>
      <c r="H512" t="s">
        <v>819</v>
      </c>
      <c r="I512" s="15">
        <f t="shared" si="64"/>
        <v>0</v>
      </c>
      <c r="J512" s="18">
        <f t="shared" si="65"/>
        <v>3357.86</v>
      </c>
      <c r="L512" s="54" t="str">
        <f t="shared" si="66"/>
        <v/>
      </c>
      <c r="M512" s="9" t="str">
        <f t="shared" si="67"/>
        <v/>
      </c>
      <c r="N512" t="s">
        <v>822</v>
      </c>
      <c r="O512" s="17">
        <f t="shared" si="68"/>
        <v>45868</v>
      </c>
      <c r="P512" s="25">
        <f t="shared" si="69"/>
        <v>908</v>
      </c>
      <c r="Q512" t="str">
        <f t="shared" si="70"/>
        <v>90+</v>
      </c>
      <c r="R512" t="str">
        <f t="shared" si="71"/>
        <v>Due</v>
      </c>
    </row>
    <row r="513" spans="1:18" x14ac:dyDescent="0.35">
      <c r="A513" t="s">
        <v>520</v>
      </c>
      <c r="B513" t="s">
        <v>813</v>
      </c>
      <c r="C513" s="9">
        <v>45118</v>
      </c>
      <c r="D513" s="28" t="str">
        <f t="shared" si="63"/>
        <v>Jul 2023</v>
      </c>
      <c r="E513" s="9">
        <v>45148</v>
      </c>
      <c r="F513" t="s">
        <v>815</v>
      </c>
      <c r="G513">
        <v>2217.63</v>
      </c>
      <c r="H513" t="s">
        <v>820</v>
      </c>
      <c r="I513" s="15">
        <f t="shared" si="64"/>
        <v>0</v>
      </c>
      <c r="J513" s="18" t="str">
        <f t="shared" si="65"/>
        <v>N/A</v>
      </c>
      <c r="L513" s="54" t="str">
        <f t="shared" si="66"/>
        <v/>
      </c>
      <c r="M513" s="9" t="str">
        <f t="shared" si="67"/>
        <v/>
      </c>
      <c r="N513" t="s">
        <v>822</v>
      </c>
      <c r="O513" s="17">
        <f t="shared" si="68"/>
        <v>45868</v>
      </c>
      <c r="P513" s="25">
        <f t="shared" si="69"/>
        <v>720</v>
      </c>
      <c r="Q513" t="str">
        <f t="shared" si="70"/>
        <v>90+</v>
      </c>
      <c r="R513" t="str">
        <f t="shared" si="71"/>
        <v>Due</v>
      </c>
    </row>
    <row r="514" spans="1:18" x14ac:dyDescent="0.35">
      <c r="A514" t="s">
        <v>521</v>
      </c>
      <c r="B514" t="s">
        <v>811</v>
      </c>
      <c r="C514" s="9">
        <v>45196</v>
      </c>
      <c r="D514" s="28" t="str">
        <f t="shared" si="63"/>
        <v>Sep 2023</v>
      </c>
      <c r="E514" s="9">
        <v>45226</v>
      </c>
      <c r="F514" t="s">
        <v>816</v>
      </c>
      <c r="G514">
        <v>6734.36</v>
      </c>
      <c r="H514" t="s">
        <v>819</v>
      </c>
      <c r="I514" s="15">
        <f t="shared" si="64"/>
        <v>0</v>
      </c>
      <c r="J514" s="18">
        <f t="shared" si="65"/>
        <v>6734.36</v>
      </c>
      <c r="L514" s="54" t="str">
        <f t="shared" si="66"/>
        <v/>
      </c>
      <c r="M514" s="9" t="str">
        <f t="shared" si="67"/>
        <v/>
      </c>
      <c r="N514" t="s">
        <v>822</v>
      </c>
      <c r="O514" s="17">
        <f t="shared" si="68"/>
        <v>45868</v>
      </c>
      <c r="P514" s="25">
        <f t="shared" si="69"/>
        <v>642</v>
      </c>
      <c r="Q514" t="str">
        <f t="shared" si="70"/>
        <v>90+</v>
      </c>
      <c r="R514" t="str">
        <f t="shared" si="71"/>
        <v>Due</v>
      </c>
    </row>
    <row r="515" spans="1:18" x14ac:dyDescent="0.35">
      <c r="A515" t="s">
        <v>522</v>
      </c>
      <c r="B515" t="s">
        <v>809</v>
      </c>
      <c r="C515" s="9">
        <v>45446</v>
      </c>
      <c r="D515" s="28" t="str">
        <f t="shared" ref="D515:D578" si="72">TEXT(C515,"MMM YYYY")</f>
        <v>Jun 2024</v>
      </c>
      <c r="E515" s="9">
        <v>45476</v>
      </c>
      <c r="F515" t="s">
        <v>818</v>
      </c>
      <c r="G515">
        <v>1843.4</v>
      </c>
      <c r="H515" t="s">
        <v>819</v>
      </c>
      <c r="I515" s="15">
        <f t="shared" ref="I515:I578" si="73">IF(H515="Paid",G515,0)</f>
        <v>0</v>
      </c>
      <c r="J515" s="18">
        <f t="shared" ref="J515:J578" si="74">IF(H515="Open",G515,IF(H515="Paid",0,"N/A"))</f>
        <v>1843.4</v>
      </c>
      <c r="L515" s="54" t="str">
        <f t="shared" ref="L515:L578" si="75">IF(H515="Paid",K515-C515,"")</f>
        <v/>
      </c>
      <c r="M515" s="9" t="str">
        <f t="shared" ref="M515:M578" si="76">IF(K515="","",TEXT(K515, "YYYY-MMM"))</f>
        <v/>
      </c>
      <c r="N515" t="s">
        <v>822</v>
      </c>
      <c r="O515" s="17">
        <f t="shared" ref="O515:O578" si="77">MAX(MAX($C$2:$C$801), MAX($E$2:$E$801))</f>
        <v>45868</v>
      </c>
      <c r="P515" s="25">
        <f t="shared" ref="P515:P578" si="78">IF(K515="", O515-E515,0)</f>
        <v>392</v>
      </c>
      <c r="Q515" t="str">
        <f t="shared" ref="Q515:Q578" si="79">IF(H515="Paid","Paid",
   IF(P515&lt;=0,"Current",
      IF(P515&lt;=30,"1-30",
         IF(P515&lt;=60,"31-60",
            IF(P515&lt;=90,"61-90","90+")))))</f>
        <v>90+</v>
      </c>
      <c r="R515" t="str">
        <f t="shared" ref="R515:R578" si="80">IF(P515=0, "Not Due","Due")</f>
        <v>Due</v>
      </c>
    </row>
    <row r="516" spans="1:18" x14ac:dyDescent="0.35">
      <c r="A516" t="s">
        <v>523</v>
      </c>
      <c r="B516" t="s">
        <v>811</v>
      </c>
      <c r="C516" s="9">
        <v>45637</v>
      </c>
      <c r="D516" s="28" t="str">
        <f t="shared" si="72"/>
        <v>Dec 2024</v>
      </c>
      <c r="E516" s="9">
        <v>45667</v>
      </c>
      <c r="F516" t="s">
        <v>816</v>
      </c>
      <c r="G516">
        <v>5180.91</v>
      </c>
      <c r="H516" t="s">
        <v>819</v>
      </c>
      <c r="I516" s="15">
        <f t="shared" si="73"/>
        <v>0</v>
      </c>
      <c r="J516" s="18">
        <f t="shared" si="74"/>
        <v>5180.91</v>
      </c>
      <c r="L516" s="54" t="str">
        <f t="shared" si="75"/>
        <v/>
      </c>
      <c r="M516" s="9" t="str">
        <f t="shared" si="76"/>
        <v/>
      </c>
      <c r="N516" t="s">
        <v>822</v>
      </c>
      <c r="O516" s="17">
        <f t="shared" si="77"/>
        <v>45868</v>
      </c>
      <c r="P516" s="25">
        <f t="shared" si="78"/>
        <v>201</v>
      </c>
      <c r="Q516" t="str">
        <f t="shared" si="79"/>
        <v>90+</v>
      </c>
      <c r="R516" t="str">
        <f t="shared" si="80"/>
        <v>Due</v>
      </c>
    </row>
    <row r="517" spans="1:18" x14ac:dyDescent="0.35">
      <c r="A517" t="s">
        <v>524</v>
      </c>
      <c r="B517" t="s">
        <v>810</v>
      </c>
      <c r="C517" s="9">
        <v>45291</v>
      </c>
      <c r="D517" s="28" t="str">
        <f t="shared" si="72"/>
        <v>Dec 2023</v>
      </c>
      <c r="E517" s="9">
        <v>45321</v>
      </c>
      <c r="F517" t="s">
        <v>815</v>
      </c>
      <c r="G517">
        <v>3464.37</v>
      </c>
      <c r="H517" t="s">
        <v>819</v>
      </c>
      <c r="I517" s="15">
        <f t="shared" si="73"/>
        <v>0</v>
      </c>
      <c r="J517" s="18">
        <f t="shared" si="74"/>
        <v>3464.37</v>
      </c>
      <c r="L517" s="54" t="str">
        <f t="shared" si="75"/>
        <v/>
      </c>
      <c r="M517" s="9" t="str">
        <f t="shared" si="76"/>
        <v/>
      </c>
      <c r="N517" t="s">
        <v>822</v>
      </c>
      <c r="O517" s="17">
        <f t="shared" si="77"/>
        <v>45868</v>
      </c>
      <c r="P517" s="25">
        <f t="shared" si="78"/>
        <v>547</v>
      </c>
      <c r="Q517" t="str">
        <f t="shared" si="79"/>
        <v>90+</v>
      </c>
      <c r="R517" t="str">
        <f t="shared" si="80"/>
        <v>Due</v>
      </c>
    </row>
    <row r="518" spans="1:18" x14ac:dyDescent="0.35">
      <c r="A518" t="s">
        <v>525</v>
      </c>
      <c r="B518" t="s">
        <v>810</v>
      </c>
      <c r="C518" s="9">
        <v>45538</v>
      </c>
      <c r="D518" s="28" t="str">
        <f t="shared" si="72"/>
        <v>Sep 2024</v>
      </c>
      <c r="E518" s="9">
        <v>45568</v>
      </c>
      <c r="F518" t="s">
        <v>815</v>
      </c>
      <c r="G518">
        <v>1896.16</v>
      </c>
      <c r="H518" t="s">
        <v>819</v>
      </c>
      <c r="I518" s="15">
        <f t="shared" si="73"/>
        <v>0</v>
      </c>
      <c r="J518" s="18">
        <f t="shared" si="74"/>
        <v>1896.16</v>
      </c>
      <c r="L518" s="54" t="str">
        <f t="shared" si="75"/>
        <v/>
      </c>
      <c r="M518" s="9" t="str">
        <f t="shared" si="76"/>
        <v/>
      </c>
      <c r="N518" t="s">
        <v>822</v>
      </c>
      <c r="O518" s="17">
        <f t="shared" si="77"/>
        <v>45868</v>
      </c>
      <c r="P518" s="25">
        <f t="shared" si="78"/>
        <v>300</v>
      </c>
      <c r="Q518" t="str">
        <f t="shared" si="79"/>
        <v>90+</v>
      </c>
      <c r="R518" t="str">
        <f t="shared" si="80"/>
        <v>Due</v>
      </c>
    </row>
    <row r="519" spans="1:18" x14ac:dyDescent="0.35">
      <c r="A519" t="s">
        <v>526</v>
      </c>
      <c r="B519" t="s">
        <v>813</v>
      </c>
      <c r="C519" s="9">
        <v>45173</v>
      </c>
      <c r="D519" s="28" t="str">
        <f t="shared" si="72"/>
        <v>Sep 2023</v>
      </c>
      <c r="E519" s="9">
        <v>45203</v>
      </c>
      <c r="F519" t="s">
        <v>815</v>
      </c>
      <c r="G519">
        <v>1204.23</v>
      </c>
      <c r="H519" t="s">
        <v>819</v>
      </c>
      <c r="I519" s="15">
        <f t="shared" si="73"/>
        <v>0</v>
      </c>
      <c r="J519" s="18">
        <f t="shared" si="74"/>
        <v>1204.23</v>
      </c>
      <c r="L519" s="54" t="str">
        <f t="shared" si="75"/>
        <v/>
      </c>
      <c r="M519" s="9" t="str">
        <f t="shared" si="76"/>
        <v/>
      </c>
      <c r="N519" t="s">
        <v>822</v>
      </c>
      <c r="O519" s="17">
        <f t="shared" si="77"/>
        <v>45868</v>
      </c>
      <c r="P519" s="25">
        <f t="shared" si="78"/>
        <v>665</v>
      </c>
      <c r="Q519" t="str">
        <f t="shared" si="79"/>
        <v>90+</v>
      </c>
      <c r="R519" t="str">
        <f t="shared" si="80"/>
        <v>Due</v>
      </c>
    </row>
    <row r="520" spans="1:18" x14ac:dyDescent="0.35">
      <c r="A520" t="s">
        <v>527</v>
      </c>
      <c r="B520" t="s">
        <v>809</v>
      </c>
      <c r="C520" s="9">
        <v>45825</v>
      </c>
      <c r="D520" s="28" t="str">
        <f t="shared" si="72"/>
        <v>Jun 2025</v>
      </c>
      <c r="E520" s="9">
        <v>45855</v>
      </c>
      <c r="F520" t="s">
        <v>817</v>
      </c>
      <c r="G520">
        <v>556.64</v>
      </c>
      <c r="H520" t="s">
        <v>820</v>
      </c>
      <c r="I520" s="15">
        <f t="shared" si="73"/>
        <v>0</v>
      </c>
      <c r="J520" s="18" t="str">
        <f t="shared" si="74"/>
        <v>N/A</v>
      </c>
      <c r="L520" s="54" t="str">
        <f t="shared" si="75"/>
        <v/>
      </c>
      <c r="M520" s="9" t="str">
        <f t="shared" si="76"/>
        <v/>
      </c>
      <c r="N520" t="s">
        <v>822</v>
      </c>
      <c r="O520" s="17">
        <f t="shared" si="77"/>
        <v>45868</v>
      </c>
      <c r="P520" s="25">
        <f t="shared" si="78"/>
        <v>13</v>
      </c>
      <c r="Q520" t="str">
        <f t="shared" si="79"/>
        <v>1-30</v>
      </c>
      <c r="R520" t="str">
        <f t="shared" si="80"/>
        <v>Due</v>
      </c>
    </row>
    <row r="521" spans="1:18" x14ac:dyDescent="0.35">
      <c r="A521" t="s">
        <v>528</v>
      </c>
      <c r="B521" t="s">
        <v>812</v>
      </c>
      <c r="C521" s="9">
        <v>45671</v>
      </c>
      <c r="D521" s="28" t="str">
        <f t="shared" si="72"/>
        <v>Jan 2025</v>
      </c>
      <c r="E521" s="9">
        <v>45701</v>
      </c>
      <c r="F521" t="s">
        <v>814</v>
      </c>
      <c r="G521">
        <v>2426.63</v>
      </c>
      <c r="H521" t="s">
        <v>820</v>
      </c>
      <c r="I521" s="15">
        <f t="shared" si="73"/>
        <v>0</v>
      </c>
      <c r="J521" s="18" t="str">
        <f t="shared" si="74"/>
        <v>N/A</v>
      </c>
      <c r="L521" s="54" t="str">
        <f t="shared" si="75"/>
        <v/>
      </c>
      <c r="M521" s="9" t="str">
        <f t="shared" si="76"/>
        <v/>
      </c>
      <c r="N521" t="s">
        <v>822</v>
      </c>
      <c r="O521" s="17">
        <f t="shared" si="77"/>
        <v>45868</v>
      </c>
      <c r="P521" s="25">
        <f t="shared" si="78"/>
        <v>167</v>
      </c>
      <c r="Q521" t="str">
        <f t="shared" si="79"/>
        <v>90+</v>
      </c>
      <c r="R521" t="str">
        <f t="shared" si="80"/>
        <v>Due</v>
      </c>
    </row>
    <row r="522" spans="1:18" x14ac:dyDescent="0.35">
      <c r="A522" t="s">
        <v>529</v>
      </c>
      <c r="B522" t="s">
        <v>813</v>
      </c>
      <c r="C522" s="9">
        <v>45348</v>
      </c>
      <c r="D522" s="28" t="str">
        <f t="shared" si="72"/>
        <v>Feb 2024</v>
      </c>
      <c r="E522" s="9">
        <v>45378</v>
      </c>
      <c r="F522" t="s">
        <v>816</v>
      </c>
      <c r="G522">
        <v>1664.6</v>
      </c>
      <c r="H522" t="s">
        <v>820</v>
      </c>
      <c r="I522" s="15">
        <f t="shared" si="73"/>
        <v>0</v>
      </c>
      <c r="J522" s="18" t="str">
        <f t="shared" si="74"/>
        <v>N/A</v>
      </c>
      <c r="L522" s="54" t="str">
        <f t="shared" si="75"/>
        <v/>
      </c>
      <c r="M522" s="9" t="str">
        <f t="shared" si="76"/>
        <v/>
      </c>
      <c r="N522" t="s">
        <v>822</v>
      </c>
      <c r="O522" s="17">
        <f t="shared" si="77"/>
        <v>45868</v>
      </c>
      <c r="P522" s="25">
        <f t="shared" si="78"/>
        <v>490</v>
      </c>
      <c r="Q522" t="str">
        <f t="shared" si="79"/>
        <v>90+</v>
      </c>
      <c r="R522" t="str">
        <f t="shared" si="80"/>
        <v>Due</v>
      </c>
    </row>
    <row r="523" spans="1:18" x14ac:dyDescent="0.35">
      <c r="A523" t="s">
        <v>530</v>
      </c>
      <c r="B523" t="s">
        <v>810</v>
      </c>
      <c r="C523" s="9">
        <v>44937</v>
      </c>
      <c r="D523" s="28" t="str">
        <f t="shared" si="72"/>
        <v>Jan 2023</v>
      </c>
      <c r="E523" s="9">
        <v>44967</v>
      </c>
      <c r="F523" t="s">
        <v>818</v>
      </c>
      <c r="G523">
        <v>1157.03</v>
      </c>
      <c r="H523" t="s">
        <v>820</v>
      </c>
      <c r="I523" s="15">
        <f t="shared" si="73"/>
        <v>0</v>
      </c>
      <c r="J523" s="18" t="str">
        <f t="shared" si="74"/>
        <v>N/A</v>
      </c>
      <c r="L523" s="54" t="str">
        <f t="shared" si="75"/>
        <v/>
      </c>
      <c r="M523" s="9" t="str">
        <f t="shared" si="76"/>
        <v/>
      </c>
      <c r="N523" t="s">
        <v>822</v>
      </c>
      <c r="O523" s="17">
        <f t="shared" si="77"/>
        <v>45868</v>
      </c>
      <c r="P523" s="25">
        <f t="shared" si="78"/>
        <v>901</v>
      </c>
      <c r="Q523" t="str">
        <f t="shared" si="79"/>
        <v>90+</v>
      </c>
      <c r="R523" t="str">
        <f t="shared" si="80"/>
        <v>Due</v>
      </c>
    </row>
    <row r="524" spans="1:18" x14ac:dyDescent="0.35">
      <c r="A524" t="s">
        <v>531</v>
      </c>
      <c r="B524" t="s">
        <v>809</v>
      </c>
      <c r="C524" s="9">
        <v>45452</v>
      </c>
      <c r="D524" s="28" t="str">
        <f t="shared" si="72"/>
        <v>Jun 2024</v>
      </c>
      <c r="E524" s="9">
        <v>45482</v>
      </c>
      <c r="F524" t="s">
        <v>816</v>
      </c>
      <c r="G524">
        <v>3767.91</v>
      </c>
      <c r="H524" t="s">
        <v>821</v>
      </c>
      <c r="I524" s="15">
        <f t="shared" si="73"/>
        <v>3767.91</v>
      </c>
      <c r="J524" s="18">
        <f t="shared" si="74"/>
        <v>0</v>
      </c>
      <c r="K524" s="9">
        <v>45482</v>
      </c>
      <c r="L524" s="54">
        <f t="shared" si="75"/>
        <v>30</v>
      </c>
      <c r="M524" s="9" t="str">
        <f t="shared" si="76"/>
        <v>2024-Jul</v>
      </c>
      <c r="N524" t="s">
        <v>822</v>
      </c>
      <c r="O524" s="17">
        <f t="shared" si="77"/>
        <v>45868</v>
      </c>
      <c r="P524" s="25">
        <f t="shared" si="78"/>
        <v>0</v>
      </c>
      <c r="Q524" t="str">
        <f t="shared" si="79"/>
        <v>Paid</v>
      </c>
      <c r="R524" t="str">
        <f t="shared" si="80"/>
        <v>Not Due</v>
      </c>
    </row>
    <row r="525" spans="1:18" x14ac:dyDescent="0.35">
      <c r="A525" t="s">
        <v>532</v>
      </c>
      <c r="B525" t="s">
        <v>812</v>
      </c>
      <c r="C525" s="9">
        <v>45596</v>
      </c>
      <c r="D525" s="28" t="str">
        <f t="shared" si="72"/>
        <v>Oct 2024</v>
      </c>
      <c r="E525" s="9">
        <v>45626</v>
      </c>
      <c r="F525" t="s">
        <v>818</v>
      </c>
      <c r="G525">
        <v>1181.3</v>
      </c>
      <c r="H525" t="s">
        <v>820</v>
      </c>
      <c r="I525" s="15">
        <f t="shared" si="73"/>
        <v>0</v>
      </c>
      <c r="J525" s="18" t="str">
        <f t="shared" si="74"/>
        <v>N/A</v>
      </c>
      <c r="L525" s="54" t="str">
        <f t="shared" si="75"/>
        <v/>
      </c>
      <c r="M525" s="9" t="str">
        <f t="shared" si="76"/>
        <v/>
      </c>
      <c r="N525" t="s">
        <v>822</v>
      </c>
      <c r="O525" s="17">
        <f t="shared" si="77"/>
        <v>45868</v>
      </c>
      <c r="P525" s="25">
        <f t="shared" si="78"/>
        <v>242</v>
      </c>
      <c r="Q525" t="str">
        <f t="shared" si="79"/>
        <v>90+</v>
      </c>
      <c r="R525" t="str">
        <f t="shared" si="80"/>
        <v>Due</v>
      </c>
    </row>
    <row r="526" spans="1:18" x14ac:dyDescent="0.35">
      <c r="A526" t="s">
        <v>533</v>
      </c>
      <c r="B526" t="s">
        <v>811</v>
      </c>
      <c r="C526" s="9">
        <v>45539</v>
      </c>
      <c r="D526" s="28" t="str">
        <f t="shared" si="72"/>
        <v>Sep 2024</v>
      </c>
      <c r="E526" s="9">
        <v>45569</v>
      </c>
      <c r="F526" t="s">
        <v>818</v>
      </c>
      <c r="G526">
        <v>395.22</v>
      </c>
      <c r="H526" t="s">
        <v>821</v>
      </c>
      <c r="I526" s="15">
        <f t="shared" si="73"/>
        <v>395.22</v>
      </c>
      <c r="J526" s="18">
        <f t="shared" si="74"/>
        <v>0</v>
      </c>
      <c r="K526" s="9">
        <v>45569</v>
      </c>
      <c r="L526" s="54">
        <f t="shared" si="75"/>
        <v>30</v>
      </c>
      <c r="M526" s="9" t="str">
        <f t="shared" si="76"/>
        <v>2024-Oct</v>
      </c>
      <c r="N526" t="s">
        <v>822</v>
      </c>
      <c r="O526" s="17">
        <f t="shared" si="77"/>
        <v>45868</v>
      </c>
      <c r="P526" s="25">
        <f t="shared" si="78"/>
        <v>0</v>
      </c>
      <c r="Q526" t="str">
        <f t="shared" si="79"/>
        <v>Paid</v>
      </c>
      <c r="R526" t="str">
        <f t="shared" si="80"/>
        <v>Not Due</v>
      </c>
    </row>
    <row r="527" spans="1:18" x14ac:dyDescent="0.35">
      <c r="A527" t="s">
        <v>534</v>
      </c>
      <c r="B527" t="s">
        <v>813</v>
      </c>
      <c r="C527" s="9">
        <v>45558</v>
      </c>
      <c r="D527" s="28" t="str">
        <f t="shared" si="72"/>
        <v>Sep 2024</v>
      </c>
      <c r="E527" s="9">
        <v>45588</v>
      </c>
      <c r="F527" t="s">
        <v>816</v>
      </c>
      <c r="G527">
        <v>5028.55</v>
      </c>
      <c r="H527" t="s">
        <v>819</v>
      </c>
      <c r="I527" s="15">
        <f t="shared" si="73"/>
        <v>0</v>
      </c>
      <c r="J527" s="18">
        <f t="shared" si="74"/>
        <v>5028.55</v>
      </c>
      <c r="L527" s="54" t="str">
        <f t="shared" si="75"/>
        <v/>
      </c>
      <c r="M527" s="9" t="str">
        <f t="shared" si="76"/>
        <v/>
      </c>
      <c r="N527" t="s">
        <v>822</v>
      </c>
      <c r="O527" s="17">
        <f t="shared" si="77"/>
        <v>45868</v>
      </c>
      <c r="P527" s="25">
        <f t="shared" si="78"/>
        <v>280</v>
      </c>
      <c r="Q527" t="str">
        <f t="shared" si="79"/>
        <v>90+</v>
      </c>
      <c r="R527" t="str">
        <f t="shared" si="80"/>
        <v>Due</v>
      </c>
    </row>
    <row r="528" spans="1:18" x14ac:dyDescent="0.35">
      <c r="A528" t="s">
        <v>535</v>
      </c>
      <c r="B528" t="s">
        <v>813</v>
      </c>
      <c r="C528" s="9">
        <v>45315</v>
      </c>
      <c r="D528" s="28" t="str">
        <f t="shared" si="72"/>
        <v>Jan 2024</v>
      </c>
      <c r="E528" s="9">
        <v>45345</v>
      </c>
      <c r="F528" t="s">
        <v>815</v>
      </c>
      <c r="G528">
        <v>1166.9000000000001</v>
      </c>
      <c r="H528" t="s">
        <v>820</v>
      </c>
      <c r="I528" s="15">
        <f t="shared" si="73"/>
        <v>0</v>
      </c>
      <c r="J528" s="18" t="str">
        <f t="shared" si="74"/>
        <v>N/A</v>
      </c>
      <c r="L528" s="54" t="str">
        <f t="shared" si="75"/>
        <v/>
      </c>
      <c r="M528" s="9" t="str">
        <f t="shared" si="76"/>
        <v/>
      </c>
      <c r="N528" t="s">
        <v>822</v>
      </c>
      <c r="O528" s="17">
        <f t="shared" si="77"/>
        <v>45868</v>
      </c>
      <c r="P528" s="25">
        <f t="shared" si="78"/>
        <v>523</v>
      </c>
      <c r="Q528" t="str">
        <f t="shared" si="79"/>
        <v>90+</v>
      </c>
      <c r="R528" t="str">
        <f t="shared" si="80"/>
        <v>Due</v>
      </c>
    </row>
    <row r="529" spans="1:18" x14ac:dyDescent="0.35">
      <c r="A529" t="s">
        <v>536</v>
      </c>
      <c r="B529" t="s">
        <v>809</v>
      </c>
      <c r="C529" s="9">
        <v>45718</v>
      </c>
      <c r="D529" s="28" t="str">
        <f t="shared" si="72"/>
        <v>Mar 2025</v>
      </c>
      <c r="E529" s="9">
        <v>45748</v>
      </c>
      <c r="F529" t="s">
        <v>814</v>
      </c>
      <c r="G529">
        <v>272.18</v>
      </c>
      <c r="H529" t="s">
        <v>820</v>
      </c>
      <c r="I529" s="15">
        <f t="shared" si="73"/>
        <v>0</v>
      </c>
      <c r="J529" s="18" t="str">
        <f t="shared" si="74"/>
        <v>N/A</v>
      </c>
      <c r="L529" s="54" t="str">
        <f t="shared" si="75"/>
        <v/>
      </c>
      <c r="M529" s="9" t="str">
        <f t="shared" si="76"/>
        <v/>
      </c>
      <c r="N529" t="s">
        <v>822</v>
      </c>
      <c r="O529" s="17">
        <f t="shared" si="77"/>
        <v>45868</v>
      </c>
      <c r="P529" s="25">
        <f t="shared" si="78"/>
        <v>120</v>
      </c>
      <c r="Q529" t="str">
        <f t="shared" si="79"/>
        <v>90+</v>
      </c>
      <c r="R529" t="str">
        <f t="shared" si="80"/>
        <v>Due</v>
      </c>
    </row>
    <row r="530" spans="1:18" x14ac:dyDescent="0.35">
      <c r="A530" t="s">
        <v>537</v>
      </c>
      <c r="B530" t="s">
        <v>809</v>
      </c>
      <c r="C530" s="9">
        <v>45581</v>
      </c>
      <c r="D530" s="28" t="str">
        <f t="shared" si="72"/>
        <v>Oct 2024</v>
      </c>
      <c r="E530" s="9">
        <v>45611</v>
      </c>
      <c r="F530" t="s">
        <v>818</v>
      </c>
      <c r="G530">
        <v>862.75</v>
      </c>
      <c r="H530" t="s">
        <v>820</v>
      </c>
      <c r="I530" s="15">
        <f t="shared" si="73"/>
        <v>0</v>
      </c>
      <c r="J530" s="18" t="str">
        <f t="shared" si="74"/>
        <v>N/A</v>
      </c>
      <c r="L530" s="54" t="str">
        <f t="shared" si="75"/>
        <v/>
      </c>
      <c r="M530" s="9" t="str">
        <f t="shared" si="76"/>
        <v/>
      </c>
      <c r="N530" t="s">
        <v>822</v>
      </c>
      <c r="O530" s="17">
        <f t="shared" si="77"/>
        <v>45868</v>
      </c>
      <c r="P530" s="25">
        <f t="shared" si="78"/>
        <v>257</v>
      </c>
      <c r="Q530" t="str">
        <f t="shared" si="79"/>
        <v>90+</v>
      </c>
      <c r="R530" t="str">
        <f t="shared" si="80"/>
        <v>Due</v>
      </c>
    </row>
    <row r="531" spans="1:18" x14ac:dyDescent="0.35">
      <c r="A531" t="s">
        <v>538</v>
      </c>
      <c r="B531" t="s">
        <v>813</v>
      </c>
      <c r="C531" s="9">
        <v>45826</v>
      </c>
      <c r="D531" s="28" t="str">
        <f t="shared" si="72"/>
        <v>Jun 2025</v>
      </c>
      <c r="E531" s="9">
        <v>45856</v>
      </c>
      <c r="F531" t="s">
        <v>816</v>
      </c>
      <c r="G531">
        <v>2472.46</v>
      </c>
      <c r="H531" t="s">
        <v>820</v>
      </c>
      <c r="I531" s="15">
        <f t="shared" si="73"/>
        <v>0</v>
      </c>
      <c r="J531" s="18" t="str">
        <f t="shared" si="74"/>
        <v>N/A</v>
      </c>
      <c r="L531" s="54" t="str">
        <f t="shared" si="75"/>
        <v/>
      </c>
      <c r="M531" s="9" t="str">
        <f t="shared" si="76"/>
        <v/>
      </c>
      <c r="N531" t="s">
        <v>822</v>
      </c>
      <c r="O531" s="17">
        <f t="shared" si="77"/>
        <v>45868</v>
      </c>
      <c r="P531" s="25">
        <f t="shared" si="78"/>
        <v>12</v>
      </c>
      <c r="Q531" t="str">
        <f t="shared" si="79"/>
        <v>1-30</v>
      </c>
      <c r="R531" t="str">
        <f t="shared" si="80"/>
        <v>Due</v>
      </c>
    </row>
    <row r="532" spans="1:18" x14ac:dyDescent="0.35">
      <c r="A532" t="s">
        <v>539</v>
      </c>
      <c r="B532" t="s">
        <v>813</v>
      </c>
      <c r="C532" s="9">
        <v>45690</v>
      </c>
      <c r="D532" s="28" t="str">
        <f t="shared" si="72"/>
        <v>Feb 2025</v>
      </c>
      <c r="E532" s="9">
        <v>45720</v>
      </c>
      <c r="F532" t="s">
        <v>815</v>
      </c>
      <c r="G532">
        <v>2705.55</v>
      </c>
      <c r="H532" t="s">
        <v>821</v>
      </c>
      <c r="I532" s="15">
        <f t="shared" si="73"/>
        <v>2705.55</v>
      </c>
      <c r="J532" s="18">
        <f t="shared" si="74"/>
        <v>0</v>
      </c>
      <c r="K532" s="9">
        <v>45720</v>
      </c>
      <c r="L532" s="54">
        <f t="shared" si="75"/>
        <v>30</v>
      </c>
      <c r="M532" s="9" t="str">
        <f t="shared" si="76"/>
        <v>2025-Mar</v>
      </c>
      <c r="N532" t="s">
        <v>822</v>
      </c>
      <c r="O532" s="17">
        <f t="shared" si="77"/>
        <v>45868</v>
      </c>
      <c r="P532" s="25">
        <f t="shared" si="78"/>
        <v>0</v>
      </c>
      <c r="Q532" t="str">
        <f t="shared" si="79"/>
        <v>Paid</v>
      </c>
      <c r="R532" t="str">
        <f t="shared" si="80"/>
        <v>Not Due</v>
      </c>
    </row>
    <row r="533" spans="1:18" x14ac:dyDescent="0.35">
      <c r="A533" t="s">
        <v>540</v>
      </c>
      <c r="B533" t="s">
        <v>810</v>
      </c>
      <c r="C533" s="9">
        <v>45154</v>
      </c>
      <c r="D533" s="28" t="str">
        <f t="shared" si="72"/>
        <v>Aug 2023</v>
      </c>
      <c r="E533" s="9">
        <v>45184</v>
      </c>
      <c r="F533" t="s">
        <v>814</v>
      </c>
      <c r="G533">
        <v>5480.61</v>
      </c>
      <c r="H533" t="s">
        <v>821</v>
      </c>
      <c r="I533" s="15">
        <f t="shared" si="73"/>
        <v>5480.61</v>
      </c>
      <c r="J533" s="18">
        <f t="shared" si="74"/>
        <v>0</v>
      </c>
      <c r="K533" s="9">
        <v>45184</v>
      </c>
      <c r="L533" s="54">
        <f t="shared" si="75"/>
        <v>30</v>
      </c>
      <c r="M533" s="9" t="str">
        <f t="shared" si="76"/>
        <v>2023-Sep</v>
      </c>
      <c r="N533" t="s">
        <v>822</v>
      </c>
      <c r="O533" s="17">
        <f t="shared" si="77"/>
        <v>45868</v>
      </c>
      <c r="P533" s="25">
        <f t="shared" si="78"/>
        <v>0</v>
      </c>
      <c r="Q533" t="str">
        <f t="shared" si="79"/>
        <v>Paid</v>
      </c>
      <c r="R533" t="str">
        <f t="shared" si="80"/>
        <v>Not Due</v>
      </c>
    </row>
    <row r="534" spans="1:18" x14ac:dyDescent="0.35">
      <c r="A534" t="s">
        <v>541</v>
      </c>
      <c r="B534" t="s">
        <v>812</v>
      </c>
      <c r="C534" s="9">
        <v>45782</v>
      </c>
      <c r="D534" s="28" t="str">
        <f t="shared" si="72"/>
        <v>May 2025</v>
      </c>
      <c r="E534" s="9">
        <v>45812</v>
      </c>
      <c r="F534" t="s">
        <v>815</v>
      </c>
      <c r="G534">
        <v>1681.85</v>
      </c>
      <c r="H534" t="s">
        <v>820</v>
      </c>
      <c r="I534" s="15">
        <f t="shared" si="73"/>
        <v>0</v>
      </c>
      <c r="J534" s="18" t="str">
        <f t="shared" si="74"/>
        <v>N/A</v>
      </c>
      <c r="L534" s="54" t="str">
        <f t="shared" si="75"/>
        <v/>
      </c>
      <c r="M534" s="9" t="str">
        <f t="shared" si="76"/>
        <v/>
      </c>
      <c r="N534" t="s">
        <v>822</v>
      </c>
      <c r="O534" s="17">
        <f t="shared" si="77"/>
        <v>45868</v>
      </c>
      <c r="P534" s="25">
        <f t="shared" si="78"/>
        <v>56</v>
      </c>
      <c r="Q534" t="str">
        <f t="shared" si="79"/>
        <v>31-60</v>
      </c>
      <c r="R534" t="str">
        <f t="shared" si="80"/>
        <v>Due</v>
      </c>
    </row>
    <row r="535" spans="1:18" x14ac:dyDescent="0.35">
      <c r="A535" t="s">
        <v>542</v>
      </c>
      <c r="B535" t="s">
        <v>811</v>
      </c>
      <c r="C535" s="9">
        <v>45516</v>
      </c>
      <c r="D535" s="28" t="str">
        <f t="shared" si="72"/>
        <v>Aug 2024</v>
      </c>
      <c r="E535" s="9">
        <v>45546</v>
      </c>
      <c r="F535" t="s">
        <v>816</v>
      </c>
      <c r="G535">
        <v>4754.63</v>
      </c>
      <c r="H535" t="s">
        <v>820</v>
      </c>
      <c r="I535" s="15">
        <f t="shared" si="73"/>
        <v>0</v>
      </c>
      <c r="J535" s="18" t="str">
        <f t="shared" si="74"/>
        <v>N/A</v>
      </c>
      <c r="L535" s="54" t="str">
        <f t="shared" si="75"/>
        <v/>
      </c>
      <c r="M535" s="9" t="str">
        <f t="shared" si="76"/>
        <v/>
      </c>
      <c r="N535" t="s">
        <v>822</v>
      </c>
      <c r="O535" s="17">
        <f t="shared" si="77"/>
        <v>45868</v>
      </c>
      <c r="P535" s="25">
        <f t="shared" si="78"/>
        <v>322</v>
      </c>
      <c r="Q535" t="str">
        <f t="shared" si="79"/>
        <v>90+</v>
      </c>
      <c r="R535" t="str">
        <f t="shared" si="80"/>
        <v>Due</v>
      </c>
    </row>
    <row r="536" spans="1:18" x14ac:dyDescent="0.35">
      <c r="A536" t="s">
        <v>543</v>
      </c>
      <c r="B536" t="s">
        <v>812</v>
      </c>
      <c r="C536" s="9">
        <v>45146</v>
      </c>
      <c r="D536" s="28" t="str">
        <f t="shared" si="72"/>
        <v>Aug 2023</v>
      </c>
      <c r="E536" s="9">
        <v>45176</v>
      </c>
      <c r="F536" t="s">
        <v>816</v>
      </c>
      <c r="G536">
        <v>5071.95</v>
      </c>
      <c r="H536" t="s">
        <v>821</v>
      </c>
      <c r="I536" s="15">
        <f t="shared" si="73"/>
        <v>5071.95</v>
      </c>
      <c r="J536" s="18">
        <f t="shared" si="74"/>
        <v>0</v>
      </c>
      <c r="K536" s="9">
        <v>45176</v>
      </c>
      <c r="L536" s="54">
        <f t="shared" si="75"/>
        <v>30</v>
      </c>
      <c r="M536" s="9" t="str">
        <f t="shared" si="76"/>
        <v>2023-Sep</v>
      </c>
      <c r="N536" t="s">
        <v>822</v>
      </c>
      <c r="O536" s="17">
        <f t="shared" si="77"/>
        <v>45868</v>
      </c>
      <c r="P536" s="25">
        <f t="shared" si="78"/>
        <v>0</v>
      </c>
      <c r="Q536" t="str">
        <f t="shared" si="79"/>
        <v>Paid</v>
      </c>
      <c r="R536" t="str">
        <f t="shared" si="80"/>
        <v>Not Due</v>
      </c>
    </row>
    <row r="537" spans="1:18" x14ac:dyDescent="0.35">
      <c r="A537" t="s">
        <v>544</v>
      </c>
      <c r="B537" t="s">
        <v>812</v>
      </c>
      <c r="C537" s="9">
        <v>45542</v>
      </c>
      <c r="D537" s="28" t="str">
        <f t="shared" si="72"/>
        <v>Sep 2024</v>
      </c>
      <c r="E537" s="9">
        <v>45572</v>
      </c>
      <c r="F537" t="s">
        <v>815</v>
      </c>
      <c r="G537">
        <v>263.95999999999998</v>
      </c>
      <c r="H537" t="s">
        <v>819</v>
      </c>
      <c r="I537" s="15">
        <f t="shared" si="73"/>
        <v>0</v>
      </c>
      <c r="J537" s="18">
        <f t="shared" si="74"/>
        <v>263.95999999999998</v>
      </c>
      <c r="L537" s="54" t="str">
        <f t="shared" si="75"/>
        <v/>
      </c>
      <c r="M537" s="9" t="str">
        <f t="shared" si="76"/>
        <v/>
      </c>
      <c r="N537" t="s">
        <v>822</v>
      </c>
      <c r="O537" s="17">
        <f t="shared" si="77"/>
        <v>45868</v>
      </c>
      <c r="P537" s="25">
        <f t="shared" si="78"/>
        <v>296</v>
      </c>
      <c r="Q537" t="str">
        <f t="shared" si="79"/>
        <v>90+</v>
      </c>
      <c r="R537" t="str">
        <f t="shared" si="80"/>
        <v>Due</v>
      </c>
    </row>
    <row r="538" spans="1:18" x14ac:dyDescent="0.35">
      <c r="A538" t="s">
        <v>545</v>
      </c>
      <c r="B538" t="s">
        <v>813</v>
      </c>
      <c r="C538" s="9">
        <v>45383</v>
      </c>
      <c r="D538" s="28" t="str">
        <f t="shared" si="72"/>
        <v>Apr 2024</v>
      </c>
      <c r="E538" s="9">
        <v>45413</v>
      </c>
      <c r="F538" t="s">
        <v>814</v>
      </c>
      <c r="G538">
        <v>4399.88</v>
      </c>
      <c r="H538" t="s">
        <v>819</v>
      </c>
      <c r="I538" s="15">
        <f t="shared" si="73"/>
        <v>0</v>
      </c>
      <c r="J538" s="18">
        <f t="shared" si="74"/>
        <v>4399.88</v>
      </c>
      <c r="L538" s="54" t="str">
        <f t="shared" si="75"/>
        <v/>
      </c>
      <c r="M538" s="9" t="str">
        <f t="shared" si="76"/>
        <v/>
      </c>
      <c r="N538" t="s">
        <v>822</v>
      </c>
      <c r="O538" s="17">
        <f t="shared" si="77"/>
        <v>45868</v>
      </c>
      <c r="P538" s="25">
        <f t="shared" si="78"/>
        <v>455</v>
      </c>
      <c r="Q538" t="str">
        <f t="shared" si="79"/>
        <v>90+</v>
      </c>
      <c r="R538" t="str">
        <f t="shared" si="80"/>
        <v>Due</v>
      </c>
    </row>
    <row r="539" spans="1:18" x14ac:dyDescent="0.35">
      <c r="A539" t="s">
        <v>546</v>
      </c>
      <c r="B539" t="s">
        <v>811</v>
      </c>
      <c r="C539" s="9">
        <v>45397</v>
      </c>
      <c r="D539" s="28" t="str">
        <f t="shared" si="72"/>
        <v>Apr 2024</v>
      </c>
      <c r="E539" s="9">
        <v>45427</v>
      </c>
      <c r="F539" t="s">
        <v>814</v>
      </c>
      <c r="G539">
        <v>5035.6099999999997</v>
      </c>
      <c r="H539" t="s">
        <v>820</v>
      </c>
      <c r="I539" s="15">
        <f t="shared" si="73"/>
        <v>0</v>
      </c>
      <c r="J539" s="18" t="str">
        <f t="shared" si="74"/>
        <v>N/A</v>
      </c>
      <c r="L539" s="54" t="str">
        <f t="shared" si="75"/>
        <v/>
      </c>
      <c r="M539" s="9" t="str">
        <f t="shared" si="76"/>
        <v/>
      </c>
      <c r="N539" t="s">
        <v>822</v>
      </c>
      <c r="O539" s="17">
        <f t="shared" si="77"/>
        <v>45868</v>
      </c>
      <c r="P539" s="25">
        <f t="shared" si="78"/>
        <v>441</v>
      </c>
      <c r="Q539" t="str">
        <f t="shared" si="79"/>
        <v>90+</v>
      </c>
      <c r="R539" t="str">
        <f t="shared" si="80"/>
        <v>Due</v>
      </c>
    </row>
    <row r="540" spans="1:18" x14ac:dyDescent="0.35">
      <c r="A540" t="s">
        <v>547</v>
      </c>
      <c r="B540" t="s">
        <v>813</v>
      </c>
      <c r="C540" s="9">
        <v>45500</v>
      </c>
      <c r="D540" s="28" t="str">
        <f t="shared" si="72"/>
        <v>Jul 2024</v>
      </c>
      <c r="E540" s="9">
        <v>45530</v>
      </c>
      <c r="F540" t="s">
        <v>815</v>
      </c>
      <c r="G540">
        <v>2633.97</v>
      </c>
      <c r="H540" t="s">
        <v>821</v>
      </c>
      <c r="I540" s="15">
        <f t="shared" si="73"/>
        <v>2633.97</v>
      </c>
      <c r="J540" s="18">
        <f t="shared" si="74"/>
        <v>0</v>
      </c>
      <c r="K540" s="9">
        <v>45530</v>
      </c>
      <c r="L540" s="54">
        <f t="shared" si="75"/>
        <v>30</v>
      </c>
      <c r="M540" s="9" t="str">
        <f t="shared" si="76"/>
        <v>2024-Aug</v>
      </c>
      <c r="N540" t="s">
        <v>822</v>
      </c>
      <c r="O540" s="17">
        <f t="shared" si="77"/>
        <v>45868</v>
      </c>
      <c r="P540" s="25">
        <f t="shared" si="78"/>
        <v>0</v>
      </c>
      <c r="Q540" t="str">
        <f t="shared" si="79"/>
        <v>Paid</v>
      </c>
      <c r="R540" t="str">
        <f t="shared" si="80"/>
        <v>Not Due</v>
      </c>
    </row>
    <row r="541" spans="1:18" x14ac:dyDescent="0.35">
      <c r="A541" t="s">
        <v>548</v>
      </c>
      <c r="B541" t="s">
        <v>810</v>
      </c>
      <c r="C541" s="9">
        <v>45727</v>
      </c>
      <c r="D541" s="28" t="str">
        <f t="shared" si="72"/>
        <v>Mar 2025</v>
      </c>
      <c r="E541" s="9">
        <v>45757</v>
      </c>
      <c r="F541" t="s">
        <v>818</v>
      </c>
      <c r="G541">
        <v>76.83</v>
      </c>
      <c r="H541" t="s">
        <v>821</v>
      </c>
      <c r="I541" s="15">
        <f t="shared" si="73"/>
        <v>76.83</v>
      </c>
      <c r="J541" s="18">
        <f t="shared" si="74"/>
        <v>0</v>
      </c>
      <c r="K541" s="9">
        <v>45757</v>
      </c>
      <c r="L541" s="54">
        <f t="shared" si="75"/>
        <v>30</v>
      </c>
      <c r="M541" s="9" t="str">
        <f t="shared" si="76"/>
        <v>2025-Apr</v>
      </c>
      <c r="N541" t="s">
        <v>822</v>
      </c>
      <c r="O541" s="17">
        <f t="shared" si="77"/>
        <v>45868</v>
      </c>
      <c r="P541" s="25">
        <f t="shared" si="78"/>
        <v>0</v>
      </c>
      <c r="Q541" t="str">
        <f t="shared" si="79"/>
        <v>Paid</v>
      </c>
      <c r="R541" t="str">
        <f t="shared" si="80"/>
        <v>Not Due</v>
      </c>
    </row>
    <row r="542" spans="1:18" x14ac:dyDescent="0.35">
      <c r="A542" t="s">
        <v>549</v>
      </c>
      <c r="B542" t="s">
        <v>810</v>
      </c>
      <c r="C542" s="9">
        <v>44947</v>
      </c>
      <c r="D542" s="28" t="str">
        <f t="shared" si="72"/>
        <v>Jan 2023</v>
      </c>
      <c r="E542" s="9">
        <v>44977</v>
      </c>
      <c r="F542" t="s">
        <v>815</v>
      </c>
      <c r="G542">
        <v>1631.01</v>
      </c>
      <c r="H542" t="s">
        <v>820</v>
      </c>
      <c r="I542" s="15">
        <f t="shared" si="73"/>
        <v>0</v>
      </c>
      <c r="J542" s="18" t="str">
        <f t="shared" si="74"/>
        <v>N/A</v>
      </c>
      <c r="L542" s="54" t="str">
        <f t="shared" si="75"/>
        <v/>
      </c>
      <c r="M542" s="9" t="str">
        <f t="shared" si="76"/>
        <v/>
      </c>
      <c r="N542" t="s">
        <v>822</v>
      </c>
      <c r="O542" s="17">
        <f t="shared" si="77"/>
        <v>45868</v>
      </c>
      <c r="P542" s="25">
        <f t="shared" si="78"/>
        <v>891</v>
      </c>
      <c r="Q542" t="str">
        <f t="shared" si="79"/>
        <v>90+</v>
      </c>
      <c r="R542" t="str">
        <f t="shared" si="80"/>
        <v>Due</v>
      </c>
    </row>
    <row r="543" spans="1:18" x14ac:dyDescent="0.35">
      <c r="A543" t="s">
        <v>550</v>
      </c>
      <c r="B543" t="s">
        <v>812</v>
      </c>
      <c r="C543" s="9">
        <v>44941</v>
      </c>
      <c r="D543" s="28" t="str">
        <f t="shared" si="72"/>
        <v>Jan 2023</v>
      </c>
      <c r="E543" s="9">
        <v>44971</v>
      </c>
      <c r="F543" t="s">
        <v>815</v>
      </c>
      <c r="G543">
        <v>1477.7</v>
      </c>
      <c r="H543" t="s">
        <v>819</v>
      </c>
      <c r="I543" s="15">
        <f t="shared" si="73"/>
        <v>0</v>
      </c>
      <c r="J543" s="18">
        <f t="shared" si="74"/>
        <v>1477.7</v>
      </c>
      <c r="L543" s="54" t="str">
        <f t="shared" si="75"/>
        <v/>
      </c>
      <c r="M543" s="9" t="str">
        <f t="shared" si="76"/>
        <v/>
      </c>
      <c r="N543" t="s">
        <v>822</v>
      </c>
      <c r="O543" s="17">
        <f t="shared" si="77"/>
        <v>45868</v>
      </c>
      <c r="P543" s="25">
        <f t="shared" si="78"/>
        <v>897</v>
      </c>
      <c r="Q543" t="str">
        <f t="shared" si="79"/>
        <v>90+</v>
      </c>
      <c r="R543" t="str">
        <f t="shared" si="80"/>
        <v>Due</v>
      </c>
    </row>
    <row r="544" spans="1:18" x14ac:dyDescent="0.35">
      <c r="A544" t="s">
        <v>551</v>
      </c>
      <c r="B544" t="s">
        <v>812</v>
      </c>
      <c r="C544" s="9">
        <v>45782</v>
      </c>
      <c r="D544" s="28" t="str">
        <f t="shared" si="72"/>
        <v>May 2025</v>
      </c>
      <c r="E544" s="9">
        <v>45812</v>
      </c>
      <c r="F544" t="s">
        <v>816</v>
      </c>
      <c r="G544">
        <v>5131.32</v>
      </c>
      <c r="H544" t="s">
        <v>821</v>
      </c>
      <c r="I544" s="15">
        <f t="shared" si="73"/>
        <v>5131.32</v>
      </c>
      <c r="J544" s="18">
        <f t="shared" si="74"/>
        <v>0</v>
      </c>
      <c r="K544" s="9">
        <v>45812</v>
      </c>
      <c r="L544" s="54">
        <f t="shared" si="75"/>
        <v>30</v>
      </c>
      <c r="M544" s="9" t="str">
        <f t="shared" si="76"/>
        <v>2025-Jun</v>
      </c>
      <c r="N544" t="s">
        <v>822</v>
      </c>
      <c r="O544" s="17">
        <f t="shared" si="77"/>
        <v>45868</v>
      </c>
      <c r="P544" s="25">
        <f t="shared" si="78"/>
        <v>0</v>
      </c>
      <c r="Q544" t="str">
        <f t="shared" si="79"/>
        <v>Paid</v>
      </c>
      <c r="R544" t="str">
        <f t="shared" si="80"/>
        <v>Not Due</v>
      </c>
    </row>
    <row r="545" spans="1:18" x14ac:dyDescent="0.35">
      <c r="A545" t="s">
        <v>552</v>
      </c>
      <c r="B545" t="s">
        <v>810</v>
      </c>
      <c r="C545" s="9">
        <v>45815</v>
      </c>
      <c r="D545" s="28" t="str">
        <f t="shared" si="72"/>
        <v>Jun 2025</v>
      </c>
      <c r="E545" s="9">
        <v>45845</v>
      </c>
      <c r="F545" t="s">
        <v>814</v>
      </c>
      <c r="G545">
        <v>3306.84</v>
      </c>
      <c r="H545" t="s">
        <v>821</v>
      </c>
      <c r="I545" s="15">
        <f t="shared" si="73"/>
        <v>3306.84</v>
      </c>
      <c r="J545" s="18">
        <f t="shared" si="74"/>
        <v>0</v>
      </c>
      <c r="K545" s="9">
        <v>45845</v>
      </c>
      <c r="L545" s="54">
        <f t="shared" si="75"/>
        <v>30</v>
      </c>
      <c r="M545" s="9" t="str">
        <f t="shared" si="76"/>
        <v>2025-Jul</v>
      </c>
      <c r="N545" t="s">
        <v>822</v>
      </c>
      <c r="O545" s="17">
        <f t="shared" si="77"/>
        <v>45868</v>
      </c>
      <c r="P545" s="25">
        <f t="shared" si="78"/>
        <v>0</v>
      </c>
      <c r="Q545" t="str">
        <f t="shared" si="79"/>
        <v>Paid</v>
      </c>
      <c r="R545" t="str">
        <f t="shared" si="80"/>
        <v>Not Due</v>
      </c>
    </row>
    <row r="546" spans="1:18" x14ac:dyDescent="0.35">
      <c r="A546" t="s">
        <v>553</v>
      </c>
      <c r="B546" t="s">
        <v>810</v>
      </c>
      <c r="C546" s="9">
        <v>45122</v>
      </c>
      <c r="D546" s="28" t="str">
        <f t="shared" si="72"/>
        <v>Jul 2023</v>
      </c>
      <c r="E546" s="9">
        <v>45152</v>
      </c>
      <c r="F546" t="s">
        <v>816</v>
      </c>
      <c r="G546">
        <v>3073.54</v>
      </c>
      <c r="H546" t="s">
        <v>819</v>
      </c>
      <c r="I546" s="15">
        <f t="shared" si="73"/>
        <v>0</v>
      </c>
      <c r="J546" s="18">
        <f t="shared" si="74"/>
        <v>3073.54</v>
      </c>
      <c r="L546" s="54" t="str">
        <f t="shared" si="75"/>
        <v/>
      </c>
      <c r="M546" s="9" t="str">
        <f t="shared" si="76"/>
        <v/>
      </c>
      <c r="N546" t="s">
        <v>822</v>
      </c>
      <c r="O546" s="17">
        <f t="shared" si="77"/>
        <v>45868</v>
      </c>
      <c r="P546" s="25">
        <f t="shared" si="78"/>
        <v>716</v>
      </c>
      <c r="Q546" t="str">
        <f t="shared" si="79"/>
        <v>90+</v>
      </c>
      <c r="R546" t="str">
        <f t="shared" si="80"/>
        <v>Due</v>
      </c>
    </row>
    <row r="547" spans="1:18" x14ac:dyDescent="0.35">
      <c r="A547" t="s">
        <v>554</v>
      </c>
      <c r="B547" t="s">
        <v>810</v>
      </c>
      <c r="C547" s="9">
        <v>45686</v>
      </c>
      <c r="D547" s="28" t="str">
        <f t="shared" si="72"/>
        <v>Jan 2025</v>
      </c>
      <c r="E547" s="9">
        <v>45716</v>
      </c>
      <c r="F547" t="s">
        <v>814</v>
      </c>
      <c r="G547">
        <v>121.12</v>
      </c>
      <c r="H547" t="s">
        <v>820</v>
      </c>
      <c r="I547" s="15">
        <f t="shared" si="73"/>
        <v>0</v>
      </c>
      <c r="J547" s="18" t="str">
        <f t="shared" si="74"/>
        <v>N/A</v>
      </c>
      <c r="L547" s="54" t="str">
        <f t="shared" si="75"/>
        <v/>
      </c>
      <c r="M547" s="9" t="str">
        <f t="shared" si="76"/>
        <v/>
      </c>
      <c r="N547" t="s">
        <v>822</v>
      </c>
      <c r="O547" s="17">
        <f t="shared" si="77"/>
        <v>45868</v>
      </c>
      <c r="P547" s="25">
        <f t="shared" si="78"/>
        <v>152</v>
      </c>
      <c r="Q547" t="str">
        <f t="shared" si="79"/>
        <v>90+</v>
      </c>
      <c r="R547" t="str">
        <f t="shared" si="80"/>
        <v>Due</v>
      </c>
    </row>
    <row r="548" spans="1:18" x14ac:dyDescent="0.35">
      <c r="A548" t="s">
        <v>555</v>
      </c>
      <c r="B548" t="s">
        <v>813</v>
      </c>
      <c r="C548" s="9">
        <v>45818</v>
      </c>
      <c r="D548" s="28" t="str">
        <f t="shared" si="72"/>
        <v>Jun 2025</v>
      </c>
      <c r="E548" s="9">
        <v>45848</v>
      </c>
      <c r="F548" t="s">
        <v>816</v>
      </c>
      <c r="G548">
        <v>5299.22</v>
      </c>
      <c r="H548" t="s">
        <v>820</v>
      </c>
      <c r="I548" s="15">
        <f t="shared" si="73"/>
        <v>0</v>
      </c>
      <c r="J548" s="18" t="str">
        <f t="shared" si="74"/>
        <v>N/A</v>
      </c>
      <c r="L548" s="54" t="str">
        <f t="shared" si="75"/>
        <v/>
      </c>
      <c r="M548" s="9" t="str">
        <f t="shared" si="76"/>
        <v/>
      </c>
      <c r="N548" t="s">
        <v>822</v>
      </c>
      <c r="O548" s="17">
        <f t="shared" si="77"/>
        <v>45868</v>
      </c>
      <c r="P548" s="25">
        <f t="shared" si="78"/>
        <v>20</v>
      </c>
      <c r="Q548" t="str">
        <f t="shared" si="79"/>
        <v>1-30</v>
      </c>
      <c r="R548" t="str">
        <f t="shared" si="80"/>
        <v>Due</v>
      </c>
    </row>
    <row r="549" spans="1:18" x14ac:dyDescent="0.35">
      <c r="A549" t="s">
        <v>556</v>
      </c>
      <c r="B549" t="s">
        <v>812</v>
      </c>
      <c r="C549" s="9">
        <v>45476</v>
      </c>
      <c r="D549" s="28" t="str">
        <f t="shared" si="72"/>
        <v>Jul 2024</v>
      </c>
      <c r="E549" s="9">
        <v>45506</v>
      </c>
      <c r="F549" t="s">
        <v>814</v>
      </c>
      <c r="G549">
        <v>322.19</v>
      </c>
      <c r="H549" t="s">
        <v>819</v>
      </c>
      <c r="I549" s="15">
        <f t="shared" si="73"/>
        <v>0</v>
      </c>
      <c r="J549" s="18">
        <f t="shared" si="74"/>
        <v>322.19</v>
      </c>
      <c r="L549" s="54" t="str">
        <f t="shared" si="75"/>
        <v/>
      </c>
      <c r="M549" s="9" t="str">
        <f t="shared" si="76"/>
        <v/>
      </c>
      <c r="N549" t="s">
        <v>822</v>
      </c>
      <c r="O549" s="17">
        <f t="shared" si="77"/>
        <v>45868</v>
      </c>
      <c r="P549" s="25">
        <f t="shared" si="78"/>
        <v>362</v>
      </c>
      <c r="Q549" t="str">
        <f t="shared" si="79"/>
        <v>90+</v>
      </c>
      <c r="R549" t="str">
        <f t="shared" si="80"/>
        <v>Due</v>
      </c>
    </row>
    <row r="550" spans="1:18" x14ac:dyDescent="0.35">
      <c r="A550" t="s">
        <v>557</v>
      </c>
      <c r="B550" t="s">
        <v>809</v>
      </c>
      <c r="C550" s="9">
        <v>45096</v>
      </c>
      <c r="D550" s="28" t="str">
        <f t="shared" si="72"/>
        <v>Jun 2023</v>
      </c>
      <c r="E550" s="9">
        <v>45126</v>
      </c>
      <c r="F550" t="s">
        <v>817</v>
      </c>
      <c r="G550">
        <v>4610.3100000000004</v>
      </c>
      <c r="H550" t="s">
        <v>820</v>
      </c>
      <c r="I550" s="15">
        <f t="shared" si="73"/>
        <v>0</v>
      </c>
      <c r="J550" s="18" t="str">
        <f t="shared" si="74"/>
        <v>N/A</v>
      </c>
      <c r="L550" s="54" t="str">
        <f t="shared" si="75"/>
        <v/>
      </c>
      <c r="M550" s="9" t="str">
        <f t="shared" si="76"/>
        <v/>
      </c>
      <c r="N550" t="s">
        <v>822</v>
      </c>
      <c r="O550" s="17">
        <f t="shared" si="77"/>
        <v>45868</v>
      </c>
      <c r="P550" s="25">
        <f t="shared" si="78"/>
        <v>742</v>
      </c>
      <c r="Q550" t="str">
        <f t="shared" si="79"/>
        <v>90+</v>
      </c>
      <c r="R550" t="str">
        <f t="shared" si="80"/>
        <v>Due</v>
      </c>
    </row>
    <row r="551" spans="1:18" x14ac:dyDescent="0.35">
      <c r="A551" t="s">
        <v>558</v>
      </c>
      <c r="B551" t="s">
        <v>811</v>
      </c>
      <c r="C551" s="9">
        <v>45812</v>
      </c>
      <c r="D551" s="28" t="str">
        <f t="shared" si="72"/>
        <v>Jun 2025</v>
      </c>
      <c r="E551" s="9">
        <v>45842</v>
      </c>
      <c r="F551" t="s">
        <v>816</v>
      </c>
      <c r="G551">
        <v>1746.23</v>
      </c>
      <c r="H551" t="s">
        <v>821</v>
      </c>
      <c r="I551" s="15">
        <f t="shared" si="73"/>
        <v>1746.23</v>
      </c>
      <c r="J551" s="18">
        <f t="shared" si="74"/>
        <v>0</v>
      </c>
      <c r="K551" s="9">
        <v>45842</v>
      </c>
      <c r="L551" s="54">
        <f t="shared" si="75"/>
        <v>30</v>
      </c>
      <c r="M551" s="9" t="str">
        <f t="shared" si="76"/>
        <v>2025-Jul</v>
      </c>
      <c r="N551" t="s">
        <v>822</v>
      </c>
      <c r="O551" s="17">
        <f t="shared" si="77"/>
        <v>45868</v>
      </c>
      <c r="P551" s="25">
        <f t="shared" si="78"/>
        <v>0</v>
      </c>
      <c r="Q551" t="str">
        <f t="shared" si="79"/>
        <v>Paid</v>
      </c>
      <c r="R551" t="str">
        <f t="shared" si="80"/>
        <v>Not Due</v>
      </c>
    </row>
    <row r="552" spans="1:18" x14ac:dyDescent="0.35">
      <c r="A552" t="s">
        <v>559</v>
      </c>
      <c r="B552" t="s">
        <v>813</v>
      </c>
      <c r="C552" s="9">
        <v>45069</v>
      </c>
      <c r="D552" s="28" t="str">
        <f t="shared" si="72"/>
        <v>May 2023</v>
      </c>
      <c r="E552" s="9">
        <v>45099</v>
      </c>
      <c r="F552" t="s">
        <v>816</v>
      </c>
      <c r="G552">
        <v>5098.6000000000004</v>
      </c>
      <c r="H552" t="s">
        <v>820</v>
      </c>
      <c r="I552" s="15">
        <f t="shared" si="73"/>
        <v>0</v>
      </c>
      <c r="J552" s="18" t="str">
        <f t="shared" si="74"/>
        <v>N/A</v>
      </c>
      <c r="L552" s="54" t="str">
        <f t="shared" si="75"/>
        <v/>
      </c>
      <c r="M552" s="9" t="str">
        <f t="shared" si="76"/>
        <v/>
      </c>
      <c r="N552" t="s">
        <v>822</v>
      </c>
      <c r="O552" s="17">
        <f t="shared" si="77"/>
        <v>45868</v>
      </c>
      <c r="P552" s="25">
        <f t="shared" si="78"/>
        <v>769</v>
      </c>
      <c r="Q552" t="str">
        <f t="shared" si="79"/>
        <v>90+</v>
      </c>
      <c r="R552" t="str">
        <f t="shared" si="80"/>
        <v>Due</v>
      </c>
    </row>
    <row r="553" spans="1:18" x14ac:dyDescent="0.35">
      <c r="A553" t="s">
        <v>560</v>
      </c>
      <c r="B553" t="s">
        <v>810</v>
      </c>
      <c r="C553" s="9">
        <v>45234</v>
      </c>
      <c r="D553" s="28" t="str">
        <f t="shared" si="72"/>
        <v>Nov 2023</v>
      </c>
      <c r="E553" s="9">
        <v>45264</v>
      </c>
      <c r="F553" t="s">
        <v>816</v>
      </c>
      <c r="G553">
        <v>5090.28</v>
      </c>
      <c r="H553" t="s">
        <v>819</v>
      </c>
      <c r="I553" s="15">
        <f t="shared" si="73"/>
        <v>0</v>
      </c>
      <c r="J553" s="18">
        <f t="shared" si="74"/>
        <v>5090.28</v>
      </c>
      <c r="L553" s="54" t="str">
        <f t="shared" si="75"/>
        <v/>
      </c>
      <c r="M553" s="9" t="str">
        <f t="shared" si="76"/>
        <v/>
      </c>
      <c r="N553" t="s">
        <v>822</v>
      </c>
      <c r="O553" s="17">
        <f t="shared" si="77"/>
        <v>45868</v>
      </c>
      <c r="P553" s="25">
        <f t="shared" si="78"/>
        <v>604</v>
      </c>
      <c r="Q553" t="str">
        <f t="shared" si="79"/>
        <v>90+</v>
      </c>
      <c r="R553" t="str">
        <f t="shared" si="80"/>
        <v>Due</v>
      </c>
    </row>
    <row r="554" spans="1:18" x14ac:dyDescent="0.35">
      <c r="A554" t="s">
        <v>561</v>
      </c>
      <c r="B554" t="s">
        <v>809</v>
      </c>
      <c r="C554" s="9">
        <v>45644</v>
      </c>
      <c r="D554" s="28" t="str">
        <f t="shared" si="72"/>
        <v>Dec 2024</v>
      </c>
      <c r="E554" s="9">
        <v>45674</v>
      </c>
      <c r="F554" t="s">
        <v>817</v>
      </c>
      <c r="G554">
        <v>4464.8999999999996</v>
      </c>
      <c r="H554" t="s">
        <v>821</v>
      </c>
      <c r="I554" s="15">
        <f t="shared" si="73"/>
        <v>4464.8999999999996</v>
      </c>
      <c r="J554" s="18">
        <f t="shared" si="74"/>
        <v>0</v>
      </c>
      <c r="K554" s="9">
        <v>45674</v>
      </c>
      <c r="L554" s="54">
        <f t="shared" si="75"/>
        <v>30</v>
      </c>
      <c r="M554" s="9" t="str">
        <f t="shared" si="76"/>
        <v>2025-Jan</v>
      </c>
      <c r="N554" t="s">
        <v>822</v>
      </c>
      <c r="O554" s="17">
        <f t="shared" si="77"/>
        <v>45868</v>
      </c>
      <c r="P554" s="25">
        <f t="shared" si="78"/>
        <v>0</v>
      </c>
      <c r="Q554" t="str">
        <f t="shared" si="79"/>
        <v>Paid</v>
      </c>
      <c r="R554" t="str">
        <f t="shared" si="80"/>
        <v>Not Due</v>
      </c>
    </row>
    <row r="555" spans="1:18" x14ac:dyDescent="0.35">
      <c r="A555" t="s">
        <v>562</v>
      </c>
      <c r="B555" t="s">
        <v>813</v>
      </c>
      <c r="C555" s="9">
        <v>45471</v>
      </c>
      <c r="D555" s="28" t="str">
        <f t="shared" si="72"/>
        <v>Jun 2024</v>
      </c>
      <c r="E555" s="9">
        <v>45501</v>
      </c>
      <c r="F555" t="s">
        <v>817</v>
      </c>
      <c r="G555">
        <v>4957.1499999999996</v>
      </c>
      <c r="H555" t="s">
        <v>819</v>
      </c>
      <c r="I555" s="15">
        <f t="shared" si="73"/>
        <v>0</v>
      </c>
      <c r="J555" s="18">
        <f t="shared" si="74"/>
        <v>4957.1499999999996</v>
      </c>
      <c r="L555" s="54" t="str">
        <f t="shared" si="75"/>
        <v/>
      </c>
      <c r="M555" s="9" t="str">
        <f t="shared" si="76"/>
        <v/>
      </c>
      <c r="N555" t="s">
        <v>822</v>
      </c>
      <c r="O555" s="17">
        <f t="shared" si="77"/>
        <v>45868</v>
      </c>
      <c r="P555" s="25">
        <f t="shared" si="78"/>
        <v>367</v>
      </c>
      <c r="Q555" t="str">
        <f t="shared" si="79"/>
        <v>90+</v>
      </c>
      <c r="R555" t="str">
        <f t="shared" si="80"/>
        <v>Due</v>
      </c>
    </row>
    <row r="556" spans="1:18" x14ac:dyDescent="0.35">
      <c r="A556" t="s">
        <v>563</v>
      </c>
      <c r="B556" t="s">
        <v>812</v>
      </c>
      <c r="C556" s="9">
        <v>45503</v>
      </c>
      <c r="D556" s="28" t="str">
        <f t="shared" si="72"/>
        <v>Jul 2024</v>
      </c>
      <c r="E556" s="9">
        <v>45533</v>
      </c>
      <c r="F556" t="s">
        <v>816</v>
      </c>
      <c r="G556">
        <v>176.52</v>
      </c>
      <c r="H556" t="s">
        <v>819</v>
      </c>
      <c r="I556" s="15">
        <f t="shared" si="73"/>
        <v>0</v>
      </c>
      <c r="J556" s="18">
        <f t="shared" si="74"/>
        <v>176.52</v>
      </c>
      <c r="L556" s="54" t="str">
        <f t="shared" si="75"/>
        <v/>
      </c>
      <c r="M556" s="9" t="str">
        <f t="shared" si="76"/>
        <v/>
      </c>
      <c r="N556" t="s">
        <v>822</v>
      </c>
      <c r="O556" s="17">
        <f t="shared" si="77"/>
        <v>45868</v>
      </c>
      <c r="P556" s="25">
        <f t="shared" si="78"/>
        <v>335</v>
      </c>
      <c r="Q556" t="str">
        <f t="shared" si="79"/>
        <v>90+</v>
      </c>
      <c r="R556" t="str">
        <f t="shared" si="80"/>
        <v>Due</v>
      </c>
    </row>
    <row r="557" spans="1:18" x14ac:dyDescent="0.35">
      <c r="A557" t="s">
        <v>564</v>
      </c>
      <c r="B557" t="s">
        <v>810</v>
      </c>
      <c r="C557" s="9">
        <v>45080</v>
      </c>
      <c r="D557" s="28" t="str">
        <f t="shared" si="72"/>
        <v>Jun 2023</v>
      </c>
      <c r="E557" s="9">
        <v>45110</v>
      </c>
      <c r="F557" t="s">
        <v>818</v>
      </c>
      <c r="G557">
        <v>2987.81</v>
      </c>
      <c r="H557" t="s">
        <v>821</v>
      </c>
      <c r="I557" s="15">
        <f t="shared" si="73"/>
        <v>2987.81</v>
      </c>
      <c r="J557" s="18">
        <f t="shared" si="74"/>
        <v>0</v>
      </c>
      <c r="K557" s="9">
        <v>45110</v>
      </c>
      <c r="L557" s="54">
        <f t="shared" si="75"/>
        <v>30</v>
      </c>
      <c r="M557" s="9" t="str">
        <f t="shared" si="76"/>
        <v>2023-Jul</v>
      </c>
      <c r="N557" t="s">
        <v>822</v>
      </c>
      <c r="O557" s="17">
        <f t="shared" si="77"/>
        <v>45868</v>
      </c>
      <c r="P557" s="25">
        <f t="shared" si="78"/>
        <v>0</v>
      </c>
      <c r="Q557" t="str">
        <f t="shared" si="79"/>
        <v>Paid</v>
      </c>
      <c r="R557" t="str">
        <f t="shared" si="80"/>
        <v>Not Due</v>
      </c>
    </row>
    <row r="558" spans="1:18" x14ac:dyDescent="0.35">
      <c r="A558" t="s">
        <v>565</v>
      </c>
      <c r="B558" t="s">
        <v>813</v>
      </c>
      <c r="C558" s="9">
        <v>45345</v>
      </c>
      <c r="D558" s="28" t="str">
        <f t="shared" si="72"/>
        <v>Feb 2024</v>
      </c>
      <c r="E558" s="9">
        <v>45375</v>
      </c>
      <c r="F558" t="s">
        <v>818</v>
      </c>
      <c r="G558">
        <v>3156.6</v>
      </c>
      <c r="H558" t="s">
        <v>819</v>
      </c>
      <c r="I558" s="15">
        <f t="shared" si="73"/>
        <v>0</v>
      </c>
      <c r="J558" s="18">
        <f t="shared" si="74"/>
        <v>3156.6</v>
      </c>
      <c r="L558" s="54" t="str">
        <f t="shared" si="75"/>
        <v/>
      </c>
      <c r="M558" s="9" t="str">
        <f t="shared" si="76"/>
        <v/>
      </c>
      <c r="N558" t="s">
        <v>822</v>
      </c>
      <c r="O558" s="17">
        <f t="shared" si="77"/>
        <v>45868</v>
      </c>
      <c r="P558" s="25">
        <f t="shared" si="78"/>
        <v>493</v>
      </c>
      <c r="Q558" t="str">
        <f t="shared" si="79"/>
        <v>90+</v>
      </c>
      <c r="R558" t="str">
        <f t="shared" si="80"/>
        <v>Due</v>
      </c>
    </row>
    <row r="559" spans="1:18" x14ac:dyDescent="0.35">
      <c r="A559" t="s">
        <v>566</v>
      </c>
      <c r="B559" t="s">
        <v>812</v>
      </c>
      <c r="C559" s="9">
        <v>45452</v>
      </c>
      <c r="D559" s="28" t="str">
        <f t="shared" si="72"/>
        <v>Jun 2024</v>
      </c>
      <c r="E559" s="9">
        <v>45482</v>
      </c>
      <c r="F559" t="s">
        <v>818</v>
      </c>
      <c r="G559">
        <v>2009.61</v>
      </c>
      <c r="H559" t="s">
        <v>821</v>
      </c>
      <c r="I559" s="15">
        <f t="shared" si="73"/>
        <v>2009.61</v>
      </c>
      <c r="J559" s="18">
        <f t="shared" si="74"/>
        <v>0</v>
      </c>
      <c r="K559" s="9">
        <v>45482</v>
      </c>
      <c r="L559" s="54">
        <f t="shared" si="75"/>
        <v>30</v>
      </c>
      <c r="M559" s="9" t="str">
        <f t="shared" si="76"/>
        <v>2024-Jul</v>
      </c>
      <c r="N559" t="s">
        <v>822</v>
      </c>
      <c r="O559" s="17">
        <f t="shared" si="77"/>
        <v>45868</v>
      </c>
      <c r="P559" s="25">
        <f t="shared" si="78"/>
        <v>0</v>
      </c>
      <c r="Q559" t="str">
        <f t="shared" si="79"/>
        <v>Paid</v>
      </c>
      <c r="R559" t="str">
        <f t="shared" si="80"/>
        <v>Not Due</v>
      </c>
    </row>
    <row r="560" spans="1:18" x14ac:dyDescent="0.35">
      <c r="A560" t="s">
        <v>567</v>
      </c>
      <c r="B560" t="s">
        <v>813</v>
      </c>
      <c r="C560" s="9">
        <v>45738</v>
      </c>
      <c r="D560" s="28" t="str">
        <f t="shared" si="72"/>
        <v>Mar 2025</v>
      </c>
      <c r="E560" s="9">
        <v>45768</v>
      </c>
      <c r="F560" t="s">
        <v>816</v>
      </c>
      <c r="G560">
        <v>3135.97</v>
      </c>
      <c r="H560" t="s">
        <v>819</v>
      </c>
      <c r="I560" s="15">
        <f t="shared" si="73"/>
        <v>0</v>
      </c>
      <c r="J560" s="18">
        <f t="shared" si="74"/>
        <v>3135.97</v>
      </c>
      <c r="L560" s="54" t="str">
        <f t="shared" si="75"/>
        <v/>
      </c>
      <c r="M560" s="9" t="str">
        <f t="shared" si="76"/>
        <v/>
      </c>
      <c r="N560" t="s">
        <v>822</v>
      </c>
      <c r="O560" s="17">
        <f t="shared" si="77"/>
        <v>45868</v>
      </c>
      <c r="P560" s="25">
        <f t="shared" si="78"/>
        <v>100</v>
      </c>
      <c r="Q560" t="str">
        <f t="shared" si="79"/>
        <v>90+</v>
      </c>
      <c r="R560" t="str">
        <f t="shared" si="80"/>
        <v>Due</v>
      </c>
    </row>
    <row r="561" spans="1:18" x14ac:dyDescent="0.35">
      <c r="A561" t="s">
        <v>568</v>
      </c>
      <c r="B561" t="s">
        <v>809</v>
      </c>
      <c r="C561" s="9">
        <v>45537</v>
      </c>
      <c r="D561" s="28" t="str">
        <f t="shared" si="72"/>
        <v>Sep 2024</v>
      </c>
      <c r="E561" s="9">
        <v>45567</v>
      </c>
      <c r="F561" t="s">
        <v>818</v>
      </c>
      <c r="G561">
        <v>1030.6600000000001</v>
      </c>
      <c r="H561" t="s">
        <v>821</v>
      </c>
      <c r="I561" s="15">
        <f t="shared" si="73"/>
        <v>1030.6600000000001</v>
      </c>
      <c r="J561" s="18">
        <f t="shared" si="74"/>
        <v>0</v>
      </c>
      <c r="K561" s="9">
        <v>45567</v>
      </c>
      <c r="L561" s="54">
        <f t="shared" si="75"/>
        <v>30</v>
      </c>
      <c r="M561" s="9" t="str">
        <f t="shared" si="76"/>
        <v>2024-Oct</v>
      </c>
      <c r="N561" t="s">
        <v>822</v>
      </c>
      <c r="O561" s="17">
        <f t="shared" si="77"/>
        <v>45868</v>
      </c>
      <c r="P561" s="25">
        <f t="shared" si="78"/>
        <v>0</v>
      </c>
      <c r="Q561" t="str">
        <f t="shared" si="79"/>
        <v>Paid</v>
      </c>
      <c r="R561" t="str">
        <f t="shared" si="80"/>
        <v>Not Due</v>
      </c>
    </row>
    <row r="562" spans="1:18" x14ac:dyDescent="0.35">
      <c r="A562" t="s">
        <v>569</v>
      </c>
      <c r="B562" t="s">
        <v>812</v>
      </c>
      <c r="C562" s="9">
        <v>45472</v>
      </c>
      <c r="D562" s="28" t="str">
        <f t="shared" si="72"/>
        <v>Jun 2024</v>
      </c>
      <c r="E562" s="9">
        <v>45502</v>
      </c>
      <c r="F562" t="s">
        <v>817</v>
      </c>
      <c r="G562">
        <v>2127.41</v>
      </c>
      <c r="H562" t="s">
        <v>819</v>
      </c>
      <c r="I562" s="15">
        <f t="shared" si="73"/>
        <v>0</v>
      </c>
      <c r="J562" s="18">
        <f t="shared" si="74"/>
        <v>2127.41</v>
      </c>
      <c r="L562" s="54" t="str">
        <f t="shared" si="75"/>
        <v/>
      </c>
      <c r="M562" s="9" t="str">
        <f t="shared" si="76"/>
        <v/>
      </c>
      <c r="N562" t="s">
        <v>822</v>
      </c>
      <c r="O562" s="17">
        <f t="shared" si="77"/>
        <v>45868</v>
      </c>
      <c r="P562" s="25">
        <f t="shared" si="78"/>
        <v>366</v>
      </c>
      <c r="Q562" t="str">
        <f t="shared" si="79"/>
        <v>90+</v>
      </c>
      <c r="R562" t="str">
        <f t="shared" si="80"/>
        <v>Due</v>
      </c>
    </row>
    <row r="563" spans="1:18" x14ac:dyDescent="0.35">
      <c r="A563" t="s">
        <v>570</v>
      </c>
      <c r="B563" t="s">
        <v>811</v>
      </c>
      <c r="C563" s="9">
        <v>45623</v>
      </c>
      <c r="D563" s="28" t="str">
        <f t="shared" si="72"/>
        <v>Nov 2024</v>
      </c>
      <c r="E563" s="9">
        <v>45653</v>
      </c>
      <c r="F563" t="s">
        <v>816</v>
      </c>
      <c r="G563">
        <v>346.44</v>
      </c>
      <c r="H563" t="s">
        <v>821</v>
      </c>
      <c r="I563" s="15">
        <f t="shared" si="73"/>
        <v>346.44</v>
      </c>
      <c r="J563" s="18">
        <f t="shared" si="74"/>
        <v>0</v>
      </c>
      <c r="K563" s="9">
        <v>45653</v>
      </c>
      <c r="L563" s="54">
        <f t="shared" si="75"/>
        <v>30</v>
      </c>
      <c r="M563" s="9" t="str">
        <f t="shared" si="76"/>
        <v>2024-Dec</v>
      </c>
      <c r="N563" t="s">
        <v>822</v>
      </c>
      <c r="O563" s="17">
        <f t="shared" si="77"/>
        <v>45868</v>
      </c>
      <c r="P563" s="25">
        <f t="shared" si="78"/>
        <v>0</v>
      </c>
      <c r="Q563" t="str">
        <f t="shared" si="79"/>
        <v>Paid</v>
      </c>
      <c r="R563" t="str">
        <f t="shared" si="80"/>
        <v>Not Due</v>
      </c>
    </row>
    <row r="564" spans="1:18" x14ac:dyDescent="0.35">
      <c r="A564" t="s">
        <v>571</v>
      </c>
      <c r="B564" t="s">
        <v>812</v>
      </c>
      <c r="C564" s="9">
        <v>45160</v>
      </c>
      <c r="D564" s="28" t="str">
        <f t="shared" si="72"/>
        <v>Aug 2023</v>
      </c>
      <c r="E564" s="9">
        <v>45190</v>
      </c>
      <c r="F564" t="s">
        <v>818</v>
      </c>
      <c r="G564">
        <v>1946.72</v>
      </c>
      <c r="H564" t="s">
        <v>819</v>
      </c>
      <c r="I564" s="15">
        <f t="shared" si="73"/>
        <v>0</v>
      </c>
      <c r="J564" s="18">
        <f t="shared" si="74"/>
        <v>1946.72</v>
      </c>
      <c r="L564" s="54" t="str">
        <f t="shared" si="75"/>
        <v/>
      </c>
      <c r="M564" s="9" t="str">
        <f t="shared" si="76"/>
        <v/>
      </c>
      <c r="N564" t="s">
        <v>822</v>
      </c>
      <c r="O564" s="17">
        <f t="shared" si="77"/>
        <v>45868</v>
      </c>
      <c r="P564" s="25">
        <f t="shared" si="78"/>
        <v>678</v>
      </c>
      <c r="Q564" t="str">
        <f t="shared" si="79"/>
        <v>90+</v>
      </c>
      <c r="R564" t="str">
        <f t="shared" si="80"/>
        <v>Due</v>
      </c>
    </row>
    <row r="565" spans="1:18" x14ac:dyDescent="0.35">
      <c r="A565" t="s">
        <v>572</v>
      </c>
      <c r="B565" t="s">
        <v>811</v>
      </c>
      <c r="C565" s="9">
        <v>45438</v>
      </c>
      <c r="D565" s="28" t="str">
        <f t="shared" si="72"/>
        <v>May 2024</v>
      </c>
      <c r="E565" s="9">
        <v>45468</v>
      </c>
      <c r="F565" t="s">
        <v>815</v>
      </c>
      <c r="G565">
        <v>882.74</v>
      </c>
      <c r="H565" t="s">
        <v>821</v>
      </c>
      <c r="I565" s="15">
        <f t="shared" si="73"/>
        <v>882.74</v>
      </c>
      <c r="J565" s="18">
        <f t="shared" si="74"/>
        <v>0</v>
      </c>
      <c r="K565" s="9">
        <v>45468</v>
      </c>
      <c r="L565" s="54">
        <f t="shared" si="75"/>
        <v>30</v>
      </c>
      <c r="M565" s="9" t="str">
        <f t="shared" si="76"/>
        <v>2024-Jun</v>
      </c>
      <c r="N565" t="s">
        <v>822</v>
      </c>
      <c r="O565" s="17">
        <f t="shared" si="77"/>
        <v>45868</v>
      </c>
      <c r="P565" s="25">
        <f t="shared" si="78"/>
        <v>0</v>
      </c>
      <c r="Q565" t="str">
        <f t="shared" si="79"/>
        <v>Paid</v>
      </c>
      <c r="R565" t="str">
        <f t="shared" si="80"/>
        <v>Not Due</v>
      </c>
    </row>
    <row r="566" spans="1:18" x14ac:dyDescent="0.35">
      <c r="A566" t="s">
        <v>573</v>
      </c>
      <c r="B566" t="s">
        <v>810</v>
      </c>
      <c r="C566" s="9">
        <v>44951</v>
      </c>
      <c r="D566" s="28" t="str">
        <f t="shared" si="72"/>
        <v>Jan 2023</v>
      </c>
      <c r="E566" s="9">
        <v>44981</v>
      </c>
      <c r="F566" t="s">
        <v>817</v>
      </c>
      <c r="G566">
        <v>2660.77</v>
      </c>
      <c r="H566" t="s">
        <v>820</v>
      </c>
      <c r="I566" s="15">
        <f t="shared" si="73"/>
        <v>0</v>
      </c>
      <c r="J566" s="18" t="str">
        <f t="shared" si="74"/>
        <v>N/A</v>
      </c>
      <c r="L566" s="54" t="str">
        <f t="shared" si="75"/>
        <v/>
      </c>
      <c r="M566" s="9" t="str">
        <f t="shared" si="76"/>
        <v/>
      </c>
      <c r="N566" t="s">
        <v>822</v>
      </c>
      <c r="O566" s="17">
        <f t="shared" si="77"/>
        <v>45868</v>
      </c>
      <c r="P566" s="25">
        <f t="shared" si="78"/>
        <v>887</v>
      </c>
      <c r="Q566" t="str">
        <f t="shared" si="79"/>
        <v>90+</v>
      </c>
      <c r="R566" t="str">
        <f t="shared" si="80"/>
        <v>Due</v>
      </c>
    </row>
    <row r="567" spans="1:18" x14ac:dyDescent="0.35">
      <c r="A567" t="s">
        <v>574</v>
      </c>
      <c r="B567" t="s">
        <v>812</v>
      </c>
      <c r="C567" s="9">
        <v>45120</v>
      </c>
      <c r="D567" s="28" t="str">
        <f t="shared" si="72"/>
        <v>Jul 2023</v>
      </c>
      <c r="E567" s="9">
        <v>45150</v>
      </c>
      <c r="F567" t="s">
        <v>814</v>
      </c>
      <c r="G567">
        <v>1582.42</v>
      </c>
      <c r="H567" t="s">
        <v>819</v>
      </c>
      <c r="I567" s="15">
        <f t="shared" si="73"/>
        <v>0</v>
      </c>
      <c r="J567" s="18">
        <f t="shared" si="74"/>
        <v>1582.42</v>
      </c>
      <c r="L567" s="54" t="str">
        <f t="shared" si="75"/>
        <v/>
      </c>
      <c r="M567" s="9" t="str">
        <f t="shared" si="76"/>
        <v/>
      </c>
      <c r="N567" t="s">
        <v>822</v>
      </c>
      <c r="O567" s="17">
        <f t="shared" si="77"/>
        <v>45868</v>
      </c>
      <c r="P567" s="25">
        <f t="shared" si="78"/>
        <v>718</v>
      </c>
      <c r="Q567" t="str">
        <f t="shared" si="79"/>
        <v>90+</v>
      </c>
      <c r="R567" t="str">
        <f t="shared" si="80"/>
        <v>Due</v>
      </c>
    </row>
    <row r="568" spans="1:18" x14ac:dyDescent="0.35">
      <c r="A568" t="s">
        <v>575</v>
      </c>
      <c r="B568" t="s">
        <v>812</v>
      </c>
      <c r="C568" s="9">
        <v>45182</v>
      </c>
      <c r="D568" s="28" t="str">
        <f t="shared" si="72"/>
        <v>Sep 2023</v>
      </c>
      <c r="E568" s="9">
        <v>45212</v>
      </c>
      <c r="F568" t="s">
        <v>814</v>
      </c>
      <c r="G568">
        <v>1860.23</v>
      </c>
      <c r="H568" t="s">
        <v>821</v>
      </c>
      <c r="I568" s="15">
        <f t="shared" si="73"/>
        <v>1860.23</v>
      </c>
      <c r="J568" s="18">
        <f t="shared" si="74"/>
        <v>0</v>
      </c>
      <c r="K568" s="9">
        <v>45212</v>
      </c>
      <c r="L568" s="54">
        <f t="shared" si="75"/>
        <v>30</v>
      </c>
      <c r="M568" s="9" t="str">
        <f t="shared" si="76"/>
        <v>2023-Oct</v>
      </c>
      <c r="N568" t="s">
        <v>822</v>
      </c>
      <c r="O568" s="17">
        <f t="shared" si="77"/>
        <v>45868</v>
      </c>
      <c r="P568" s="25">
        <f t="shared" si="78"/>
        <v>0</v>
      </c>
      <c r="Q568" t="str">
        <f t="shared" si="79"/>
        <v>Paid</v>
      </c>
      <c r="R568" t="str">
        <f t="shared" si="80"/>
        <v>Not Due</v>
      </c>
    </row>
    <row r="569" spans="1:18" x14ac:dyDescent="0.35">
      <c r="A569" t="s">
        <v>576</v>
      </c>
      <c r="B569" t="s">
        <v>809</v>
      </c>
      <c r="C569" s="9">
        <v>44997</v>
      </c>
      <c r="D569" s="28" t="str">
        <f t="shared" si="72"/>
        <v>Mar 2023</v>
      </c>
      <c r="E569" s="9">
        <v>45027</v>
      </c>
      <c r="F569" t="s">
        <v>815</v>
      </c>
      <c r="G569">
        <v>3217.38</v>
      </c>
      <c r="H569" t="s">
        <v>820</v>
      </c>
      <c r="I569" s="15">
        <f t="shared" si="73"/>
        <v>0</v>
      </c>
      <c r="J569" s="18" t="str">
        <f t="shared" si="74"/>
        <v>N/A</v>
      </c>
      <c r="L569" s="54" t="str">
        <f t="shared" si="75"/>
        <v/>
      </c>
      <c r="M569" s="9" t="str">
        <f t="shared" si="76"/>
        <v/>
      </c>
      <c r="N569" t="s">
        <v>822</v>
      </c>
      <c r="O569" s="17">
        <f t="shared" si="77"/>
        <v>45868</v>
      </c>
      <c r="P569" s="25">
        <f t="shared" si="78"/>
        <v>841</v>
      </c>
      <c r="Q569" t="str">
        <f t="shared" si="79"/>
        <v>90+</v>
      </c>
      <c r="R569" t="str">
        <f t="shared" si="80"/>
        <v>Due</v>
      </c>
    </row>
    <row r="570" spans="1:18" x14ac:dyDescent="0.35">
      <c r="A570" t="s">
        <v>577</v>
      </c>
      <c r="B570" t="s">
        <v>813</v>
      </c>
      <c r="C570" s="9">
        <v>45587</v>
      </c>
      <c r="D570" s="28" t="str">
        <f t="shared" si="72"/>
        <v>Oct 2024</v>
      </c>
      <c r="E570" s="9">
        <v>45617</v>
      </c>
      <c r="F570" t="s">
        <v>816</v>
      </c>
      <c r="G570">
        <v>793.01</v>
      </c>
      <c r="H570" t="s">
        <v>820</v>
      </c>
      <c r="I570" s="15">
        <f t="shared" si="73"/>
        <v>0</v>
      </c>
      <c r="J570" s="18" t="str">
        <f t="shared" si="74"/>
        <v>N/A</v>
      </c>
      <c r="L570" s="54" t="str">
        <f t="shared" si="75"/>
        <v/>
      </c>
      <c r="M570" s="9" t="str">
        <f t="shared" si="76"/>
        <v/>
      </c>
      <c r="N570" t="s">
        <v>822</v>
      </c>
      <c r="O570" s="17">
        <f t="shared" si="77"/>
        <v>45868</v>
      </c>
      <c r="P570" s="25">
        <f t="shared" si="78"/>
        <v>251</v>
      </c>
      <c r="Q570" t="str">
        <f t="shared" si="79"/>
        <v>90+</v>
      </c>
      <c r="R570" t="str">
        <f t="shared" si="80"/>
        <v>Due</v>
      </c>
    </row>
    <row r="571" spans="1:18" x14ac:dyDescent="0.35">
      <c r="A571" t="s">
        <v>578</v>
      </c>
      <c r="B571" t="s">
        <v>813</v>
      </c>
      <c r="C571" s="9">
        <v>45511</v>
      </c>
      <c r="D571" s="28" t="str">
        <f t="shared" si="72"/>
        <v>Aug 2024</v>
      </c>
      <c r="E571" s="9">
        <v>45541</v>
      </c>
      <c r="F571" t="s">
        <v>817</v>
      </c>
      <c r="G571">
        <v>3912.65</v>
      </c>
      <c r="H571" t="s">
        <v>820</v>
      </c>
      <c r="I571" s="15">
        <f t="shared" si="73"/>
        <v>0</v>
      </c>
      <c r="J571" s="18" t="str">
        <f t="shared" si="74"/>
        <v>N/A</v>
      </c>
      <c r="L571" s="54" t="str">
        <f t="shared" si="75"/>
        <v/>
      </c>
      <c r="M571" s="9" t="str">
        <f t="shared" si="76"/>
        <v/>
      </c>
      <c r="N571" t="s">
        <v>822</v>
      </c>
      <c r="O571" s="17">
        <f t="shared" si="77"/>
        <v>45868</v>
      </c>
      <c r="P571" s="25">
        <f t="shared" si="78"/>
        <v>327</v>
      </c>
      <c r="Q571" t="str">
        <f t="shared" si="79"/>
        <v>90+</v>
      </c>
      <c r="R571" t="str">
        <f t="shared" si="80"/>
        <v>Due</v>
      </c>
    </row>
    <row r="572" spans="1:18" x14ac:dyDescent="0.35">
      <c r="A572" t="s">
        <v>579</v>
      </c>
      <c r="B572" t="s">
        <v>812</v>
      </c>
      <c r="C572" s="9">
        <v>45070</v>
      </c>
      <c r="D572" s="28" t="str">
        <f t="shared" si="72"/>
        <v>May 2023</v>
      </c>
      <c r="E572" s="9">
        <v>45100</v>
      </c>
      <c r="F572" t="s">
        <v>817</v>
      </c>
      <c r="G572">
        <v>2835.21</v>
      </c>
      <c r="H572" t="s">
        <v>821</v>
      </c>
      <c r="I572" s="15">
        <f t="shared" si="73"/>
        <v>2835.21</v>
      </c>
      <c r="J572" s="18">
        <f t="shared" si="74"/>
        <v>0</v>
      </c>
      <c r="K572" s="9">
        <v>45100</v>
      </c>
      <c r="L572" s="54">
        <f t="shared" si="75"/>
        <v>30</v>
      </c>
      <c r="M572" s="9" t="str">
        <f t="shared" si="76"/>
        <v>2023-Jun</v>
      </c>
      <c r="N572" t="s">
        <v>822</v>
      </c>
      <c r="O572" s="17">
        <f t="shared" si="77"/>
        <v>45868</v>
      </c>
      <c r="P572" s="25">
        <f t="shared" si="78"/>
        <v>0</v>
      </c>
      <c r="Q572" t="str">
        <f t="shared" si="79"/>
        <v>Paid</v>
      </c>
      <c r="R572" t="str">
        <f t="shared" si="80"/>
        <v>Not Due</v>
      </c>
    </row>
    <row r="573" spans="1:18" x14ac:dyDescent="0.35">
      <c r="A573" t="s">
        <v>580</v>
      </c>
      <c r="B573" t="s">
        <v>812</v>
      </c>
      <c r="C573" s="9">
        <v>45461</v>
      </c>
      <c r="D573" s="28" t="str">
        <f t="shared" si="72"/>
        <v>Jun 2024</v>
      </c>
      <c r="E573" s="9">
        <v>45491</v>
      </c>
      <c r="F573" t="s">
        <v>814</v>
      </c>
      <c r="G573">
        <v>1007.83</v>
      </c>
      <c r="H573" t="s">
        <v>820</v>
      </c>
      <c r="I573" s="15">
        <f t="shared" si="73"/>
        <v>0</v>
      </c>
      <c r="J573" s="18" t="str">
        <f t="shared" si="74"/>
        <v>N/A</v>
      </c>
      <c r="L573" s="54" t="str">
        <f t="shared" si="75"/>
        <v/>
      </c>
      <c r="M573" s="9" t="str">
        <f t="shared" si="76"/>
        <v/>
      </c>
      <c r="N573" t="s">
        <v>822</v>
      </c>
      <c r="O573" s="17">
        <f t="shared" si="77"/>
        <v>45868</v>
      </c>
      <c r="P573" s="25">
        <f t="shared" si="78"/>
        <v>377</v>
      </c>
      <c r="Q573" t="str">
        <f t="shared" si="79"/>
        <v>90+</v>
      </c>
      <c r="R573" t="str">
        <f t="shared" si="80"/>
        <v>Due</v>
      </c>
    </row>
    <row r="574" spans="1:18" x14ac:dyDescent="0.35">
      <c r="A574" t="s">
        <v>581</v>
      </c>
      <c r="B574" t="s">
        <v>812</v>
      </c>
      <c r="C574" s="9">
        <v>45455</v>
      </c>
      <c r="D574" s="28" t="str">
        <f t="shared" si="72"/>
        <v>Jun 2024</v>
      </c>
      <c r="E574" s="9">
        <v>45485</v>
      </c>
      <c r="F574" t="s">
        <v>816</v>
      </c>
      <c r="G574">
        <v>4988.3599999999997</v>
      </c>
      <c r="H574" t="s">
        <v>820</v>
      </c>
      <c r="I574" s="15">
        <f t="shared" si="73"/>
        <v>0</v>
      </c>
      <c r="J574" s="18" t="str">
        <f t="shared" si="74"/>
        <v>N/A</v>
      </c>
      <c r="L574" s="54" t="str">
        <f t="shared" si="75"/>
        <v/>
      </c>
      <c r="M574" s="9" t="str">
        <f t="shared" si="76"/>
        <v/>
      </c>
      <c r="N574" t="s">
        <v>822</v>
      </c>
      <c r="O574" s="17">
        <f t="shared" si="77"/>
        <v>45868</v>
      </c>
      <c r="P574" s="25">
        <f t="shared" si="78"/>
        <v>383</v>
      </c>
      <c r="Q574" t="str">
        <f t="shared" si="79"/>
        <v>90+</v>
      </c>
      <c r="R574" t="str">
        <f t="shared" si="80"/>
        <v>Due</v>
      </c>
    </row>
    <row r="575" spans="1:18" x14ac:dyDescent="0.35">
      <c r="A575" t="s">
        <v>582</v>
      </c>
      <c r="B575" t="s">
        <v>811</v>
      </c>
      <c r="C575" s="9">
        <v>45775</v>
      </c>
      <c r="D575" s="28" t="str">
        <f t="shared" si="72"/>
        <v>Apr 2025</v>
      </c>
      <c r="E575" s="9">
        <v>45805</v>
      </c>
      <c r="F575" t="s">
        <v>817</v>
      </c>
      <c r="G575">
        <v>2131.81</v>
      </c>
      <c r="H575" t="s">
        <v>821</v>
      </c>
      <c r="I575" s="15">
        <f t="shared" si="73"/>
        <v>2131.81</v>
      </c>
      <c r="J575" s="18">
        <f t="shared" si="74"/>
        <v>0</v>
      </c>
      <c r="K575" s="9">
        <v>45805</v>
      </c>
      <c r="L575" s="54">
        <f t="shared" si="75"/>
        <v>30</v>
      </c>
      <c r="M575" s="9" t="str">
        <f t="shared" si="76"/>
        <v>2025-May</v>
      </c>
      <c r="N575" t="s">
        <v>822</v>
      </c>
      <c r="O575" s="17">
        <f t="shared" si="77"/>
        <v>45868</v>
      </c>
      <c r="P575" s="25">
        <f t="shared" si="78"/>
        <v>0</v>
      </c>
      <c r="Q575" t="str">
        <f t="shared" si="79"/>
        <v>Paid</v>
      </c>
      <c r="R575" t="str">
        <f t="shared" si="80"/>
        <v>Not Due</v>
      </c>
    </row>
    <row r="576" spans="1:18" x14ac:dyDescent="0.35">
      <c r="A576" t="s">
        <v>583</v>
      </c>
      <c r="B576" t="s">
        <v>810</v>
      </c>
      <c r="C576" s="9">
        <v>45616</v>
      </c>
      <c r="D576" s="28" t="str">
        <f t="shared" si="72"/>
        <v>Nov 2024</v>
      </c>
      <c r="E576" s="9">
        <v>45646</v>
      </c>
      <c r="F576" t="s">
        <v>818</v>
      </c>
      <c r="G576">
        <v>3247.68</v>
      </c>
      <c r="H576" t="s">
        <v>820</v>
      </c>
      <c r="I576" s="15">
        <f t="shared" si="73"/>
        <v>0</v>
      </c>
      <c r="J576" s="18" t="str">
        <f t="shared" si="74"/>
        <v>N/A</v>
      </c>
      <c r="L576" s="54" t="str">
        <f t="shared" si="75"/>
        <v/>
      </c>
      <c r="M576" s="9" t="str">
        <f t="shared" si="76"/>
        <v/>
      </c>
      <c r="N576" t="s">
        <v>822</v>
      </c>
      <c r="O576" s="17">
        <f t="shared" si="77"/>
        <v>45868</v>
      </c>
      <c r="P576" s="25">
        <f t="shared" si="78"/>
        <v>222</v>
      </c>
      <c r="Q576" t="str">
        <f t="shared" si="79"/>
        <v>90+</v>
      </c>
      <c r="R576" t="str">
        <f t="shared" si="80"/>
        <v>Due</v>
      </c>
    </row>
    <row r="577" spans="1:18" x14ac:dyDescent="0.35">
      <c r="A577" t="s">
        <v>584</v>
      </c>
      <c r="B577" t="s">
        <v>809</v>
      </c>
      <c r="C577" s="9">
        <v>45491</v>
      </c>
      <c r="D577" s="28" t="str">
        <f t="shared" si="72"/>
        <v>Jul 2024</v>
      </c>
      <c r="E577" s="9">
        <v>45521</v>
      </c>
      <c r="F577" t="s">
        <v>817</v>
      </c>
      <c r="G577">
        <v>4516.3100000000004</v>
      </c>
      <c r="H577" t="s">
        <v>819</v>
      </c>
      <c r="I577" s="15">
        <f t="shared" si="73"/>
        <v>0</v>
      </c>
      <c r="J577" s="18">
        <f t="shared" si="74"/>
        <v>4516.3100000000004</v>
      </c>
      <c r="L577" s="54" t="str">
        <f t="shared" si="75"/>
        <v/>
      </c>
      <c r="M577" s="9" t="str">
        <f t="shared" si="76"/>
        <v/>
      </c>
      <c r="N577" t="s">
        <v>822</v>
      </c>
      <c r="O577" s="17">
        <f t="shared" si="77"/>
        <v>45868</v>
      </c>
      <c r="P577" s="25">
        <f t="shared" si="78"/>
        <v>347</v>
      </c>
      <c r="Q577" t="str">
        <f t="shared" si="79"/>
        <v>90+</v>
      </c>
      <c r="R577" t="str">
        <f t="shared" si="80"/>
        <v>Due</v>
      </c>
    </row>
    <row r="578" spans="1:18" x14ac:dyDescent="0.35">
      <c r="A578" t="s">
        <v>585</v>
      </c>
      <c r="B578" t="s">
        <v>810</v>
      </c>
      <c r="C578" s="9">
        <v>45554</v>
      </c>
      <c r="D578" s="28" t="str">
        <f t="shared" si="72"/>
        <v>Sep 2024</v>
      </c>
      <c r="E578" s="9">
        <v>45584</v>
      </c>
      <c r="F578" t="s">
        <v>817</v>
      </c>
      <c r="G578">
        <v>1978.27</v>
      </c>
      <c r="H578" t="s">
        <v>821</v>
      </c>
      <c r="I578" s="15">
        <f t="shared" si="73"/>
        <v>1978.27</v>
      </c>
      <c r="J578" s="18">
        <f t="shared" si="74"/>
        <v>0</v>
      </c>
      <c r="K578" s="9">
        <v>45584</v>
      </c>
      <c r="L578" s="54">
        <f t="shared" si="75"/>
        <v>30</v>
      </c>
      <c r="M578" s="9" t="str">
        <f t="shared" si="76"/>
        <v>2024-Oct</v>
      </c>
      <c r="N578" t="s">
        <v>822</v>
      </c>
      <c r="O578" s="17">
        <f t="shared" si="77"/>
        <v>45868</v>
      </c>
      <c r="P578" s="25">
        <f t="shared" si="78"/>
        <v>0</v>
      </c>
      <c r="Q578" t="str">
        <f t="shared" si="79"/>
        <v>Paid</v>
      </c>
      <c r="R578" t="str">
        <f t="shared" si="80"/>
        <v>Not Due</v>
      </c>
    </row>
    <row r="579" spans="1:18" x14ac:dyDescent="0.35">
      <c r="A579" t="s">
        <v>586</v>
      </c>
      <c r="B579" t="s">
        <v>811</v>
      </c>
      <c r="C579" s="9">
        <v>45417</v>
      </c>
      <c r="D579" s="28" t="str">
        <f t="shared" ref="D579:D642" si="81">TEXT(C579,"MMM YYYY")</f>
        <v>May 2024</v>
      </c>
      <c r="E579" s="9">
        <v>45447</v>
      </c>
      <c r="F579" t="s">
        <v>816</v>
      </c>
      <c r="G579">
        <v>2314.2399999999998</v>
      </c>
      <c r="H579" t="s">
        <v>821</v>
      </c>
      <c r="I579" s="15">
        <f t="shared" ref="I579:I642" si="82">IF(H579="Paid",G579,0)</f>
        <v>2314.2399999999998</v>
      </c>
      <c r="J579" s="18">
        <f t="shared" ref="J579:J642" si="83">IF(H579="Open",G579,IF(H579="Paid",0,"N/A"))</f>
        <v>0</v>
      </c>
      <c r="K579" s="9">
        <v>45447</v>
      </c>
      <c r="L579" s="54">
        <f t="shared" ref="L579:L642" si="84">IF(H579="Paid",K579-C579,"")</f>
        <v>30</v>
      </c>
      <c r="M579" s="9" t="str">
        <f t="shared" ref="M579:M642" si="85">IF(K579="","",TEXT(K579, "YYYY-MMM"))</f>
        <v>2024-Jun</v>
      </c>
      <c r="N579" t="s">
        <v>822</v>
      </c>
      <c r="O579" s="17">
        <f t="shared" ref="O579:O642" si="86">MAX(MAX($C$2:$C$801), MAX($E$2:$E$801))</f>
        <v>45868</v>
      </c>
      <c r="P579" s="25">
        <f t="shared" ref="P579:P642" si="87">IF(K579="", O579-E579,0)</f>
        <v>0</v>
      </c>
      <c r="Q579" t="str">
        <f t="shared" ref="Q579:Q642" si="88">IF(H579="Paid","Paid",
   IF(P579&lt;=0,"Current",
      IF(P579&lt;=30,"1-30",
         IF(P579&lt;=60,"31-60",
            IF(P579&lt;=90,"61-90","90+")))))</f>
        <v>Paid</v>
      </c>
      <c r="R579" t="str">
        <f t="shared" ref="R579:R642" si="89">IF(P579=0, "Not Due","Due")</f>
        <v>Not Due</v>
      </c>
    </row>
    <row r="580" spans="1:18" x14ac:dyDescent="0.35">
      <c r="A580" t="s">
        <v>587</v>
      </c>
      <c r="B580" t="s">
        <v>809</v>
      </c>
      <c r="C580" s="9">
        <v>45287</v>
      </c>
      <c r="D580" s="28" t="str">
        <f t="shared" si="81"/>
        <v>Dec 2023</v>
      </c>
      <c r="E580" s="9">
        <v>45317</v>
      </c>
      <c r="F580" t="s">
        <v>817</v>
      </c>
      <c r="G580">
        <v>765.18</v>
      </c>
      <c r="H580" t="s">
        <v>819</v>
      </c>
      <c r="I580" s="15">
        <f t="shared" si="82"/>
        <v>0</v>
      </c>
      <c r="J580" s="18">
        <f t="shared" si="83"/>
        <v>765.18</v>
      </c>
      <c r="L580" s="54" t="str">
        <f t="shared" si="84"/>
        <v/>
      </c>
      <c r="M580" s="9" t="str">
        <f t="shared" si="85"/>
        <v/>
      </c>
      <c r="N580" t="s">
        <v>822</v>
      </c>
      <c r="O580" s="17">
        <f t="shared" si="86"/>
        <v>45868</v>
      </c>
      <c r="P580" s="25">
        <f t="shared" si="87"/>
        <v>551</v>
      </c>
      <c r="Q580" t="str">
        <f t="shared" si="88"/>
        <v>90+</v>
      </c>
      <c r="R580" t="str">
        <f t="shared" si="89"/>
        <v>Due</v>
      </c>
    </row>
    <row r="581" spans="1:18" x14ac:dyDescent="0.35">
      <c r="A581" t="s">
        <v>588</v>
      </c>
      <c r="B581" t="s">
        <v>810</v>
      </c>
      <c r="C581" s="9">
        <v>44992</v>
      </c>
      <c r="D581" s="28" t="str">
        <f t="shared" si="81"/>
        <v>Mar 2023</v>
      </c>
      <c r="E581" s="9">
        <v>45022</v>
      </c>
      <c r="F581" t="s">
        <v>818</v>
      </c>
      <c r="G581">
        <v>3471.55</v>
      </c>
      <c r="H581" t="s">
        <v>819</v>
      </c>
      <c r="I581" s="15">
        <f t="shared" si="82"/>
        <v>0</v>
      </c>
      <c r="J581" s="18">
        <f t="shared" si="83"/>
        <v>3471.55</v>
      </c>
      <c r="L581" s="54" t="str">
        <f t="shared" si="84"/>
        <v/>
      </c>
      <c r="M581" s="9" t="str">
        <f t="shared" si="85"/>
        <v/>
      </c>
      <c r="N581" t="s">
        <v>822</v>
      </c>
      <c r="O581" s="17">
        <f t="shared" si="86"/>
        <v>45868</v>
      </c>
      <c r="P581" s="25">
        <f t="shared" si="87"/>
        <v>846</v>
      </c>
      <c r="Q581" t="str">
        <f t="shared" si="88"/>
        <v>90+</v>
      </c>
      <c r="R581" t="str">
        <f t="shared" si="89"/>
        <v>Due</v>
      </c>
    </row>
    <row r="582" spans="1:18" x14ac:dyDescent="0.35">
      <c r="A582" t="s">
        <v>589</v>
      </c>
      <c r="B582" t="s">
        <v>813</v>
      </c>
      <c r="C582" s="9">
        <v>45813</v>
      </c>
      <c r="D582" s="28" t="str">
        <f t="shared" si="81"/>
        <v>Jun 2025</v>
      </c>
      <c r="E582" s="9">
        <v>45843</v>
      </c>
      <c r="F582" t="s">
        <v>817</v>
      </c>
      <c r="G582">
        <v>929.8</v>
      </c>
      <c r="H582" t="s">
        <v>821</v>
      </c>
      <c r="I582" s="15">
        <f t="shared" si="82"/>
        <v>929.8</v>
      </c>
      <c r="J582" s="18">
        <f t="shared" si="83"/>
        <v>0</v>
      </c>
      <c r="K582" s="9">
        <v>45843</v>
      </c>
      <c r="L582" s="54">
        <f t="shared" si="84"/>
        <v>30</v>
      </c>
      <c r="M582" s="9" t="str">
        <f t="shared" si="85"/>
        <v>2025-Jul</v>
      </c>
      <c r="N582" t="s">
        <v>822</v>
      </c>
      <c r="O582" s="17">
        <f t="shared" si="86"/>
        <v>45868</v>
      </c>
      <c r="P582" s="25">
        <f t="shared" si="87"/>
        <v>0</v>
      </c>
      <c r="Q582" t="str">
        <f t="shared" si="88"/>
        <v>Paid</v>
      </c>
      <c r="R582" t="str">
        <f t="shared" si="89"/>
        <v>Not Due</v>
      </c>
    </row>
    <row r="583" spans="1:18" x14ac:dyDescent="0.35">
      <c r="A583" t="s">
        <v>590</v>
      </c>
      <c r="B583" t="s">
        <v>812</v>
      </c>
      <c r="C583" s="9">
        <v>45349</v>
      </c>
      <c r="D583" s="28" t="str">
        <f t="shared" si="81"/>
        <v>Feb 2024</v>
      </c>
      <c r="E583" s="9">
        <v>45379</v>
      </c>
      <c r="F583" t="s">
        <v>817</v>
      </c>
      <c r="G583">
        <v>4543.1099999999997</v>
      </c>
      <c r="H583" t="s">
        <v>821</v>
      </c>
      <c r="I583" s="15">
        <f t="shared" si="82"/>
        <v>4543.1099999999997</v>
      </c>
      <c r="J583" s="18">
        <f t="shared" si="83"/>
        <v>0</v>
      </c>
      <c r="K583" s="9">
        <v>45379</v>
      </c>
      <c r="L583" s="54">
        <f t="shared" si="84"/>
        <v>30</v>
      </c>
      <c r="M583" s="9" t="str">
        <f t="shared" si="85"/>
        <v>2024-Mar</v>
      </c>
      <c r="N583" t="s">
        <v>822</v>
      </c>
      <c r="O583" s="17">
        <f t="shared" si="86"/>
        <v>45868</v>
      </c>
      <c r="P583" s="25">
        <f t="shared" si="87"/>
        <v>0</v>
      </c>
      <c r="Q583" t="str">
        <f t="shared" si="88"/>
        <v>Paid</v>
      </c>
      <c r="R583" t="str">
        <f t="shared" si="89"/>
        <v>Not Due</v>
      </c>
    </row>
    <row r="584" spans="1:18" x14ac:dyDescent="0.35">
      <c r="A584" t="s">
        <v>591</v>
      </c>
      <c r="B584" t="s">
        <v>809</v>
      </c>
      <c r="C584" s="9">
        <v>45354</v>
      </c>
      <c r="D584" s="28" t="str">
        <f t="shared" si="81"/>
        <v>Mar 2024</v>
      </c>
      <c r="E584" s="9">
        <v>45384</v>
      </c>
      <c r="F584" t="s">
        <v>818</v>
      </c>
      <c r="G584">
        <v>2278.5100000000002</v>
      </c>
      <c r="H584" t="s">
        <v>820</v>
      </c>
      <c r="I584" s="15">
        <f t="shared" si="82"/>
        <v>0</v>
      </c>
      <c r="J584" s="18" t="str">
        <f t="shared" si="83"/>
        <v>N/A</v>
      </c>
      <c r="L584" s="54" t="str">
        <f t="shared" si="84"/>
        <v/>
      </c>
      <c r="M584" s="9" t="str">
        <f t="shared" si="85"/>
        <v/>
      </c>
      <c r="N584" t="s">
        <v>822</v>
      </c>
      <c r="O584" s="17">
        <f t="shared" si="86"/>
        <v>45868</v>
      </c>
      <c r="P584" s="25">
        <f t="shared" si="87"/>
        <v>484</v>
      </c>
      <c r="Q584" t="str">
        <f t="shared" si="88"/>
        <v>90+</v>
      </c>
      <c r="R584" t="str">
        <f t="shared" si="89"/>
        <v>Due</v>
      </c>
    </row>
    <row r="585" spans="1:18" x14ac:dyDescent="0.35">
      <c r="A585" t="s">
        <v>592</v>
      </c>
      <c r="B585" t="s">
        <v>813</v>
      </c>
      <c r="C585" s="9">
        <v>45749</v>
      </c>
      <c r="D585" s="28" t="str">
        <f t="shared" si="81"/>
        <v>Apr 2025</v>
      </c>
      <c r="E585" s="9">
        <v>45779</v>
      </c>
      <c r="F585" t="s">
        <v>817</v>
      </c>
      <c r="G585">
        <v>674.53</v>
      </c>
      <c r="H585" t="s">
        <v>820</v>
      </c>
      <c r="I585" s="15">
        <f t="shared" si="82"/>
        <v>0</v>
      </c>
      <c r="J585" s="18" t="str">
        <f t="shared" si="83"/>
        <v>N/A</v>
      </c>
      <c r="L585" s="54" t="str">
        <f t="shared" si="84"/>
        <v/>
      </c>
      <c r="M585" s="9" t="str">
        <f t="shared" si="85"/>
        <v/>
      </c>
      <c r="N585" t="s">
        <v>822</v>
      </c>
      <c r="O585" s="17">
        <f t="shared" si="86"/>
        <v>45868</v>
      </c>
      <c r="P585" s="25">
        <f t="shared" si="87"/>
        <v>89</v>
      </c>
      <c r="Q585" t="str">
        <f t="shared" si="88"/>
        <v>61-90</v>
      </c>
      <c r="R585" t="str">
        <f t="shared" si="89"/>
        <v>Due</v>
      </c>
    </row>
    <row r="586" spans="1:18" x14ac:dyDescent="0.35">
      <c r="A586" t="s">
        <v>593</v>
      </c>
      <c r="B586" t="s">
        <v>809</v>
      </c>
      <c r="C586" s="9">
        <v>45342</v>
      </c>
      <c r="D586" s="28" t="str">
        <f t="shared" si="81"/>
        <v>Feb 2024</v>
      </c>
      <c r="E586" s="9">
        <v>45372</v>
      </c>
      <c r="F586" t="s">
        <v>814</v>
      </c>
      <c r="G586">
        <v>1001.81</v>
      </c>
      <c r="H586" t="s">
        <v>821</v>
      </c>
      <c r="I586" s="15">
        <f t="shared" si="82"/>
        <v>1001.81</v>
      </c>
      <c r="J586" s="18">
        <f t="shared" si="83"/>
        <v>0</v>
      </c>
      <c r="K586" s="9">
        <v>45372</v>
      </c>
      <c r="L586" s="54">
        <f t="shared" si="84"/>
        <v>30</v>
      </c>
      <c r="M586" s="9" t="str">
        <f t="shared" si="85"/>
        <v>2024-Mar</v>
      </c>
      <c r="N586" t="s">
        <v>822</v>
      </c>
      <c r="O586" s="17">
        <f t="shared" si="86"/>
        <v>45868</v>
      </c>
      <c r="P586" s="25">
        <f t="shared" si="87"/>
        <v>0</v>
      </c>
      <c r="Q586" t="str">
        <f t="shared" si="88"/>
        <v>Paid</v>
      </c>
      <c r="R586" t="str">
        <f t="shared" si="89"/>
        <v>Not Due</v>
      </c>
    </row>
    <row r="587" spans="1:18" x14ac:dyDescent="0.35">
      <c r="A587" t="s">
        <v>594</v>
      </c>
      <c r="B587" t="s">
        <v>809</v>
      </c>
      <c r="C587" s="9">
        <v>44953</v>
      </c>
      <c r="D587" s="28" t="str">
        <f t="shared" si="81"/>
        <v>Jan 2023</v>
      </c>
      <c r="E587" s="9">
        <v>44983</v>
      </c>
      <c r="F587" t="s">
        <v>814</v>
      </c>
      <c r="G587">
        <v>1753.68</v>
      </c>
      <c r="H587" t="s">
        <v>820</v>
      </c>
      <c r="I587" s="15">
        <f t="shared" si="82"/>
        <v>0</v>
      </c>
      <c r="J587" s="18" t="str">
        <f t="shared" si="83"/>
        <v>N/A</v>
      </c>
      <c r="L587" s="54" t="str">
        <f t="shared" si="84"/>
        <v/>
      </c>
      <c r="M587" s="9" t="str">
        <f t="shared" si="85"/>
        <v/>
      </c>
      <c r="N587" t="s">
        <v>822</v>
      </c>
      <c r="O587" s="17">
        <f t="shared" si="86"/>
        <v>45868</v>
      </c>
      <c r="P587" s="25">
        <f t="shared" si="87"/>
        <v>885</v>
      </c>
      <c r="Q587" t="str">
        <f t="shared" si="88"/>
        <v>90+</v>
      </c>
      <c r="R587" t="str">
        <f t="shared" si="89"/>
        <v>Due</v>
      </c>
    </row>
    <row r="588" spans="1:18" x14ac:dyDescent="0.35">
      <c r="A588" t="s">
        <v>595</v>
      </c>
      <c r="B588" t="s">
        <v>812</v>
      </c>
      <c r="C588" s="9">
        <v>45163</v>
      </c>
      <c r="D588" s="28" t="str">
        <f t="shared" si="81"/>
        <v>Aug 2023</v>
      </c>
      <c r="E588" s="9">
        <v>45193</v>
      </c>
      <c r="F588" t="s">
        <v>818</v>
      </c>
      <c r="G588">
        <v>1017.46</v>
      </c>
      <c r="H588" t="s">
        <v>819</v>
      </c>
      <c r="I588" s="15">
        <f t="shared" si="82"/>
        <v>0</v>
      </c>
      <c r="J588" s="18">
        <f t="shared" si="83"/>
        <v>1017.46</v>
      </c>
      <c r="L588" s="54" t="str">
        <f t="shared" si="84"/>
        <v/>
      </c>
      <c r="M588" s="9" t="str">
        <f t="shared" si="85"/>
        <v/>
      </c>
      <c r="N588" t="s">
        <v>822</v>
      </c>
      <c r="O588" s="17">
        <f t="shared" si="86"/>
        <v>45868</v>
      </c>
      <c r="P588" s="25">
        <f t="shared" si="87"/>
        <v>675</v>
      </c>
      <c r="Q588" t="str">
        <f t="shared" si="88"/>
        <v>90+</v>
      </c>
      <c r="R588" t="str">
        <f t="shared" si="89"/>
        <v>Due</v>
      </c>
    </row>
    <row r="589" spans="1:18" x14ac:dyDescent="0.35">
      <c r="A589" t="s">
        <v>596</v>
      </c>
      <c r="B589" t="s">
        <v>811</v>
      </c>
      <c r="C589" s="9">
        <v>45230</v>
      </c>
      <c r="D589" s="28" t="str">
        <f t="shared" si="81"/>
        <v>Oct 2023</v>
      </c>
      <c r="E589" s="9">
        <v>45260</v>
      </c>
      <c r="F589" t="s">
        <v>814</v>
      </c>
      <c r="G589">
        <v>3943.03</v>
      </c>
      <c r="H589" t="s">
        <v>821</v>
      </c>
      <c r="I589" s="15">
        <f t="shared" si="82"/>
        <v>3943.03</v>
      </c>
      <c r="J589" s="18">
        <f t="shared" si="83"/>
        <v>0</v>
      </c>
      <c r="K589" s="9">
        <v>45260</v>
      </c>
      <c r="L589" s="54">
        <f t="shared" si="84"/>
        <v>30</v>
      </c>
      <c r="M589" s="9" t="str">
        <f t="shared" si="85"/>
        <v>2023-Nov</v>
      </c>
      <c r="N589" t="s">
        <v>822</v>
      </c>
      <c r="O589" s="17">
        <f t="shared" si="86"/>
        <v>45868</v>
      </c>
      <c r="P589" s="25">
        <f t="shared" si="87"/>
        <v>0</v>
      </c>
      <c r="Q589" t="str">
        <f t="shared" si="88"/>
        <v>Paid</v>
      </c>
      <c r="R589" t="str">
        <f t="shared" si="89"/>
        <v>Not Due</v>
      </c>
    </row>
    <row r="590" spans="1:18" x14ac:dyDescent="0.35">
      <c r="A590" t="s">
        <v>597</v>
      </c>
      <c r="B590" t="s">
        <v>809</v>
      </c>
      <c r="C590" s="9">
        <v>45633</v>
      </c>
      <c r="D590" s="28" t="str">
        <f t="shared" si="81"/>
        <v>Dec 2024</v>
      </c>
      <c r="E590" s="9">
        <v>45663</v>
      </c>
      <c r="F590" t="s">
        <v>817</v>
      </c>
      <c r="G590">
        <v>3632.78</v>
      </c>
      <c r="H590" t="s">
        <v>821</v>
      </c>
      <c r="I590" s="15">
        <f t="shared" si="82"/>
        <v>3632.78</v>
      </c>
      <c r="J590" s="18">
        <f t="shared" si="83"/>
        <v>0</v>
      </c>
      <c r="K590" s="9">
        <v>45663</v>
      </c>
      <c r="L590" s="54">
        <f t="shared" si="84"/>
        <v>30</v>
      </c>
      <c r="M590" s="9" t="str">
        <f t="shared" si="85"/>
        <v>2025-Jan</v>
      </c>
      <c r="N590" t="s">
        <v>822</v>
      </c>
      <c r="O590" s="17">
        <f t="shared" si="86"/>
        <v>45868</v>
      </c>
      <c r="P590" s="25">
        <f t="shared" si="87"/>
        <v>0</v>
      </c>
      <c r="Q590" t="str">
        <f t="shared" si="88"/>
        <v>Paid</v>
      </c>
      <c r="R590" t="str">
        <f t="shared" si="89"/>
        <v>Not Due</v>
      </c>
    </row>
    <row r="591" spans="1:18" x14ac:dyDescent="0.35">
      <c r="A591" t="s">
        <v>598</v>
      </c>
      <c r="B591" t="s">
        <v>813</v>
      </c>
      <c r="C591" s="9">
        <v>45474</v>
      </c>
      <c r="D591" s="28" t="str">
        <f t="shared" si="81"/>
        <v>Jul 2024</v>
      </c>
      <c r="E591" s="9">
        <v>45504</v>
      </c>
      <c r="F591" t="s">
        <v>815</v>
      </c>
      <c r="G591">
        <v>718.37</v>
      </c>
      <c r="H591" t="s">
        <v>821</v>
      </c>
      <c r="I591" s="15">
        <f t="shared" si="82"/>
        <v>718.37</v>
      </c>
      <c r="J591" s="18">
        <f t="shared" si="83"/>
        <v>0</v>
      </c>
      <c r="K591" s="9">
        <v>45504</v>
      </c>
      <c r="L591" s="54">
        <f t="shared" si="84"/>
        <v>30</v>
      </c>
      <c r="M591" s="9" t="str">
        <f t="shared" si="85"/>
        <v>2024-Jul</v>
      </c>
      <c r="N591" t="s">
        <v>822</v>
      </c>
      <c r="O591" s="17">
        <f t="shared" si="86"/>
        <v>45868</v>
      </c>
      <c r="P591" s="25">
        <f t="shared" si="87"/>
        <v>0</v>
      </c>
      <c r="Q591" t="str">
        <f t="shared" si="88"/>
        <v>Paid</v>
      </c>
      <c r="R591" t="str">
        <f t="shared" si="89"/>
        <v>Not Due</v>
      </c>
    </row>
    <row r="592" spans="1:18" x14ac:dyDescent="0.35">
      <c r="A592" t="s">
        <v>599</v>
      </c>
      <c r="B592" t="s">
        <v>813</v>
      </c>
      <c r="C592" s="9">
        <v>45282</v>
      </c>
      <c r="D592" s="28" t="str">
        <f t="shared" si="81"/>
        <v>Dec 2023</v>
      </c>
      <c r="E592" s="9">
        <v>45312</v>
      </c>
      <c r="F592" t="s">
        <v>818</v>
      </c>
      <c r="G592">
        <v>1558.14</v>
      </c>
      <c r="H592" t="s">
        <v>821</v>
      </c>
      <c r="I592" s="15">
        <f t="shared" si="82"/>
        <v>1558.14</v>
      </c>
      <c r="J592" s="18">
        <f t="shared" si="83"/>
        <v>0</v>
      </c>
      <c r="K592" s="9">
        <v>45312</v>
      </c>
      <c r="L592" s="54">
        <f t="shared" si="84"/>
        <v>30</v>
      </c>
      <c r="M592" s="9" t="str">
        <f t="shared" si="85"/>
        <v>2024-Jan</v>
      </c>
      <c r="N592" t="s">
        <v>822</v>
      </c>
      <c r="O592" s="17">
        <f t="shared" si="86"/>
        <v>45868</v>
      </c>
      <c r="P592" s="25">
        <f t="shared" si="87"/>
        <v>0</v>
      </c>
      <c r="Q592" t="str">
        <f t="shared" si="88"/>
        <v>Paid</v>
      </c>
      <c r="R592" t="str">
        <f t="shared" si="89"/>
        <v>Not Due</v>
      </c>
    </row>
    <row r="593" spans="1:18" x14ac:dyDescent="0.35">
      <c r="A593" t="s">
        <v>600</v>
      </c>
      <c r="B593" t="s">
        <v>812</v>
      </c>
      <c r="C593" s="9">
        <v>45510</v>
      </c>
      <c r="D593" s="28" t="str">
        <f t="shared" si="81"/>
        <v>Aug 2024</v>
      </c>
      <c r="E593" s="9">
        <v>45540</v>
      </c>
      <c r="F593" t="s">
        <v>818</v>
      </c>
      <c r="G593">
        <v>2189.9699999999998</v>
      </c>
      <c r="H593" t="s">
        <v>821</v>
      </c>
      <c r="I593" s="15">
        <f t="shared" si="82"/>
        <v>2189.9699999999998</v>
      </c>
      <c r="J593" s="18">
        <f t="shared" si="83"/>
        <v>0</v>
      </c>
      <c r="K593" s="9">
        <v>45540</v>
      </c>
      <c r="L593" s="54">
        <f t="shared" si="84"/>
        <v>30</v>
      </c>
      <c r="M593" s="9" t="str">
        <f t="shared" si="85"/>
        <v>2024-Sep</v>
      </c>
      <c r="N593" t="s">
        <v>822</v>
      </c>
      <c r="O593" s="17">
        <f t="shared" si="86"/>
        <v>45868</v>
      </c>
      <c r="P593" s="25">
        <f t="shared" si="87"/>
        <v>0</v>
      </c>
      <c r="Q593" t="str">
        <f t="shared" si="88"/>
        <v>Paid</v>
      </c>
      <c r="R593" t="str">
        <f t="shared" si="89"/>
        <v>Not Due</v>
      </c>
    </row>
    <row r="594" spans="1:18" x14ac:dyDescent="0.35">
      <c r="A594" t="s">
        <v>601</v>
      </c>
      <c r="B594" t="s">
        <v>809</v>
      </c>
      <c r="C594" s="9">
        <v>45245</v>
      </c>
      <c r="D594" s="28" t="str">
        <f t="shared" si="81"/>
        <v>Nov 2023</v>
      </c>
      <c r="E594" s="9">
        <v>45275</v>
      </c>
      <c r="F594" t="s">
        <v>818</v>
      </c>
      <c r="G594">
        <v>2952.06</v>
      </c>
      <c r="H594" t="s">
        <v>821</v>
      </c>
      <c r="I594" s="15">
        <f t="shared" si="82"/>
        <v>2952.06</v>
      </c>
      <c r="J594" s="18">
        <f t="shared" si="83"/>
        <v>0</v>
      </c>
      <c r="K594" s="9">
        <v>45275</v>
      </c>
      <c r="L594" s="54">
        <f t="shared" si="84"/>
        <v>30</v>
      </c>
      <c r="M594" s="9" t="str">
        <f t="shared" si="85"/>
        <v>2023-Dec</v>
      </c>
      <c r="N594" t="s">
        <v>822</v>
      </c>
      <c r="O594" s="17">
        <f t="shared" si="86"/>
        <v>45868</v>
      </c>
      <c r="P594" s="25">
        <f t="shared" si="87"/>
        <v>0</v>
      </c>
      <c r="Q594" t="str">
        <f t="shared" si="88"/>
        <v>Paid</v>
      </c>
      <c r="R594" t="str">
        <f t="shared" si="89"/>
        <v>Not Due</v>
      </c>
    </row>
    <row r="595" spans="1:18" x14ac:dyDescent="0.35">
      <c r="A595" t="s">
        <v>602</v>
      </c>
      <c r="B595" t="s">
        <v>813</v>
      </c>
      <c r="C595" s="9">
        <v>45190</v>
      </c>
      <c r="D595" s="28" t="str">
        <f t="shared" si="81"/>
        <v>Sep 2023</v>
      </c>
      <c r="E595" s="9">
        <v>45220</v>
      </c>
      <c r="F595" t="s">
        <v>816</v>
      </c>
      <c r="G595">
        <v>4764.7299999999996</v>
      </c>
      <c r="H595" t="s">
        <v>821</v>
      </c>
      <c r="I595" s="15">
        <f t="shared" si="82"/>
        <v>4764.7299999999996</v>
      </c>
      <c r="J595" s="18">
        <f t="shared" si="83"/>
        <v>0</v>
      </c>
      <c r="K595" s="9">
        <v>45220</v>
      </c>
      <c r="L595" s="54">
        <f t="shared" si="84"/>
        <v>30</v>
      </c>
      <c r="M595" s="9" t="str">
        <f t="shared" si="85"/>
        <v>2023-Oct</v>
      </c>
      <c r="N595" t="s">
        <v>822</v>
      </c>
      <c r="O595" s="17">
        <f t="shared" si="86"/>
        <v>45868</v>
      </c>
      <c r="P595" s="25">
        <f t="shared" si="87"/>
        <v>0</v>
      </c>
      <c r="Q595" t="str">
        <f t="shared" si="88"/>
        <v>Paid</v>
      </c>
      <c r="R595" t="str">
        <f t="shared" si="89"/>
        <v>Not Due</v>
      </c>
    </row>
    <row r="596" spans="1:18" x14ac:dyDescent="0.35">
      <c r="A596" t="s">
        <v>603</v>
      </c>
      <c r="B596" t="s">
        <v>813</v>
      </c>
      <c r="C596" s="9">
        <v>45797</v>
      </c>
      <c r="D596" s="28" t="str">
        <f t="shared" si="81"/>
        <v>May 2025</v>
      </c>
      <c r="E596" s="9">
        <v>45827</v>
      </c>
      <c r="F596" t="s">
        <v>814</v>
      </c>
      <c r="G596">
        <v>3903.36</v>
      </c>
      <c r="H596" t="s">
        <v>820</v>
      </c>
      <c r="I596" s="15">
        <f t="shared" si="82"/>
        <v>0</v>
      </c>
      <c r="J596" s="18" t="str">
        <f t="shared" si="83"/>
        <v>N/A</v>
      </c>
      <c r="L596" s="54" t="str">
        <f t="shared" si="84"/>
        <v/>
      </c>
      <c r="M596" s="9" t="str">
        <f t="shared" si="85"/>
        <v/>
      </c>
      <c r="N596" t="s">
        <v>822</v>
      </c>
      <c r="O596" s="17">
        <f t="shared" si="86"/>
        <v>45868</v>
      </c>
      <c r="P596" s="25">
        <f t="shared" si="87"/>
        <v>41</v>
      </c>
      <c r="Q596" t="str">
        <f t="shared" si="88"/>
        <v>31-60</v>
      </c>
      <c r="R596" t="str">
        <f t="shared" si="89"/>
        <v>Due</v>
      </c>
    </row>
    <row r="597" spans="1:18" x14ac:dyDescent="0.35">
      <c r="A597" t="s">
        <v>604</v>
      </c>
      <c r="B597" t="s">
        <v>813</v>
      </c>
      <c r="C597" s="9">
        <v>45220</v>
      </c>
      <c r="D597" s="28" t="str">
        <f t="shared" si="81"/>
        <v>Oct 2023</v>
      </c>
      <c r="E597" s="9">
        <v>45250</v>
      </c>
      <c r="F597" t="s">
        <v>817</v>
      </c>
      <c r="G597">
        <v>940.15</v>
      </c>
      <c r="H597" t="s">
        <v>819</v>
      </c>
      <c r="I597" s="15">
        <f t="shared" si="82"/>
        <v>0</v>
      </c>
      <c r="J597" s="18">
        <f t="shared" si="83"/>
        <v>940.15</v>
      </c>
      <c r="L597" s="54" t="str">
        <f t="shared" si="84"/>
        <v/>
      </c>
      <c r="M597" s="9" t="str">
        <f t="shared" si="85"/>
        <v/>
      </c>
      <c r="N597" t="s">
        <v>822</v>
      </c>
      <c r="O597" s="17">
        <f t="shared" si="86"/>
        <v>45868</v>
      </c>
      <c r="P597" s="25">
        <f t="shared" si="87"/>
        <v>618</v>
      </c>
      <c r="Q597" t="str">
        <f t="shared" si="88"/>
        <v>90+</v>
      </c>
      <c r="R597" t="str">
        <f t="shared" si="89"/>
        <v>Due</v>
      </c>
    </row>
    <row r="598" spans="1:18" x14ac:dyDescent="0.35">
      <c r="A598" t="s">
        <v>605</v>
      </c>
      <c r="B598" t="s">
        <v>809</v>
      </c>
      <c r="C598" s="9">
        <v>45162</v>
      </c>
      <c r="D598" s="28" t="str">
        <f t="shared" si="81"/>
        <v>Aug 2023</v>
      </c>
      <c r="E598" s="9">
        <v>45192</v>
      </c>
      <c r="F598" t="s">
        <v>817</v>
      </c>
      <c r="G598">
        <v>3505.16</v>
      </c>
      <c r="H598" t="s">
        <v>819</v>
      </c>
      <c r="I598" s="15">
        <f t="shared" si="82"/>
        <v>0</v>
      </c>
      <c r="J598" s="18">
        <f t="shared" si="83"/>
        <v>3505.16</v>
      </c>
      <c r="L598" s="54" t="str">
        <f t="shared" si="84"/>
        <v/>
      </c>
      <c r="M598" s="9" t="str">
        <f t="shared" si="85"/>
        <v/>
      </c>
      <c r="N598" t="s">
        <v>822</v>
      </c>
      <c r="O598" s="17">
        <f t="shared" si="86"/>
        <v>45868</v>
      </c>
      <c r="P598" s="25">
        <f t="shared" si="87"/>
        <v>676</v>
      </c>
      <c r="Q598" t="str">
        <f t="shared" si="88"/>
        <v>90+</v>
      </c>
      <c r="R598" t="str">
        <f t="shared" si="89"/>
        <v>Due</v>
      </c>
    </row>
    <row r="599" spans="1:18" x14ac:dyDescent="0.35">
      <c r="A599" t="s">
        <v>606</v>
      </c>
      <c r="B599" t="s">
        <v>812</v>
      </c>
      <c r="C599" s="9">
        <v>45420</v>
      </c>
      <c r="D599" s="28" t="str">
        <f t="shared" si="81"/>
        <v>May 2024</v>
      </c>
      <c r="E599" s="9">
        <v>45450</v>
      </c>
      <c r="F599" t="s">
        <v>814</v>
      </c>
      <c r="G599">
        <v>372.08</v>
      </c>
      <c r="H599" t="s">
        <v>820</v>
      </c>
      <c r="I599" s="15">
        <f t="shared" si="82"/>
        <v>0</v>
      </c>
      <c r="J599" s="18" t="str">
        <f t="shared" si="83"/>
        <v>N/A</v>
      </c>
      <c r="L599" s="54" t="str">
        <f t="shared" si="84"/>
        <v/>
      </c>
      <c r="M599" s="9" t="str">
        <f t="shared" si="85"/>
        <v/>
      </c>
      <c r="N599" t="s">
        <v>822</v>
      </c>
      <c r="O599" s="17">
        <f t="shared" si="86"/>
        <v>45868</v>
      </c>
      <c r="P599" s="25">
        <f t="shared" si="87"/>
        <v>418</v>
      </c>
      <c r="Q599" t="str">
        <f t="shared" si="88"/>
        <v>90+</v>
      </c>
      <c r="R599" t="str">
        <f t="shared" si="89"/>
        <v>Due</v>
      </c>
    </row>
    <row r="600" spans="1:18" x14ac:dyDescent="0.35">
      <c r="A600" t="s">
        <v>607</v>
      </c>
      <c r="B600" t="s">
        <v>811</v>
      </c>
      <c r="C600" s="9">
        <v>45223</v>
      </c>
      <c r="D600" s="28" t="str">
        <f t="shared" si="81"/>
        <v>Oct 2023</v>
      </c>
      <c r="E600" s="9">
        <v>45253</v>
      </c>
      <c r="F600" t="s">
        <v>815</v>
      </c>
      <c r="G600">
        <v>982.33</v>
      </c>
      <c r="H600" t="s">
        <v>821</v>
      </c>
      <c r="I600" s="15">
        <f t="shared" si="82"/>
        <v>982.33</v>
      </c>
      <c r="J600" s="18">
        <f t="shared" si="83"/>
        <v>0</v>
      </c>
      <c r="K600" s="9">
        <v>45253</v>
      </c>
      <c r="L600" s="54">
        <f t="shared" si="84"/>
        <v>30</v>
      </c>
      <c r="M600" s="9" t="str">
        <f t="shared" si="85"/>
        <v>2023-Nov</v>
      </c>
      <c r="N600" t="s">
        <v>822</v>
      </c>
      <c r="O600" s="17">
        <f t="shared" si="86"/>
        <v>45868</v>
      </c>
      <c r="P600" s="25">
        <f t="shared" si="87"/>
        <v>0</v>
      </c>
      <c r="Q600" t="str">
        <f t="shared" si="88"/>
        <v>Paid</v>
      </c>
      <c r="R600" t="str">
        <f t="shared" si="89"/>
        <v>Not Due</v>
      </c>
    </row>
    <row r="601" spans="1:18" x14ac:dyDescent="0.35">
      <c r="A601" t="s">
        <v>608</v>
      </c>
      <c r="B601" t="s">
        <v>811</v>
      </c>
      <c r="C601" s="9">
        <v>45277</v>
      </c>
      <c r="D601" s="28" t="str">
        <f t="shared" si="81"/>
        <v>Dec 2023</v>
      </c>
      <c r="E601" s="9">
        <v>45307</v>
      </c>
      <c r="F601" t="s">
        <v>817</v>
      </c>
      <c r="G601">
        <v>2177.67</v>
      </c>
      <c r="H601" t="s">
        <v>821</v>
      </c>
      <c r="I601" s="15">
        <f t="shared" si="82"/>
        <v>2177.67</v>
      </c>
      <c r="J601" s="18">
        <f t="shared" si="83"/>
        <v>0</v>
      </c>
      <c r="K601" s="9">
        <v>45307</v>
      </c>
      <c r="L601" s="54">
        <f t="shared" si="84"/>
        <v>30</v>
      </c>
      <c r="M601" s="9" t="str">
        <f t="shared" si="85"/>
        <v>2024-Jan</v>
      </c>
      <c r="N601" t="s">
        <v>822</v>
      </c>
      <c r="O601" s="17">
        <f t="shared" si="86"/>
        <v>45868</v>
      </c>
      <c r="P601" s="25">
        <f t="shared" si="87"/>
        <v>0</v>
      </c>
      <c r="Q601" t="str">
        <f t="shared" si="88"/>
        <v>Paid</v>
      </c>
      <c r="R601" t="str">
        <f t="shared" si="89"/>
        <v>Not Due</v>
      </c>
    </row>
    <row r="602" spans="1:18" x14ac:dyDescent="0.35">
      <c r="A602" t="s">
        <v>609</v>
      </c>
      <c r="B602" t="s">
        <v>812</v>
      </c>
      <c r="C602" s="9">
        <v>45004</v>
      </c>
      <c r="D602" s="28" t="str">
        <f t="shared" si="81"/>
        <v>Mar 2023</v>
      </c>
      <c r="E602" s="9">
        <v>45034</v>
      </c>
      <c r="F602" t="s">
        <v>815</v>
      </c>
      <c r="G602">
        <v>147.22</v>
      </c>
      <c r="H602" t="s">
        <v>819</v>
      </c>
      <c r="I602" s="15">
        <f t="shared" si="82"/>
        <v>0</v>
      </c>
      <c r="J602" s="18">
        <f t="shared" si="83"/>
        <v>147.22</v>
      </c>
      <c r="L602" s="54" t="str">
        <f t="shared" si="84"/>
        <v/>
      </c>
      <c r="M602" s="9" t="str">
        <f t="shared" si="85"/>
        <v/>
      </c>
      <c r="N602" t="s">
        <v>822</v>
      </c>
      <c r="O602" s="17">
        <f t="shared" si="86"/>
        <v>45868</v>
      </c>
      <c r="P602" s="25">
        <f t="shared" si="87"/>
        <v>834</v>
      </c>
      <c r="Q602" t="str">
        <f t="shared" si="88"/>
        <v>90+</v>
      </c>
      <c r="R602" t="str">
        <f t="shared" si="89"/>
        <v>Due</v>
      </c>
    </row>
    <row r="603" spans="1:18" x14ac:dyDescent="0.35">
      <c r="A603" t="s">
        <v>610</v>
      </c>
      <c r="B603" t="s">
        <v>809</v>
      </c>
      <c r="C603" s="9">
        <v>45227</v>
      </c>
      <c r="D603" s="28" t="str">
        <f t="shared" si="81"/>
        <v>Oct 2023</v>
      </c>
      <c r="E603" s="9">
        <v>45257</v>
      </c>
      <c r="F603" t="s">
        <v>818</v>
      </c>
      <c r="G603">
        <v>625.22</v>
      </c>
      <c r="H603" t="s">
        <v>821</v>
      </c>
      <c r="I603" s="15">
        <f t="shared" si="82"/>
        <v>625.22</v>
      </c>
      <c r="J603" s="18">
        <f t="shared" si="83"/>
        <v>0</v>
      </c>
      <c r="K603" s="9">
        <v>45257</v>
      </c>
      <c r="L603" s="54">
        <f t="shared" si="84"/>
        <v>30</v>
      </c>
      <c r="M603" s="9" t="str">
        <f t="shared" si="85"/>
        <v>2023-Nov</v>
      </c>
      <c r="N603" t="s">
        <v>822</v>
      </c>
      <c r="O603" s="17">
        <f t="shared" si="86"/>
        <v>45868</v>
      </c>
      <c r="P603" s="25">
        <f t="shared" si="87"/>
        <v>0</v>
      </c>
      <c r="Q603" t="str">
        <f t="shared" si="88"/>
        <v>Paid</v>
      </c>
      <c r="R603" t="str">
        <f t="shared" si="89"/>
        <v>Not Due</v>
      </c>
    </row>
    <row r="604" spans="1:18" x14ac:dyDescent="0.35">
      <c r="A604" t="s">
        <v>611</v>
      </c>
      <c r="B604" t="s">
        <v>813</v>
      </c>
      <c r="C604" s="9">
        <v>45082</v>
      </c>
      <c r="D604" s="28" t="str">
        <f t="shared" si="81"/>
        <v>Jun 2023</v>
      </c>
      <c r="E604" s="9">
        <v>45112</v>
      </c>
      <c r="F604" t="s">
        <v>818</v>
      </c>
      <c r="G604">
        <v>204.04</v>
      </c>
      <c r="H604" t="s">
        <v>819</v>
      </c>
      <c r="I604" s="15">
        <f t="shared" si="82"/>
        <v>0</v>
      </c>
      <c r="J604" s="18">
        <f t="shared" si="83"/>
        <v>204.04</v>
      </c>
      <c r="L604" s="54" t="str">
        <f t="shared" si="84"/>
        <v/>
      </c>
      <c r="M604" s="9" t="str">
        <f t="shared" si="85"/>
        <v/>
      </c>
      <c r="N604" t="s">
        <v>822</v>
      </c>
      <c r="O604" s="17">
        <f t="shared" si="86"/>
        <v>45868</v>
      </c>
      <c r="P604" s="25">
        <f t="shared" si="87"/>
        <v>756</v>
      </c>
      <c r="Q604" t="str">
        <f t="shared" si="88"/>
        <v>90+</v>
      </c>
      <c r="R604" t="str">
        <f t="shared" si="89"/>
        <v>Due</v>
      </c>
    </row>
    <row r="605" spans="1:18" x14ac:dyDescent="0.35">
      <c r="A605" t="s">
        <v>612</v>
      </c>
      <c r="B605" t="s">
        <v>810</v>
      </c>
      <c r="C605" s="9">
        <v>45625</v>
      </c>
      <c r="D605" s="28" t="str">
        <f t="shared" si="81"/>
        <v>Nov 2024</v>
      </c>
      <c r="E605" s="9">
        <v>45655</v>
      </c>
      <c r="F605" t="s">
        <v>817</v>
      </c>
      <c r="G605">
        <v>1373.89</v>
      </c>
      <c r="H605" t="s">
        <v>820</v>
      </c>
      <c r="I605" s="15">
        <f t="shared" si="82"/>
        <v>0</v>
      </c>
      <c r="J605" s="18" t="str">
        <f t="shared" si="83"/>
        <v>N/A</v>
      </c>
      <c r="L605" s="54" t="str">
        <f t="shared" si="84"/>
        <v/>
      </c>
      <c r="M605" s="9" t="str">
        <f t="shared" si="85"/>
        <v/>
      </c>
      <c r="N605" t="s">
        <v>822</v>
      </c>
      <c r="O605" s="17">
        <f t="shared" si="86"/>
        <v>45868</v>
      </c>
      <c r="P605" s="25">
        <f t="shared" si="87"/>
        <v>213</v>
      </c>
      <c r="Q605" t="str">
        <f t="shared" si="88"/>
        <v>90+</v>
      </c>
      <c r="R605" t="str">
        <f t="shared" si="89"/>
        <v>Due</v>
      </c>
    </row>
    <row r="606" spans="1:18" x14ac:dyDescent="0.35">
      <c r="A606" t="s">
        <v>613</v>
      </c>
      <c r="B606" t="s">
        <v>809</v>
      </c>
      <c r="C606" s="9">
        <v>45794</v>
      </c>
      <c r="D606" s="28" t="str">
        <f t="shared" si="81"/>
        <v>May 2025</v>
      </c>
      <c r="E606" s="9">
        <v>45824</v>
      </c>
      <c r="F606" t="s">
        <v>817</v>
      </c>
      <c r="G606">
        <v>1032.8399999999999</v>
      </c>
      <c r="H606" t="s">
        <v>820</v>
      </c>
      <c r="I606" s="15">
        <f t="shared" si="82"/>
        <v>0</v>
      </c>
      <c r="J606" s="18" t="str">
        <f t="shared" si="83"/>
        <v>N/A</v>
      </c>
      <c r="L606" s="54" t="str">
        <f t="shared" si="84"/>
        <v/>
      </c>
      <c r="M606" s="9" t="str">
        <f t="shared" si="85"/>
        <v/>
      </c>
      <c r="N606" t="s">
        <v>822</v>
      </c>
      <c r="O606" s="17">
        <f t="shared" si="86"/>
        <v>45868</v>
      </c>
      <c r="P606" s="25">
        <f t="shared" si="87"/>
        <v>44</v>
      </c>
      <c r="Q606" t="str">
        <f t="shared" si="88"/>
        <v>31-60</v>
      </c>
      <c r="R606" t="str">
        <f t="shared" si="89"/>
        <v>Due</v>
      </c>
    </row>
    <row r="607" spans="1:18" x14ac:dyDescent="0.35">
      <c r="A607" t="s">
        <v>614</v>
      </c>
      <c r="B607" t="s">
        <v>811</v>
      </c>
      <c r="C607" s="9">
        <v>45623</v>
      </c>
      <c r="D607" s="28" t="str">
        <f t="shared" si="81"/>
        <v>Nov 2024</v>
      </c>
      <c r="E607" s="9">
        <v>45653</v>
      </c>
      <c r="F607" t="s">
        <v>816</v>
      </c>
      <c r="G607">
        <v>529.48</v>
      </c>
      <c r="H607" t="s">
        <v>820</v>
      </c>
      <c r="I607" s="15">
        <f t="shared" si="82"/>
        <v>0</v>
      </c>
      <c r="J607" s="18" t="str">
        <f t="shared" si="83"/>
        <v>N/A</v>
      </c>
      <c r="L607" s="54" t="str">
        <f t="shared" si="84"/>
        <v/>
      </c>
      <c r="M607" s="9" t="str">
        <f t="shared" si="85"/>
        <v/>
      </c>
      <c r="N607" t="s">
        <v>822</v>
      </c>
      <c r="O607" s="17">
        <f t="shared" si="86"/>
        <v>45868</v>
      </c>
      <c r="P607" s="25">
        <f t="shared" si="87"/>
        <v>215</v>
      </c>
      <c r="Q607" t="str">
        <f t="shared" si="88"/>
        <v>90+</v>
      </c>
      <c r="R607" t="str">
        <f t="shared" si="89"/>
        <v>Due</v>
      </c>
    </row>
    <row r="608" spans="1:18" x14ac:dyDescent="0.35">
      <c r="A608" t="s">
        <v>615</v>
      </c>
      <c r="B608" t="s">
        <v>809</v>
      </c>
      <c r="C608" s="9">
        <v>44988</v>
      </c>
      <c r="D608" s="28" t="str">
        <f t="shared" si="81"/>
        <v>Mar 2023</v>
      </c>
      <c r="E608" s="9">
        <v>45018</v>
      </c>
      <c r="F608" t="s">
        <v>814</v>
      </c>
      <c r="G608">
        <v>4365.17</v>
      </c>
      <c r="H608" t="s">
        <v>820</v>
      </c>
      <c r="I608" s="15">
        <f t="shared" si="82"/>
        <v>0</v>
      </c>
      <c r="J608" s="18" t="str">
        <f t="shared" si="83"/>
        <v>N/A</v>
      </c>
      <c r="L608" s="54" t="str">
        <f t="shared" si="84"/>
        <v/>
      </c>
      <c r="M608" s="9" t="str">
        <f t="shared" si="85"/>
        <v/>
      </c>
      <c r="N608" t="s">
        <v>822</v>
      </c>
      <c r="O608" s="17">
        <f t="shared" si="86"/>
        <v>45868</v>
      </c>
      <c r="P608" s="25">
        <f t="shared" si="87"/>
        <v>850</v>
      </c>
      <c r="Q608" t="str">
        <f t="shared" si="88"/>
        <v>90+</v>
      </c>
      <c r="R608" t="str">
        <f t="shared" si="89"/>
        <v>Due</v>
      </c>
    </row>
    <row r="609" spans="1:18" x14ac:dyDescent="0.35">
      <c r="A609" t="s">
        <v>616</v>
      </c>
      <c r="B609" t="s">
        <v>813</v>
      </c>
      <c r="C609" s="9">
        <v>45635</v>
      </c>
      <c r="D609" s="28" t="str">
        <f t="shared" si="81"/>
        <v>Dec 2024</v>
      </c>
      <c r="E609" s="9">
        <v>45665</v>
      </c>
      <c r="F609" t="s">
        <v>817</v>
      </c>
      <c r="G609">
        <v>4546.88</v>
      </c>
      <c r="H609" t="s">
        <v>819</v>
      </c>
      <c r="I609" s="15">
        <f t="shared" si="82"/>
        <v>0</v>
      </c>
      <c r="J609" s="18">
        <f t="shared" si="83"/>
        <v>4546.88</v>
      </c>
      <c r="L609" s="54" t="str">
        <f t="shared" si="84"/>
        <v/>
      </c>
      <c r="M609" s="9" t="str">
        <f t="shared" si="85"/>
        <v/>
      </c>
      <c r="N609" t="s">
        <v>822</v>
      </c>
      <c r="O609" s="17">
        <f t="shared" si="86"/>
        <v>45868</v>
      </c>
      <c r="P609" s="25">
        <f t="shared" si="87"/>
        <v>203</v>
      </c>
      <c r="Q609" t="str">
        <f t="shared" si="88"/>
        <v>90+</v>
      </c>
      <c r="R609" t="str">
        <f t="shared" si="89"/>
        <v>Due</v>
      </c>
    </row>
    <row r="610" spans="1:18" x14ac:dyDescent="0.35">
      <c r="A610" t="s">
        <v>617</v>
      </c>
      <c r="B610" t="s">
        <v>812</v>
      </c>
      <c r="C610" s="9">
        <v>45299</v>
      </c>
      <c r="D610" s="28" t="str">
        <f t="shared" si="81"/>
        <v>Jan 2024</v>
      </c>
      <c r="E610" s="9">
        <v>45329</v>
      </c>
      <c r="F610" t="s">
        <v>818</v>
      </c>
      <c r="G610">
        <v>2475.42</v>
      </c>
      <c r="H610" t="s">
        <v>820</v>
      </c>
      <c r="I610" s="15">
        <f t="shared" si="82"/>
        <v>0</v>
      </c>
      <c r="J610" s="18" t="str">
        <f t="shared" si="83"/>
        <v>N/A</v>
      </c>
      <c r="L610" s="54" t="str">
        <f t="shared" si="84"/>
        <v/>
      </c>
      <c r="M610" s="9" t="str">
        <f t="shared" si="85"/>
        <v/>
      </c>
      <c r="N610" t="s">
        <v>822</v>
      </c>
      <c r="O610" s="17">
        <f t="shared" si="86"/>
        <v>45868</v>
      </c>
      <c r="P610" s="25">
        <f t="shared" si="87"/>
        <v>539</v>
      </c>
      <c r="Q610" t="str">
        <f t="shared" si="88"/>
        <v>90+</v>
      </c>
      <c r="R610" t="str">
        <f t="shared" si="89"/>
        <v>Due</v>
      </c>
    </row>
    <row r="611" spans="1:18" x14ac:dyDescent="0.35">
      <c r="A611" t="s">
        <v>618</v>
      </c>
      <c r="B611" t="s">
        <v>813</v>
      </c>
      <c r="C611" s="9">
        <v>44976</v>
      </c>
      <c r="D611" s="28" t="str">
        <f t="shared" si="81"/>
        <v>Feb 2023</v>
      </c>
      <c r="E611" s="9">
        <v>45006</v>
      </c>
      <c r="F611" t="s">
        <v>816</v>
      </c>
      <c r="G611">
        <v>4510.63</v>
      </c>
      <c r="H611" t="s">
        <v>819</v>
      </c>
      <c r="I611" s="15">
        <f t="shared" si="82"/>
        <v>0</v>
      </c>
      <c r="J611" s="18">
        <f t="shared" si="83"/>
        <v>4510.63</v>
      </c>
      <c r="L611" s="54" t="str">
        <f t="shared" si="84"/>
        <v/>
      </c>
      <c r="M611" s="9" t="str">
        <f t="shared" si="85"/>
        <v/>
      </c>
      <c r="N611" t="s">
        <v>822</v>
      </c>
      <c r="O611" s="17">
        <f t="shared" si="86"/>
        <v>45868</v>
      </c>
      <c r="P611" s="25">
        <f t="shared" si="87"/>
        <v>862</v>
      </c>
      <c r="Q611" t="str">
        <f t="shared" si="88"/>
        <v>90+</v>
      </c>
      <c r="R611" t="str">
        <f t="shared" si="89"/>
        <v>Due</v>
      </c>
    </row>
    <row r="612" spans="1:18" x14ac:dyDescent="0.35">
      <c r="A612" t="s">
        <v>619</v>
      </c>
      <c r="B612" t="s">
        <v>812</v>
      </c>
      <c r="C612" s="9">
        <v>44929</v>
      </c>
      <c r="D612" s="28" t="str">
        <f t="shared" si="81"/>
        <v>Jan 2023</v>
      </c>
      <c r="E612" s="9">
        <v>44959</v>
      </c>
      <c r="F612" t="s">
        <v>815</v>
      </c>
      <c r="G612">
        <v>2207.83</v>
      </c>
      <c r="H612" t="s">
        <v>821</v>
      </c>
      <c r="I612" s="15">
        <f t="shared" si="82"/>
        <v>2207.83</v>
      </c>
      <c r="J612" s="18">
        <f t="shared" si="83"/>
        <v>0</v>
      </c>
      <c r="K612" s="9">
        <v>44959</v>
      </c>
      <c r="L612" s="54">
        <f t="shared" si="84"/>
        <v>30</v>
      </c>
      <c r="M612" s="9" t="str">
        <f t="shared" si="85"/>
        <v>2023-Feb</v>
      </c>
      <c r="N612" t="s">
        <v>822</v>
      </c>
      <c r="O612" s="17">
        <f t="shared" si="86"/>
        <v>45868</v>
      </c>
      <c r="P612" s="25">
        <f t="shared" si="87"/>
        <v>0</v>
      </c>
      <c r="Q612" t="str">
        <f t="shared" si="88"/>
        <v>Paid</v>
      </c>
      <c r="R612" t="str">
        <f t="shared" si="89"/>
        <v>Not Due</v>
      </c>
    </row>
    <row r="613" spans="1:18" x14ac:dyDescent="0.35">
      <c r="A613" t="s">
        <v>620</v>
      </c>
      <c r="B613" t="s">
        <v>811</v>
      </c>
      <c r="C613" s="9">
        <v>45495</v>
      </c>
      <c r="D613" s="28" t="str">
        <f t="shared" si="81"/>
        <v>Jul 2024</v>
      </c>
      <c r="E613" s="9">
        <v>45525</v>
      </c>
      <c r="F613" t="s">
        <v>818</v>
      </c>
      <c r="G613">
        <v>750.68</v>
      </c>
      <c r="H613" t="s">
        <v>820</v>
      </c>
      <c r="I613" s="15">
        <f t="shared" si="82"/>
        <v>0</v>
      </c>
      <c r="J613" s="18" t="str">
        <f t="shared" si="83"/>
        <v>N/A</v>
      </c>
      <c r="L613" s="54" t="str">
        <f t="shared" si="84"/>
        <v/>
      </c>
      <c r="M613" s="9" t="str">
        <f t="shared" si="85"/>
        <v/>
      </c>
      <c r="N613" t="s">
        <v>822</v>
      </c>
      <c r="O613" s="17">
        <f t="shared" si="86"/>
        <v>45868</v>
      </c>
      <c r="P613" s="25">
        <f t="shared" si="87"/>
        <v>343</v>
      </c>
      <c r="Q613" t="str">
        <f t="shared" si="88"/>
        <v>90+</v>
      </c>
      <c r="R613" t="str">
        <f t="shared" si="89"/>
        <v>Due</v>
      </c>
    </row>
    <row r="614" spans="1:18" x14ac:dyDescent="0.35">
      <c r="A614" t="s">
        <v>621</v>
      </c>
      <c r="B614" t="s">
        <v>812</v>
      </c>
      <c r="C614" s="9">
        <v>45401</v>
      </c>
      <c r="D614" s="28" t="str">
        <f t="shared" si="81"/>
        <v>Apr 2024</v>
      </c>
      <c r="E614" s="9">
        <v>45431</v>
      </c>
      <c r="F614" t="s">
        <v>816</v>
      </c>
      <c r="G614">
        <v>1653.25</v>
      </c>
      <c r="H614" t="s">
        <v>819</v>
      </c>
      <c r="I614" s="15">
        <f t="shared" si="82"/>
        <v>0</v>
      </c>
      <c r="J614" s="18">
        <f t="shared" si="83"/>
        <v>1653.25</v>
      </c>
      <c r="L614" s="54" t="str">
        <f t="shared" si="84"/>
        <v/>
      </c>
      <c r="M614" s="9" t="str">
        <f t="shared" si="85"/>
        <v/>
      </c>
      <c r="N614" t="s">
        <v>822</v>
      </c>
      <c r="O614" s="17">
        <f t="shared" si="86"/>
        <v>45868</v>
      </c>
      <c r="P614" s="25">
        <f t="shared" si="87"/>
        <v>437</v>
      </c>
      <c r="Q614" t="str">
        <f t="shared" si="88"/>
        <v>90+</v>
      </c>
      <c r="R614" t="str">
        <f t="shared" si="89"/>
        <v>Due</v>
      </c>
    </row>
    <row r="615" spans="1:18" x14ac:dyDescent="0.35">
      <c r="A615" t="s">
        <v>622</v>
      </c>
      <c r="B615" t="s">
        <v>813</v>
      </c>
      <c r="C615" s="9">
        <v>45085</v>
      </c>
      <c r="D615" s="28" t="str">
        <f t="shared" si="81"/>
        <v>Jun 2023</v>
      </c>
      <c r="E615" s="9">
        <v>45115</v>
      </c>
      <c r="F615" t="s">
        <v>818</v>
      </c>
      <c r="G615">
        <v>894.42</v>
      </c>
      <c r="H615" t="s">
        <v>819</v>
      </c>
      <c r="I615" s="15">
        <f t="shared" si="82"/>
        <v>0</v>
      </c>
      <c r="J615" s="18">
        <f t="shared" si="83"/>
        <v>894.42</v>
      </c>
      <c r="L615" s="54" t="str">
        <f t="shared" si="84"/>
        <v/>
      </c>
      <c r="M615" s="9" t="str">
        <f t="shared" si="85"/>
        <v/>
      </c>
      <c r="N615" t="s">
        <v>822</v>
      </c>
      <c r="O615" s="17">
        <f t="shared" si="86"/>
        <v>45868</v>
      </c>
      <c r="P615" s="25">
        <f t="shared" si="87"/>
        <v>753</v>
      </c>
      <c r="Q615" t="str">
        <f t="shared" si="88"/>
        <v>90+</v>
      </c>
      <c r="R615" t="str">
        <f t="shared" si="89"/>
        <v>Due</v>
      </c>
    </row>
    <row r="616" spans="1:18" x14ac:dyDescent="0.35">
      <c r="A616" t="s">
        <v>623</v>
      </c>
      <c r="B616" t="s">
        <v>812</v>
      </c>
      <c r="C616" s="9">
        <v>44943</v>
      </c>
      <c r="D616" s="28" t="str">
        <f t="shared" si="81"/>
        <v>Jan 2023</v>
      </c>
      <c r="E616" s="9">
        <v>44973</v>
      </c>
      <c r="F616" t="s">
        <v>814</v>
      </c>
      <c r="G616">
        <v>1459.2</v>
      </c>
      <c r="H616" t="s">
        <v>819</v>
      </c>
      <c r="I616" s="15">
        <f t="shared" si="82"/>
        <v>0</v>
      </c>
      <c r="J616" s="18">
        <f t="shared" si="83"/>
        <v>1459.2</v>
      </c>
      <c r="L616" s="54" t="str">
        <f t="shared" si="84"/>
        <v/>
      </c>
      <c r="M616" s="9" t="str">
        <f t="shared" si="85"/>
        <v/>
      </c>
      <c r="N616" t="s">
        <v>822</v>
      </c>
      <c r="O616" s="17">
        <f t="shared" si="86"/>
        <v>45868</v>
      </c>
      <c r="P616" s="25">
        <f t="shared" si="87"/>
        <v>895</v>
      </c>
      <c r="Q616" t="str">
        <f t="shared" si="88"/>
        <v>90+</v>
      </c>
      <c r="R616" t="str">
        <f t="shared" si="89"/>
        <v>Due</v>
      </c>
    </row>
    <row r="617" spans="1:18" x14ac:dyDescent="0.35">
      <c r="A617" t="s">
        <v>624</v>
      </c>
      <c r="B617" t="s">
        <v>811</v>
      </c>
      <c r="C617" s="9">
        <v>45278</v>
      </c>
      <c r="D617" s="28" t="str">
        <f t="shared" si="81"/>
        <v>Dec 2023</v>
      </c>
      <c r="E617" s="9">
        <v>45308</v>
      </c>
      <c r="F617" t="s">
        <v>816</v>
      </c>
      <c r="G617">
        <v>1933.61</v>
      </c>
      <c r="H617" t="s">
        <v>819</v>
      </c>
      <c r="I617" s="15">
        <f t="shared" si="82"/>
        <v>0</v>
      </c>
      <c r="J617" s="18">
        <f t="shared" si="83"/>
        <v>1933.61</v>
      </c>
      <c r="L617" s="54" t="str">
        <f t="shared" si="84"/>
        <v/>
      </c>
      <c r="M617" s="9" t="str">
        <f t="shared" si="85"/>
        <v/>
      </c>
      <c r="N617" t="s">
        <v>822</v>
      </c>
      <c r="O617" s="17">
        <f t="shared" si="86"/>
        <v>45868</v>
      </c>
      <c r="P617" s="25">
        <f t="shared" si="87"/>
        <v>560</v>
      </c>
      <c r="Q617" t="str">
        <f t="shared" si="88"/>
        <v>90+</v>
      </c>
      <c r="R617" t="str">
        <f t="shared" si="89"/>
        <v>Due</v>
      </c>
    </row>
    <row r="618" spans="1:18" x14ac:dyDescent="0.35">
      <c r="A618" t="s">
        <v>625</v>
      </c>
      <c r="B618" t="s">
        <v>812</v>
      </c>
      <c r="C618" s="9">
        <v>44940</v>
      </c>
      <c r="D618" s="28" t="str">
        <f t="shared" si="81"/>
        <v>Jan 2023</v>
      </c>
      <c r="E618" s="9">
        <v>44970</v>
      </c>
      <c r="F618" t="s">
        <v>814</v>
      </c>
      <c r="G618">
        <v>1057.71</v>
      </c>
      <c r="H618" t="s">
        <v>821</v>
      </c>
      <c r="I618" s="15">
        <f t="shared" si="82"/>
        <v>1057.71</v>
      </c>
      <c r="J618" s="18">
        <f t="shared" si="83"/>
        <v>0</v>
      </c>
      <c r="K618" s="9">
        <v>44970</v>
      </c>
      <c r="L618" s="54">
        <f t="shared" si="84"/>
        <v>30</v>
      </c>
      <c r="M618" s="9" t="str">
        <f t="shared" si="85"/>
        <v>2023-Feb</v>
      </c>
      <c r="N618" t="s">
        <v>822</v>
      </c>
      <c r="O618" s="17">
        <f t="shared" si="86"/>
        <v>45868</v>
      </c>
      <c r="P618" s="25">
        <f t="shared" si="87"/>
        <v>0</v>
      </c>
      <c r="Q618" t="str">
        <f t="shared" si="88"/>
        <v>Paid</v>
      </c>
      <c r="R618" t="str">
        <f t="shared" si="89"/>
        <v>Not Due</v>
      </c>
    </row>
    <row r="619" spans="1:18" x14ac:dyDescent="0.35">
      <c r="A619" t="s">
        <v>626</v>
      </c>
      <c r="B619" t="s">
        <v>809</v>
      </c>
      <c r="C619" s="9">
        <v>45607</v>
      </c>
      <c r="D619" s="28" t="str">
        <f t="shared" si="81"/>
        <v>Nov 2024</v>
      </c>
      <c r="E619" s="9">
        <v>45637</v>
      </c>
      <c r="F619" t="s">
        <v>816</v>
      </c>
      <c r="G619">
        <v>5575.48</v>
      </c>
      <c r="H619" t="s">
        <v>819</v>
      </c>
      <c r="I619" s="15">
        <f t="shared" si="82"/>
        <v>0</v>
      </c>
      <c r="J619" s="18">
        <f t="shared" si="83"/>
        <v>5575.48</v>
      </c>
      <c r="L619" s="54" t="str">
        <f t="shared" si="84"/>
        <v/>
      </c>
      <c r="M619" s="9" t="str">
        <f t="shared" si="85"/>
        <v/>
      </c>
      <c r="N619" t="s">
        <v>822</v>
      </c>
      <c r="O619" s="17">
        <f t="shared" si="86"/>
        <v>45868</v>
      </c>
      <c r="P619" s="25">
        <f t="shared" si="87"/>
        <v>231</v>
      </c>
      <c r="Q619" t="str">
        <f t="shared" si="88"/>
        <v>90+</v>
      </c>
      <c r="R619" t="str">
        <f t="shared" si="89"/>
        <v>Due</v>
      </c>
    </row>
    <row r="620" spans="1:18" x14ac:dyDescent="0.35">
      <c r="A620" t="s">
        <v>627</v>
      </c>
      <c r="B620" t="s">
        <v>812</v>
      </c>
      <c r="C620" s="9">
        <v>45591</v>
      </c>
      <c r="D620" s="28" t="str">
        <f t="shared" si="81"/>
        <v>Oct 2024</v>
      </c>
      <c r="E620" s="9">
        <v>45621</v>
      </c>
      <c r="F620" t="s">
        <v>816</v>
      </c>
      <c r="G620">
        <v>3475.59</v>
      </c>
      <c r="H620" t="s">
        <v>820</v>
      </c>
      <c r="I620" s="15">
        <f t="shared" si="82"/>
        <v>0</v>
      </c>
      <c r="J620" s="18" t="str">
        <f t="shared" si="83"/>
        <v>N/A</v>
      </c>
      <c r="L620" s="54" t="str">
        <f t="shared" si="84"/>
        <v/>
      </c>
      <c r="M620" s="9" t="str">
        <f t="shared" si="85"/>
        <v/>
      </c>
      <c r="N620" t="s">
        <v>822</v>
      </c>
      <c r="O620" s="17">
        <f t="shared" si="86"/>
        <v>45868</v>
      </c>
      <c r="P620" s="25">
        <f t="shared" si="87"/>
        <v>247</v>
      </c>
      <c r="Q620" t="str">
        <f t="shared" si="88"/>
        <v>90+</v>
      </c>
      <c r="R620" t="str">
        <f t="shared" si="89"/>
        <v>Due</v>
      </c>
    </row>
    <row r="621" spans="1:18" x14ac:dyDescent="0.35">
      <c r="A621" t="s">
        <v>628</v>
      </c>
      <c r="B621" t="s">
        <v>810</v>
      </c>
      <c r="C621" s="9">
        <v>44927</v>
      </c>
      <c r="D621" s="28" t="str">
        <f t="shared" si="81"/>
        <v>Jan 2023</v>
      </c>
      <c r="E621" s="9">
        <v>44957</v>
      </c>
      <c r="F621" t="s">
        <v>818</v>
      </c>
      <c r="G621">
        <v>3017.55</v>
      </c>
      <c r="H621" t="s">
        <v>820</v>
      </c>
      <c r="I621" s="15">
        <f t="shared" si="82"/>
        <v>0</v>
      </c>
      <c r="J621" s="18" t="str">
        <f t="shared" si="83"/>
        <v>N/A</v>
      </c>
      <c r="L621" s="54" t="str">
        <f t="shared" si="84"/>
        <v/>
      </c>
      <c r="M621" s="9" t="str">
        <f t="shared" si="85"/>
        <v/>
      </c>
      <c r="N621" t="s">
        <v>822</v>
      </c>
      <c r="O621" s="17">
        <f t="shared" si="86"/>
        <v>45868</v>
      </c>
      <c r="P621" s="25">
        <f t="shared" si="87"/>
        <v>911</v>
      </c>
      <c r="Q621" t="str">
        <f t="shared" si="88"/>
        <v>90+</v>
      </c>
      <c r="R621" t="str">
        <f t="shared" si="89"/>
        <v>Due</v>
      </c>
    </row>
    <row r="622" spans="1:18" x14ac:dyDescent="0.35">
      <c r="A622" t="s">
        <v>629</v>
      </c>
      <c r="B622" t="s">
        <v>811</v>
      </c>
      <c r="C622" s="9">
        <v>45605</v>
      </c>
      <c r="D622" s="28" t="str">
        <f t="shared" si="81"/>
        <v>Nov 2024</v>
      </c>
      <c r="E622" s="9">
        <v>45635</v>
      </c>
      <c r="F622" t="s">
        <v>818</v>
      </c>
      <c r="G622">
        <v>1543.55</v>
      </c>
      <c r="H622" t="s">
        <v>820</v>
      </c>
      <c r="I622" s="15">
        <f t="shared" si="82"/>
        <v>0</v>
      </c>
      <c r="J622" s="18" t="str">
        <f t="shared" si="83"/>
        <v>N/A</v>
      </c>
      <c r="L622" s="54" t="str">
        <f t="shared" si="84"/>
        <v/>
      </c>
      <c r="M622" s="9" t="str">
        <f t="shared" si="85"/>
        <v/>
      </c>
      <c r="N622" t="s">
        <v>822</v>
      </c>
      <c r="O622" s="17">
        <f t="shared" si="86"/>
        <v>45868</v>
      </c>
      <c r="P622" s="25">
        <f t="shared" si="87"/>
        <v>233</v>
      </c>
      <c r="Q622" t="str">
        <f t="shared" si="88"/>
        <v>90+</v>
      </c>
      <c r="R622" t="str">
        <f t="shared" si="89"/>
        <v>Due</v>
      </c>
    </row>
    <row r="623" spans="1:18" x14ac:dyDescent="0.35">
      <c r="A623" t="s">
        <v>630</v>
      </c>
      <c r="B623" t="s">
        <v>811</v>
      </c>
      <c r="C623" s="9">
        <v>45604</v>
      </c>
      <c r="D623" s="28" t="str">
        <f t="shared" si="81"/>
        <v>Nov 2024</v>
      </c>
      <c r="E623" s="9">
        <v>45634</v>
      </c>
      <c r="F623" t="s">
        <v>817</v>
      </c>
      <c r="G623">
        <v>669.43</v>
      </c>
      <c r="H623" t="s">
        <v>819</v>
      </c>
      <c r="I623" s="15">
        <f t="shared" si="82"/>
        <v>0</v>
      </c>
      <c r="J623" s="18">
        <f t="shared" si="83"/>
        <v>669.43</v>
      </c>
      <c r="L623" s="54" t="str">
        <f t="shared" si="84"/>
        <v/>
      </c>
      <c r="M623" s="9" t="str">
        <f t="shared" si="85"/>
        <v/>
      </c>
      <c r="N623" t="s">
        <v>822</v>
      </c>
      <c r="O623" s="17">
        <f t="shared" si="86"/>
        <v>45868</v>
      </c>
      <c r="P623" s="25">
        <f t="shared" si="87"/>
        <v>234</v>
      </c>
      <c r="Q623" t="str">
        <f t="shared" si="88"/>
        <v>90+</v>
      </c>
      <c r="R623" t="str">
        <f t="shared" si="89"/>
        <v>Due</v>
      </c>
    </row>
    <row r="624" spans="1:18" x14ac:dyDescent="0.35">
      <c r="A624" t="s">
        <v>631</v>
      </c>
      <c r="B624" t="s">
        <v>809</v>
      </c>
      <c r="C624" s="9">
        <v>45717</v>
      </c>
      <c r="D624" s="28" t="str">
        <f t="shared" si="81"/>
        <v>Mar 2025</v>
      </c>
      <c r="E624" s="9">
        <v>45747</v>
      </c>
      <c r="F624" t="s">
        <v>818</v>
      </c>
      <c r="G624">
        <v>1859.61</v>
      </c>
      <c r="H624" t="s">
        <v>821</v>
      </c>
      <c r="I624" s="15">
        <f t="shared" si="82"/>
        <v>1859.61</v>
      </c>
      <c r="J624" s="18">
        <f t="shared" si="83"/>
        <v>0</v>
      </c>
      <c r="K624" s="9">
        <v>45747</v>
      </c>
      <c r="L624" s="54">
        <f t="shared" si="84"/>
        <v>30</v>
      </c>
      <c r="M624" s="9" t="str">
        <f t="shared" si="85"/>
        <v>2025-Mar</v>
      </c>
      <c r="N624" t="s">
        <v>822</v>
      </c>
      <c r="O624" s="17">
        <f t="shared" si="86"/>
        <v>45868</v>
      </c>
      <c r="P624" s="25">
        <f t="shared" si="87"/>
        <v>0</v>
      </c>
      <c r="Q624" t="str">
        <f t="shared" si="88"/>
        <v>Paid</v>
      </c>
      <c r="R624" t="str">
        <f t="shared" si="89"/>
        <v>Not Due</v>
      </c>
    </row>
    <row r="625" spans="1:18" x14ac:dyDescent="0.35">
      <c r="A625" t="s">
        <v>632</v>
      </c>
      <c r="B625" t="s">
        <v>810</v>
      </c>
      <c r="C625" s="9">
        <v>45683</v>
      </c>
      <c r="D625" s="28" t="str">
        <f t="shared" si="81"/>
        <v>Jan 2025</v>
      </c>
      <c r="E625" s="9">
        <v>45713</v>
      </c>
      <c r="F625" t="s">
        <v>816</v>
      </c>
      <c r="G625">
        <v>3899.93</v>
      </c>
      <c r="H625" t="s">
        <v>819</v>
      </c>
      <c r="I625" s="15">
        <f t="shared" si="82"/>
        <v>0</v>
      </c>
      <c r="J625" s="18">
        <f t="shared" si="83"/>
        <v>3899.93</v>
      </c>
      <c r="L625" s="54" t="str">
        <f t="shared" si="84"/>
        <v/>
      </c>
      <c r="M625" s="9" t="str">
        <f t="shared" si="85"/>
        <v/>
      </c>
      <c r="N625" t="s">
        <v>822</v>
      </c>
      <c r="O625" s="17">
        <f t="shared" si="86"/>
        <v>45868</v>
      </c>
      <c r="P625" s="25">
        <f t="shared" si="87"/>
        <v>155</v>
      </c>
      <c r="Q625" t="str">
        <f t="shared" si="88"/>
        <v>90+</v>
      </c>
      <c r="R625" t="str">
        <f t="shared" si="89"/>
        <v>Due</v>
      </c>
    </row>
    <row r="626" spans="1:18" x14ac:dyDescent="0.35">
      <c r="A626" t="s">
        <v>633</v>
      </c>
      <c r="B626" t="s">
        <v>812</v>
      </c>
      <c r="C626" s="9">
        <v>45748</v>
      </c>
      <c r="D626" s="28" t="str">
        <f t="shared" si="81"/>
        <v>Apr 2025</v>
      </c>
      <c r="E626" s="9">
        <v>45778</v>
      </c>
      <c r="F626" t="s">
        <v>815</v>
      </c>
      <c r="G626">
        <v>222.84</v>
      </c>
      <c r="H626" t="s">
        <v>819</v>
      </c>
      <c r="I626" s="15">
        <f t="shared" si="82"/>
        <v>0</v>
      </c>
      <c r="J626" s="18">
        <f t="shared" si="83"/>
        <v>222.84</v>
      </c>
      <c r="L626" s="54" t="str">
        <f t="shared" si="84"/>
        <v/>
      </c>
      <c r="M626" s="9" t="str">
        <f t="shared" si="85"/>
        <v/>
      </c>
      <c r="N626" t="s">
        <v>822</v>
      </c>
      <c r="O626" s="17">
        <f t="shared" si="86"/>
        <v>45868</v>
      </c>
      <c r="P626" s="25">
        <f t="shared" si="87"/>
        <v>90</v>
      </c>
      <c r="Q626" t="str">
        <f t="shared" si="88"/>
        <v>61-90</v>
      </c>
      <c r="R626" t="str">
        <f t="shared" si="89"/>
        <v>Due</v>
      </c>
    </row>
    <row r="627" spans="1:18" x14ac:dyDescent="0.35">
      <c r="A627" t="s">
        <v>634</v>
      </c>
      <c r="B627" t="s">
        <v>810</v>
      </c>
      <c r="C627" s="9">
        <v>45542</v>
      </c>
      <c r="D627" s="28" t="str">
        <f t="shared" si="81"/>
        <v>Sep 2024</v>
      </c>
      <c r="E627" s="9">
        <v>45572</v>
      </c>
      <c r="F627" t="s">
        <v>817</v>
      </c>
      <c r="G627">
        <v>754.61</v>
      </c>
      <c r="H627" t="s">
        <v>821</v>
      </c>
      <c r="I627" s="15">
        <f t="shared" si="82"/>
        <v>754.61</v>
      </c>
      <c r="J627" s="18">
        <f t="shared" si="83"/>
        <v>0</v>
      </c>
      <c r="K627" s="9">
        <v>45572</v>
      </c>
      <c r="L627" s="54">
        <f t="shared" si="84"/>
        <v>30</v>
      </c>
      <c r="M627" s="9" t="str">
        <f t="shared" si="85"/>
        <v>2024-Oct</v>
      </c>
      <c r="N627" t="s">
        <v>822</v>
      </c>
      <c r="O627" s="17">
        <f t="shared" si="86"/>
        <v>45868</v>
      </c>
      <c r="P627" s="25">
        <f t="shared" si="87"/>
        <v>0</v>
      </c>
      <c r="Q627" t="str">
        <f t="shared" si="88"/>
        <v>Paid</v>
      </c>
      <c r="R627" t="str">
        <f t="shared" si="89"/>
        <v>Not Due</v>
      </c>
    </row>
    <row r="628" spans="1:18" x14ac:dyDescent="0.35">
      <c r="A628" t="s">
        <v>635</v>
      </c>
      <c r="B628" t="s">
        <v>812</v>
      </c>
      <c r="C628" s="9">
        <v>45799</v>
      </c>
      <c r="D628" s="28" t="str">
        <f t="shared" si="81"/>
        <v>May 2025</v>
      </c>
      <c r="E628" s="9">
        <v>45829</v>
      </c>
      <c r="F628" t="s">
        <v>814</v>
      </c>
      <c r="G628">
        <v>1822.12</v>
      </c>
      <c r="H628" t="s">
        <v>819</v>
      </c>
      <c r="I628" s="15">
        <f t="shared" si="82"/>
        <v>0</v>
      </c>
      <c r="J628" s="18">
        <f t="shared" si="83"/>
        <v>1822.12</v>
      </c>
      <c r="L628" s="54" t="str">
        <f t="shared" si="84"/>
        <v/>
      </c>
      <c r="M628" s="9" t="str">
        <f t="shared" si="85"/>
        <v/>
      </c>
      <c r="N628" t="s">
        <v>822</v>
      </c>
      <c r="O628" s="17">
        <f t="shared" si="86"/>
        <v>45868</v>
      </c>
      <c r="P628" s="25">
        <f t="shared" si="87"/>
        <v>39</v>
      </c>
      <c r="Q628" t="str">
        <f t="shared" si="88"/>
        <v>31-60</v>
      </c>
      <c r="R628" t="str">
        <f t="shared" si="89"/>
        <v>Due</v>
      </c>
    </row>
    <row r="629" spans="1:18" x14ac:dyDescent="0.35">
      <c r="A629" t="s">
        <v>636</v>
      </c>
      <c r="B629" t="s">
        <v>810</v>
      </c>
      <c r="C629" s="9">
        <v>44941</v>
      </c>
      <c r="D629" s="28" t="str">
        <f t="shared" si="81"/>
        <v>Jan 2023</v>
      </c>
      <c r="E629" s="9">
        <v>44971</v>
      </c>
      <c r="F629" t="s">
        <v>816</v>
      </c>
      <c r="G629">
        <v>2996.3</v>
      </c>
      <c r="H629" t="s">
        <v>820</v>
      </c>
      <c r="I629" s="15">
        <f t="shared" si="82"/>
        <v>0</v>
      </c>
      <c r="J629" s="18" t="str">
        <f t="shared" si="83"/>
        <v>N/A</v>
      </c>
      <c r="L629" s="54" t="str">
        <f t="shared" si="84"/>
        <v/>
      </c>
      <c r="M629" s="9" t="str">
        <f t="shared" si="85"/>
        <v/>
      </c>
      <c r="N629" t="s">
        <v>822</v>
      </c>
      <c r="O629" s="17">
        <f t="shared" si="86"/>
        <v>45868</v>
      </c>
      <c r="P629" s="25">
        <f t="shared" si="87"/>
        <v>897</v>
      </c>
      <c r="Q629" t="str">
        <f t="shared" si="88"/>
        <v>90+</v>
      </c>
      <c r="R629" t="str">
        <f t="shared" si="89"/>
        <v>Due</v>
      </c>
    </row>
    <row r="630" spans="1:18" x14ac:dyDescent="0.35">
      <c r="A630" t="s">
        <v>637</v>
      </c>
      <c r="B630" t="s">
        <v>812</v>
      </c>
      <c r="C630" s="9">
        <v>45421</v>
      </c>
      <c r="D630" s="28" t="str">
        <f t="shared" si="81"/>
        <v>May 2024</v>
      </c>
      <c r="E630" s="9">
        <v>45451</v>
      </c>
      <c r="F630" t="s">
        <v>816</v>
      </c>
      <c r="G630">
        <v>764.73</v>
      </c>
      <c r="H630" t="s">
        <v>820</v>
      </c>
      <c r="I630" s="15">
        <f t="shared" si="82"/>
        <v>0</v>
      </c>
      <c r="J630" s="18" t="str">
        <f t="shared" si="83"/>
        <v>N/A</v>
      </c>
      <c r="L630" s="54" t="str">
        <f t="shared" si="84"/>
        <v/>
      </c>
      <c r="M630" s="9" t="str">
        <f t="shared" si="85"/>
        <v/>
      </c>
      <c r="N630" t="s">
        <v>822</v>
      </c>
      <c r="O630" s="17">
        <f t="shared" si="86"/>
        <v>45868</v>
      </c>
      <c r="P630" s="25">
        <f t="shared" si="87"/>
        <v>417</v>
      </c>
      <c r="Q630" t="str">
        <f t="shared" si="88"/>
        <v>90+</v>
      </c>
      <c r="R630" t="str">
        <f t="shared" si="89"/>
        <v>Due</v>
      </c>
    </row>
    <row r="631" spans="1:18" x14ac:dyDescent="0.35">
      <c r="A631" t="s">
        <v>638</v>
      </c>
      <c r="B631" t="s">
        <v>809</v>
      </c>
      <c r="C631" s="9">
        <v>44987</v>
      </c>
      <c r="D631" s="28" t="str">
        <f t="shared" si="81"/>
        <v>Mar 2023</v>
      </c>
      <c r="E631" s="9">
        <v>45017</v>
      </c>
      <c r="F631" t="s">
        <v>817</v>
      </c>
      <c r="G631">
        <v>3911.54</v>
      </c>
      <c r="H631" t="s">
        <v>820</v>
      </c>
      <c r="I631" s="15">
        <f t="shared" si="82"/>
        <v>0</v>
      </c>
      <c r="J631" s="18" t="str">
        <f t="shared" si="83"/>
        <v>N/A</v>
      </c>
      <c r="L631" s="54" t="str">
        <f t="shared" si="84"/>
        <v/>
      </c>
      <c r="M631" s="9" t="str">
        <f t="shared" si="85"/>
        <v/>
      </c>
      <c r="N631" t="s">
        <v>822</v>
      </c>
      <c r="O631" s="17">
        <f t="shared" si="86"/>
        <v>45868</v>
      </c>
      <c r="P631" s="25">
        <f t="shared" si="87"/>
        <v>851</v>
      </c>
      <c r="Q631" t="str">
        <f t="shared" si="88"/>
        <v>90+</v>
      </c>
      <c r="R631" t="str">
        <f t="shared" si="89"/>
        <v>Due</v>
      </c>
    </row>
    <row r="632" spans="1:18" x14ac:dyDescent="0.35">
      <c r="A632" t="s">
        <v>639</v>
      </c>
      <c r="B632" t="s">
        <v>813</v>
      </c>
      <c r="C632" s="9">
        <v>45836</v>
      </c>
      <c r="D632" s="28" t="str">
        <f t="shared" si="81"/>
        <v>Jun 2025</v>
      </c>
      <c r="E632" s="9">
        <v>45866</v>
      </c>
      <c r="F632" t="s">
        <v>815</v>
      </c>
      <c r="G632">
        <v>2809.74</v>
      </c>
      <c r="H632" t="s">
        <v>820</v>
      </c>
      <c r="I632" s="15">
        <f t="shared" si="82"/>
        <v>0</v>
      </c>
      <c r="J632" s="18" t="str">
        <f t="shared" si="83"/>
        <v>N/A</v>
      </c>
      <c r="L632" s="54" t="str">
        <f t="shared" si="84"/>
        <v/>
      </c>
      <c r="M632" s="9" t="str">
        <f t="shared" si="85"/>
        <v/>
      </c>
      <c r="N632" t="s">
        <v>822</v>
      </c>
      <c r="O632" s="17">
        <f t="shared" si="86"/>
        <v>45868</v>
      </c>
      <c r="P632" s="25">
        <f t="shared" si="87"/>
        <v>2</v>
      </c>
      <c r="Q632" t="str">
        <f t="shared" si="88"/>
        <v>1-30</v>
      </c>
      <c r="R632" t="str">
        <f t="shared" si="89"/>
        <v>Due</v>
      </c>
    </row>
    <row r="633" spans="1:18" x14ac:dyDescent="0.35">
      <c r="A633" t="s">
        <v>640</v>
      </c>
      <c r="B633" t="s">
        <v>811</v>
      </c>
      <c r="C633" s="9">
        <v>44972</v>
      </c>
      <c r="D633" s="28" t="str">
        <f t="shared" si="81"/>
        <v>Feb 2023</v>
      </c>
      <c r="E633" s="9">
        <v>45002</v>
      </c>
      <c r="F633" t="s">
        <v>816</v>
      </c>
      <c r="G633">
        <v>3128.58</v>
      </c>
      <c r="H633" t="s">
        <v>819</v>
      </c>
      <c r="I633" s="15">
        <f t="shared" si="82"/>
        <v>0</v>
      </c>
      <c r="J633" s="18">
        <f t="shared" si="83"/>
        <v>3128.58</v>
      </c>
      <c r="L633" s="54" t="str">
        <f t="shared" si="84"/>
        <v/>
      </c>
      <c r="M633" s="9" t="str">
        <f t="shared" si="85"/>
        <v/>
      </c>
      <c r="N633" t="s">
        <v>822</v>
      </c>
      <c r="O633" s="17">
        <f t="shared" si="86"/>
        <v>45868</v>
      </c>
      <c r="P633" s="25">
        <f t="shared" si="87"/>
        <v>866</v>
      </c>
      <c r="Q633" t="str">
        <f t="shared" si="88"/>
        <v>90+</v>
      </c>
      <c r="R633" t="str">
        <f t="shared" si="89"/>
        <v>Due</v>
      </c>
    </row>
    <row r="634" spans="1:18" x14ac:dyDescent="0.35">
      <c r="A634" t="s">
        <v>641</v>
      </c>
      <c r="B634" t="s">
        <v>812</v>
      </c>
      <c r="C634" s="9">
        <v>45388</v>
      </c>
      <c r="D634" s="28" t="str">
        <f t="shared" si="81"/>
        <v>Apr 2024</v>
      </c>
      <c r="E634" s="9">
        <v>45418</v>
      </c>
      <c r="F634" t="s">
        <v>817</v>
      </c>
      <c r="G634">
        <v>3723.61</v>
      </c>
      <c r="H634" t="s">
        <v>819</v>
      </c>
      <c r="I634" s="15">
        <f t="shared" si="82"/>
        <v>0</v>
      </c>
      <c r="J634" s="18">
        <f t="shared" si="83"/>
        <v>3723.61</v>
      </c>
      <c r="L634" s="54" t="str">
        <f t="shared" si="84"/>
        <v/>
      </c>
      <c r="M634" s="9" t="str">
        <f t="shared" si="85"/>
        <v/>
      </c>
      <c r="N634" t="s">
        <v>822</v>
      </c>
      <c r="O634" s="17">
        <f t="shared" si="86"/>
        <v>45868</v>
      </c>
      <c r="P634" s="25">
        <f t="shared" si="87"/>
        <v>450</v>
      </c>
      <c r="Q634" t="str">
        <f t="shared" si="88"/>
        <v>90+</v>
      </c>
      <c r="R634" t="str">
        <f t="shared" si="89"/>
        <v>Due</v>
      </c>
    </row>
    <row r="635" spans="1:18" x14ac:dyDescent="0.35">
      <c r="A635" t="s">
        <v>642</v>
      </c>
      <c r="B635" t="s">
        <v>809</v>
      </c>
      <c r="C635" s="9">
        <v>45348</v>
      </c>
      <c r="D635" s="28" t="str">
        <f t="shared" si="81"/>
        <v>Feb 2024</v>
      </c>
      <c r="E635" s="9">
        <v>45378</v>
      </c>
      <c r="F635" t="s">
        <v>814</v>
      </c>
      <c r="G635">
        <v>3368.46</v>
      </c>
      <c r="H635" t="s">
        <v>819</v>
      </c>
      <c r="I635" s="15">
        <f t="shared" si="82"/>
        <v>0</v>
      </c>
      <c r="J635" s="18">
        <f t="shared" si="83"/>
        <v>3368.46</v>
      </c>
      <c r="L635" s="54" t="str">
        <f t="shared" si="84"/>
        <v/>
      </c>
      <c r="M635" s="9" t="str">
        <f t="shared" si="85"/>
        <v/>
      </c>
      <c r="N635" t="s">
        <v>822</v>
      </c>
      <c r="O635" s="17">
        <f t="shared" si="86"/>
        <v>45868</v>
      </c>
      <c r="P635" s="25">
        <f t="shared" si="87"/>
        <v>490</v>
      </c>
      <c r="Q635" t="str">
        <f t="shared" si="88"/>
        <v>90+</v>
      </c>
      <c r="R635" t="str">
        <f t="shared" si="89"/>
        <v>Due</v>
      </c>
    </row>
    <row r="636" spans="1:18" x14ac:dyDescent="0.35">
      <c r="A636" t="s">
        <v>643</v>
      </c>
      <c r="B636" t="s">
        <v>811</v>
      </c>
      <c r="C636" s="9">
        <v>45650</v>
      </c>
      <c r="D636" s="28" t="str">
        <f t="shared" si="81"/>
        <v>Dec 2024</v>
      </c>
      <c r="E636" s="9">
        <v>45680</v>
      </c>
      <c r="F636" t="s">
        <v>816</v>
      </c>
      <c r="G636">
        <v>3073.25</v>
      </c>
      <c r="H636" t="s">
        <v>819</v>
      </c>
      <c r="I636" s="15">
        <f t="shared" si="82"/>
        <v>0</v>
      </c>
      <c r="J636" s="18">
        <f t="shared" si="83"/>
        <v>3073.25</v>
      </c>
      <c r="L636" s="54" t="str">
        <f t="shared" si="84"/>
        <v/>
      </c>
      <c r="M636" s="9" t="str">
        <f t="shared" si="85"/>
        <v/>
      </c>
      <c r="N636" t="s">
        <v>822</v>
      </c>
      <c r="O636" s="17">
        <f t="shared" si="86"/>
        <v>45868</v>
      </c>
      <c r="P636" s="25">
        <f t="shared" si="87"/>
        <v>188</v>
      </c>
      <c r="Q636" t="str">
        <f t="shared" si="88"/>
        <v>90+</v>
      </c>
      <c r="R636" t="str">
        <f t="shared" si="89"/>
        <v>Due</v>
      </c>
    </row>
    <row r="637" spans="1:18" x14ac:dyDescent="0.35">
      <c r="A637" t="s">
        <v>644</v>
      </c>
      <c r="B637" t="s">
        <v>812</v>
      </c>
      <c r="C637" s="9">
        <v>45361</v>
      </c>
      <c r="D637" s="28" t="str">
        <f t="shared" si="81"/>
        <v>Mar 2024</v>
      </c>
      <c r="E637" s="9">
        <v>45391</v>
      </c>
      <c r="F637" t="s">
        <v>818</v>
      </c>
      <c r="G637">
        <v>2807.28</v>
      </c>
      <c r="H637" t="s">
        <v>820</v>
      </c>
      <c r="I637" s="15">
        <f t="shared" si="82"/>
        <v>0</v>
      </c>
      <c r="J637" s="18" t="str">
        <f t="shared" si="83"/>
        <v>N/A</v>
      </c>
      <c r="L637" s="54" t="str">
        <f t="shared" si="84"/>
        <v/>
      </c>
      <c r="M637" s="9" t="str">
        <f t="shared" si="85"/>
        <v/>
      </c>
      <c r="N637" t="s">
        <v>822</v>
      </c>
      <c r="O637" s="17">
        <f t="shared" si="86"/>
        <v>45868</v>
      </c>
      <c r="P637" s="25">
        <f t="shared" si="87"/>
        <v>477</v>
      </c>
      <c r="Q637" t="str">
        <f t="shared" si="88"/>
        <v>90+</v>
      </c>
      <c r="R637" t="str">
        <f t="shared" si="89"/>
        <v>Due</v>
      </c>
    </row>
    <row r="638" spans="1:18" x14ac:dyDescent="0.35">
      <c r="A638" t="s">
        <v>645</v>
      </c>
      <c r="B638" t="s">
        <v>812</v>
      </c>
      <c r="C638" s="9">
        <v>45419</v>
      </c>
      <c r="D638" s="28" t="str">
        <f t="shared" si="81"/>
        <v>May 2024</v>
      </c>
      <c r="E638" s="9">
        <v>45449</v>
      </c>
      <c r="F638" t="s">
        <v>816</v>
      </c>
      <c r="G638">
        <v>5947.74</v>
      </c>
      <c r="H638" t="s">
        <v>819</v>
      </c>
      <c r="I638" s="15">
        <f t="shared" si="82"/>
        <v>0</v>
      </c>
      <c r="J638" s="18">
        <f t="shared" si="83"/>
        <v>5947.74</v>
      </c>
      <c r="L638" s="54" t="str">
        <f t="shared" si="84"/>
        <v/>
      </c>
      <c r="M638" s="9" t="str">
        <f t="shared" si="85"/>
        <v/>
      </c>
      <c r="N638" t="s">
        <v>822</v>
      </c>
      <c r="O638" s="17">
        <f t="shared" si="86"/>
        <v>45868</v>
      </c>
      <c r="P638" s="25">
        <f t="shared" si="87"/>
        <v>419</v>
      </c>
      <c r="Q638" t="str">
        <f t="shared" si="88"/>
        <v>90+</v>
      </c>
      <c r="R638" t="str">
        <f t="shared" si="89"/>
        <v>Due</v>
      </c>
    </row>
    <row r="639" spans="1:18" x14ac:dyDescent="0.35">
      <c r="A639" t="s">
        <v>646</v>
      </c>
      <c r="B639" t="s">
        <v>813</v>
      </c>
      <c r="C639" s="9">
        <v>45670</v>
      </c>
      <c r="D639" s="28" t="str">
        <f t="shared" si="81"/>
        <v>Jan 2025</v>
      </c>
      <c r="E639" s="9">
        <v>45700</v>
      </c>
      <c r="F639" t="s">
        <v>818</v>
      </c>
      <c r="G639">
        <v>3351.29</v>
      </c>
      <c r="H639" t="s">
        <v>821</v>
      </c>
      <c r="I639" s="15">
        <f t="shared" si="82"/>
        <v>3351.29</v>
      </c>
      <c r="J639" s="18">
        <f t="shared" si="83"/>
        <v>0</v>
      </c>
      <c r="K639" s="9">
        <v>45700</v>
      </c>
      <c r="L639" s="54">
        <f t="shared" si="84"/>
        <v>30</v>
      </c>
      <c r="M639" s="9" t="str">
        <f t="shared" si="85"/>
        <v>2025-Feb</v>
      </c>
      <c r="N639" t="s">
        <v>822</v>
      </c>
      <c r="O639" s="17">
        <f t="shared" si="86"/>
        <v>45868</v>
      </c>
      <c r="P639" s="25">
        <f t="shared" si="87"/>
        <v>0</v>
      </c>
      <c r="Q639" t="str">
        <f t="shared" si="88"/>
        <v>Paid</v>
      </c>
      <c r="R639" t="str">
        <f t="shared" si="89"/>
        <v>Not Due</v>
      </c>
    </row>
    <row r="640" spans="1:18" x14ac:dyDescent="0.35">
      <c r="A640" t="s">
        <v>647</v>
      </c>
      <c r="B640" t="s">
        <v>811</v>
      </c>
      <c r="C640" s="9">
        <v>45704</v>
      </c>
      <c r="D640" s="28" t="str">
        <f t="shared" si="81"/>
        <v>Feb 2025</v>
      </c>
      <c r="E640" s="9">
        <v>45734</v>
      </c>
      <c r="F640" t="s">
        <v>817</v>
      </c>
      <c r="G640">
        <v>4576.1099999999997</v>
      </c>
      <c r="H640" t="s">
        <v>819</v>
      </c>
      <c r="I640" s="15">
        <f t="shared" si="82"/>
        <v>0</v>
      </c>
      <c r="J640" s="18">
        <f t="shared" si="83"/>
        <v>4576.1099999999997</v>
      </c>
      <c r="L640" s="54" t="str">
        <f t="shared" si="84"/>
        <v/>
      </c>
      <c r="M640" s="9" t="str">
        <f t="shared" si="85"/>
        <v/>
      </c>
      <c r="N640" t="s">
        <v>822</v>
      </c>
      <c r="O640" s="17">
        <f t="shared" si="86"/>
        <v>45868</v>
      </c>
      <c r="P640" s="25">
        <f t="shared" si="87"/>
        <v>134</v>
      </c>
      <c r="Q640" t="str">
        <f t="shared" si="88"/>
        <v>90+</v>
      </c>
      <c r="R640" t="str">
        <f t="shared" si="89"/>
        <v>Due</v>
      </c>
    </row>
    <row r="641" spans="1:18" x14ac:dyDescent="0.35">
      <c r="A641" t="s">
        <v>648</v>
      </c>
      <c r="B641" t="s">
        <v>812</v>
      </c>
      <c r="C641" s="9">
        <v>45781</v>
      </c>
      <c r="D641" s="28" t="str">
        <f t="shared" si="81"/>
        <v>May 2025</v>
      </c>
      <c r="E641" s="9">
        <v>45811</v>
      </c>
      <c r="F641" t="s">
        <v>814</v>
      </c>
      <c r="G641">
        <v>1210.42</v>
      </c>
      <c r="H641" t="s">
        <v>820</v>
      </c>
      <c r="I641" s="15">
        <f t="shared" si="82"/>
        <v>0</v>
      </c>
      <c r="J641" s="18" t="str">
        <f t="shared" si="83"/>
        <v>N/A</v>
      </c>
      <c r="L641" s="54" t="str">
        <f t="shared" si="84"/>
        <v/>
      </c>
      <c r="M641" s="9" t="str">
        <f t="shared" si="85"/>
        <v/>
      </c>
      <c r="N641" t="s">
        <v>822</v>
      </c>
      <c r="O641" s="17">
        <f t="shared" si="86"/>
        <v>45868</v>
      </c>
      <c r="P641" s="25">
        <f t="shared" si="87"/>
        <v>57</v>
      </c>
      <c r="Q641" t="str">
        <f t="shared" si="88"/>
        <v>31-60</v>
      </c>
      <c r="R641" t="str">
        <f t="shared" si="89"/>
        <v>Due</v>
      </c>
    </row>
    <row r="642" spans="1:18" x14ac:dyDescent="0.35">
      <c r="A642" t="s">
        <v>649</v>
      </c>
      <c r="B642" t="s">
        <v>813</v>
      </c>
      <c r="C642" s="9">
        <v>45171</v>
      </c>
      <c r="D642" s="28" t="str">
        <f t="shared" si="81"/>
        <v>Sep 2023</v>
      </c>
      <c r="E642" s="9">
        <v>45201</v>
      </c>
      <c r="F642" t="s">
        <v>816</v>
      </c>
      <c r="G642">
        <v>243.47</v>
      </c>
      <c r="H642" t="s">
        <v>821</v>
      </c>
      <c r="I642" s="15">
        <f t="shared" si="82"/>
        <v>243.47</v>
      </c>
      <c r="J642" s="18">
        <f t="shared" si="83"/>
        <v>0</v>
      </c>
      <c r="K642" s="9">
        <v>45201</v>
      </c>
      <c r="L642" s="54">
        <f t="shared" si="84"/>
        <v>30</v>
      </c>
      <c r="M642" s="9" t="str">
        <f t="shared" si="85"/>
        <v>2023-Oct</v>
      </c>
      <c r="N642" t="s">
        <v>822</v>
      </c>
      <c r="O642" s="17">
        <f t="shared" si="86"/>
        <v>45868</v>
      </c>
      <c r="P642" s="25">
        <f t="shared" si="87"/>
        <v>0</v>
      </c>
      <c r="Q642" t="str">
        <f t="shared" si="88"/>
        <v>Paid</v>
      </c>
      <c r="R642" t="str">
        <f t="shared" si="89"/>
        <v>Not Due</v>
      </c>
    </row>
    <row r="643" spans="1:18" x14ac:dyDescent="0.35">
      <c r="A643" t="s">
        <v>650</v>
      </c>
      <c r="B643" t="s">
        <v>811</v>
      </c>
      <c r="C643" s="9">
        <v>45235</v>
      </c>
      <c r="D643" s="28" t="str">
        <f t="shared" ref="D643:D706" si="90">TEXT(C643,"MMM YYYY")</f>
        <v>Nov 2023</v>
      </c>
      <c r="E643" s="9">
        <v>45265</v>
      </c>
      <c r="F643" t="s">
        <v>818</v>
      </c>
      <c r="G643">
        <v>1581.91</v>
      </c>
      <c r="H643" t="s">
        <v>821</v>
      </c>
      <c r="I643" s="15">
        <f t="shared" ref="I643:I706" si="91">IF(H643="Paid",G643,0)</f>
        <v>1581.91</v>
      </c>
      <c r="J643" s="18">
        <f t="shared" ref="J643:J706" si="92">IF(H643="Open",G643,IF(H643="Paid",0,"N/A"))</f>
        <v>0</v>
      </c>
      <c r="K643" s="9">
        <v>45265</v>
      </c>
      <c r="L643" s="54">
        <f t="shared" ref="L643:L706" si="93">IF(H643="Paid",K643-C643,"")</f>
        <v>30</v>
      </c>
      <c r="M643" s="9" t="str">
        <f t="shared" ref="M643:M706" si="94">IF(K643="","",TEXT(K643, "YYYY-MMM"))</f>
        <v>2023-Dec</v>
      </c>
      <c r="N643" t="s">
        <v>822</v>
      </c>
      <c r="O643" s="17">
        <f t="shared" ref="O643:O706" si="95">MAX(MAX($C$2:$C$801), MAX($E$2:$E$801))</f>
        <v>45868</v>
      </c>
      <c r="P643" s="25">
        <f t="shared" ref="P643:P706" si="96">IF(K643="", O643-E643,0)</f>
        <v>0</v>
      </c>
      <c r="Q643" t="str">
        <f t="shared" ref="Q643:Q706" si="97">IF(H643="Paid","Paid",
   IF(P643&lt;=0,"Current",
      IF(P643&lt;=30,"1-30",
         IF(P643&lt;=60,"31-60",
            IF(P643&lt;=90,"61-90","90+")))))</f>
        <v>Paid</v>
      </c>
      <c r="R643" t="str">
        <f t="shared" ref="R643:R706" si="98">IF(P643=0, "Not Due","Due")</f>
        <v>Not Due</v>
      </c>
    </row>
    <row r="644" spans="1:18" x14ac:dyDescent="0.35">
      <c r="A644" t="s">
        <v>651</v>
      </c>
      <c r="B644" t="s">
        <v>810</v>
      </c>
      <c r="C644" s="9">
        <v>45362</v>
      </c>
      <c r="D644" s="28" t="str">
        <f t="shared" si="90"/>
        <v>Mar 2024</v>
      </c>
      <c r="E644" s="9">
        <v>45392</v>
      </c>
      <c r="F644" t="s">
        <v>818</v>
      </c>
      <c r="G644">
        <v>2267.2199999999998</v>
      </c>
      <c r="H644" t="s">
        <v>820</v>
      </c>
      <c r="I644" s="15">
        <f t="shared" si="91"/>
        <v>0</v>
      </c>
      <c r="J644" s="18" t="str">
        <f t="shared" si="92"/>
        <v>N/A</v>
      </c>
      <c r="L644" s="54" t="str">
        <f t="shared" si="93"/>
        <v/>
      </c>
      <c r="M644" s="9" t="str">
        <f t="shared" si="94"/>
        <v/>
      </c>
      <c r="N644" t="s">
        <v>822</v>
      </c>
      <c r="O644" s="17">
        <f t="shared" si="95"/>
        <v>45868</v>
      </c>
      <c r="P644" s="25">
        <f t="shared" si="96"/>
        <v>476</v>
      </c>
      <c r="Q644" t="str">
        <f t="shared" si="97"/>
        <v>90+</v>
      </c>
      <c r="R644" t="str">
        <f t="shared" si="98"/>
        <v>Due</v>
      </c>
    </row>
    <row r="645" spans="1:18" x14ac:dyDescent="0.35">
      <c r="A645" t="s">
        <v>652</v>
      </c>
      <c r="B645" t="s">
        <v>810</v>
      </c>
      <c r="C645" s="9">
        <v>45236</v>
      </c>
      <c r="D645" s="28" t="str">
        <f t="shared" si="90"/>
        <v>Nov 2023</v>
      </c>
      <c r="E645" s="9">
        <v>45266</v>
      </c>
      <c r="F645" t="s">
        <v>818</v>
      </c>
      <c r="G645">
        <v>3579.33</v>
      </c>
      <c r="H645" t="s">
        <v>820</v>
      </c>
      <c r="I645" s="15">
        <f t="shared" si="91"/>
        <v>0</v>
      </c>
      <c r="J645" s="18" t="str">
        <f t="shared" si="92"/>
        <v>N/A</v>
      </c>
      <c r="L645" s="54" t="str">
        <f t="shared" si="93"/>
        <v/>
      </c>
      <c r="M645" s="9" t="str">
        <f t="shared" si="94"/>
        <v/>
      </c>
      <c r="N645" t="s">
        <v>822</v>
      </c>
      <c r="O645" s="17">
        <f t="shared" si="95"/>
        <v>45868</v>
      </c>
      <c r="P645" s="25">
        <f t="shared" si="96"/>
        <v>602</v>
      </c>
      <c r="Q645" t="str">
        <f t="shared" si="97"/>
        <v>90+</v>
      </c>
      <c r="R645" t="str">
        <f t="shared" si="98"/>
        <v>Due</v>
      </c>
    </row>
    <row r="646" spans="1:18" x14ac:dyDescent="0.35">
      <c r="A646" t="s">
        <v>653</v>
      </c>
      <c r="B646" t="s">
        <v>811</v>
      </c>
      <c r="C646" s="9">
        <v>45757</v>
      </c>
      <c r="D646" s="28" t="str">
        <f t="shared" si="90"/>
        <v>Apr 2025</v>
      </c>
      <c r="E646" s="9">
        <v>45787</v>
      </c>
      <c r="F646" t="s">
        <v>815</v>
      </c>
      <c r="G646">
        <v>3254.34</v>
      </c>
      <c r="H646" t="s">
        <v>821</v>
      </c>
      <c r="I646" s="15">
        <f t="shared" si="91"/>
        <v>3254.34</v>
      </c>
      <c r="J646" s="18">
        <f t="shared" si="92"/>
        <v>0</v>
      </c>
      <c r="K646" s="9">
        <v>45787</v>
      </c>
      <c r="L646" s="54">
        <f t="shared" si="93"/>
        <v>30</v>
      </c>
      <c r="M646" s="9" t="str">
        <f t="shared" si="94"/>
        <v>2025-May</v>
      </c>
      <c r="N646" t="s">
        <v>822</v>
      </c>
      <c r="O646" s="17">
        <f t="shared" si="95"/>
        <v>45868</v>
      </c>
      <c r="P646" s="25">
        <f t="shared" si="96"/>
        <v>0</v>
      </c>
      <c r="Q646" t="str">
        <f t="shared" si="97"/>
        <v>Paid</v>
      </c>
      <c r="R646" t="str">
        <f t="shared" si="98"/>
        <v>Not Due</v>
      </c>
    </row>
    <row r="647" spans="1:18" x14ac:dyDescent="0.35">
      <c r="A647" t="s">
        <v>654</v>
      </c>
      <c r="B647" t="s">
        <v>809</v>
      </c>
      <c r="C647" s="9">
        <v>45125</v>
      </c>
      <c r="D647" s="28" t="str">
        <f t="shared" si="90"/>
        <v>Jul 2023</v>
      </c>
      <c r="E647" s="9">
        <v>45155</v>
      </c>
      <c r="F647" t="s">
        <v>816</v>
      </c>
      <c r="G647">
        <v>3305.1</v>
      </c>
      <c r="H647" t="s">
        <v>820</v>
      </c>
      <c r="I647" s="15">
        <f t="shared" si="91"/>
        <v>0</v>
      </c>
      <c r="J647" s="18" t="str">
        <f t="shared" si="92"/>
        <v>N/A</v>
      </c>
      <c r="L647" s="54" t="str">
        <f t="shared" si="93"/>
        <v/>
      </c>
      <c r="M647" s="9" t="str">
        <f t="shared" si="94"/>
        <v/>
      </c>
      <c r="N647" t="s">
        <v>822</v>
      </c>
      <c r="O647" s="17">
        <f t="shared" si="95"/>
        <v>45868</v>
      </c>
      <c r="P647" s="25">
        <f t="shared" si="96"/>
        <v>713</v>
      </c>
      <c r="Q647" t="str">
        <f t="shared" si="97"/>
        <v>90+</v>
      </c>
      <c r="R647" t="str">
        <f t="shared" si="98"/>
        <v>Due</v>
      </c>
    </row>
    <row r="648" spans="1:18" x14ac:dyDescent="0.35">
      <c r="A648" t="s">
        <v>655</v>
      </c>
      <c r="B648" t="s">
        <v>812</v>
      </c>
      <c r="C648" s="9">
        <v>45171</v>
      </c>
      <c r="D648" s="28" t="str">
        <f t="shared" si="90"/>
        <v>Sep 2023</v>
      </c>
      <c r="E648" s="9">
        <v>45201</v>
      </c>
      <c r="F648" t="s">
        <v>818</v>
      </c>
      <c r="G648">
        <v>2462.11</v>
      </c>
      <c r="H648" t="s">
        <v>819</v>
      </c>
      <c r="I648" s="15">
        <f t="shared" si="91"/>
        <v>0</v>
      </c>
      <c r="J648" s="18">
        <f t="shared" si="92"/>
        <v>2462.11</v>
      </c>
      <c r="L648" s="54" t="str">
        <f t="shared" si="93"/>
        <v/>
      </c>
      <c r="M648" s="9" t="str">
        <f t="shared" si="94"/>
        <v/>
      </c>
      <c r="N648" t="s">
        <v>822</v>
      </c>
      <c r="O648" s="17">
        <f t="shared" si="95"/>
        <v>45868</v>
      </c>
      <c r="P648" s="25">
        <f t="shared" si="96"/>
        <v>667</v>
      </c>
      <c r="Q648" t="str">
        <f t="shared" si="97"/>
        <v>90+</v>
      </c>
      <c r="R648" t="str">
        <f t="shared" si="98"/>
        <v>Due</v>
      </c>
    </row>
    <row r="649" spans="1:18" x14ac:dyDescent="0.35">
      <c r="A649" t="s">
        <v>656</v>
      </c>
      <c r="B649" t="s">
        <v>812</v>
      </c>
      <c r="C649" s="9">
        <v>45146</v>
      </c>
      <c r="D649" s="28" t="str">
        <f t="shared" si="90"/>
        <v>Aug 2023</v>
      </c>
      <c r="E649" s="9">
        <v>45176</v>
      </c>
      <c r="F649" t="s">
        <v>816</v>
      </c>
      <c r="G649">
        <v>303.08</v>
      </c>
      <c r="H649" t="s">
        <v>821</v>
      </c>
      <c r="I649" s="15">
        <f t="shared" si="91"/>
        <v>303.08</v>
      </c>
      <c r="J649" s="18">
        <f t="shared" si="92"/>
        <v>0</v>
      </c>
      <c r="K649" s="9">
        <v>45176</v>
      </c>
      <c r="L649" s="54">
        <f t="shared" si="93"/>
        <v>30</v>
      </c>
      <c r="M649" s="9" t="str">
        <f t="shared" si="94"/>
        <v>2023-Sep</v>
      </c>
      <c r="N649" t="s">
        <v>822</v>
      </c>
      <c r="O649" s="17">
        <f t="shared" si="95"/>
        <v>45868</v>
      </c>
      <c r="P649" s="25">
        <f t="shared" si="96"/>
        <v>0</v>
      </c>
      <c r="Q649" t="str">
        <f t="shared" si="97"/>
        <v>Paid</v>
      </c>
      <c r="R649" t="str">
        <f t="shared" si="98"/>
        <v>Not Due</v>
      </c>
    </row>
    <row r="650" spans="1:18" x14ac:dyDescent="0.35">
      <c r="A650" t="s">
        <v>657</v>
      </c>
      <c r="B650" t="s">
        <v>809</v>
      </c>
      <c r="C650" s="9">
        <v>45455</v>
      </c>
      <c r="D650" s="28" t="str">
        <f t="shared" si="90"/>
        <v>Jun 2024</v>
      </c>
      <c r="E650" s="9">
        <v>45485</v>
      </c>
      <c r="F650" t="s">
        <v>817</v>
      </c>
      <c r="G650">
        <v>599.71</v>
      </c>
      <c r="H650" t="s">
        <v>819</v>
      </c>
      <c r="I650" s="15">
        <f t="shared" si="91"/>
        <v>0</v>
      </c>
      <c r="J650" s="18">
        <f t="shared" si="92"/>
        <v>599.71</v>
      </c>
      <c r="L650" s="54" t="str">
        <f t="shared" si="93"/>
        <v/>
      </c>
      <c r="M650" s="9" t="str">
        <f t="shared" si="94"/>
        <v/>
      </c>
      <c r="N650" t="s">
        <v>822</v>
      </c>
      <c r="O650" s="17">
        <f t="shared" si="95"/>
        <v>45868</v>
      </c>
      <c r="P650" s="25">
        <f t="shared" si="96"/>
        <v>383</v>
      </c>
      <c r="Q650" t="str">
        <f t="shared" si="97"/>
        <v>90+</v>
      </c>
      <c r="R650" t="str">
        <f t="shared" si="98"/>
        <v>Due</v>
      </c>
    </row>
    <row r="651" spans="1:18" x14ac:dyDescent="0.35">
      <c r="A651" t="s">
        <v>658</v>
      </c>
      <c r="B651" t="s">
        <v>809</v>
      </c>
      <c r="C651" s="9">
        <v>45029</v>
      </c>
      <c r="D651" s="28" t="str">
        <f t="shared" si="90"/>
        <v>Apr 2023</v>
      </c>
      <c r="E651" s="9">
        <v>45059</v>
      </c>
      <c r="F651" t="s">
        <v>814</v>
      </c>
      <c r="G651">
        <v>5518.18</v>
      </c>
      <c r="H651" t="s">
        <v>820</v>
      </c>
      <c r="I651" s="15">
        <f t="shared" si="91"/>
        <v>0</v>
      </c>
      <c r="J651" s="18" t="str">
        <f t="shared" si="92"/>
        <v>N/A</v>
      </c>
      <c r="L651" s="54" t="str">
        <f t="shared" si="93"/>
        <v/>
      </c>
      <c r="M651" s="9" t="str">
        <f t="shared" si="94"/>
        <v/>
      </c>
      <c r="N651" t="s">
        <v>822</v>
      </c>
      <c r="O651" s="17">
        <f t="shared" si="95"/>
        <v>45868</v>
      </c>
      <c r="P651" s="25">
        <f t="shared" si="96"/>
        <v>809</v>
      </c>
      <c r="Q651" t="str">
        <f t="shared" si="97"/>
        <v>90+</v>
      </c>
      <c r="R651" t="str">
        <f t="shared" si="98"/>
        <v>Due</v>
      </c>
    </row>
    <row r="652" spans="1:18" x14ac:dyDescent="0.35">
      <c r="A652" t="s">
        <v>659</v>
      </c>
      <c r="B652" t="s">
        <v>811</v>
      </c>
      <c r="C652" s="9">
        <v>45609</v>
      </c>
      <c r="D652" s="28" t="str">
        <f t="shared" si="90"/>
        <v>Nov 2024</v>
      </c>
      <c r="E652" s="9">
        <v>45639</v>
      </c>
      <c r="F652" t="s">
        <v>818</v>
      </c>
      <c r="G652">
        <v>239.19</v>
      </c>
      <c r="H652" t="s">
        <v>820</v>
      </c>
      <c r="I652" s="15">
        <f t="shared" si="91"/>
        <v>0</v>
      </c>
      <c r="J652" s="18" t="str">
        <f t="shared" si="92"/>
        <v>N/A</v>
      </c>
      <c r="L652" s="54" t="str">
        <f t="shared" si="93"/>
        <v/>
      </c>
      <c r="M652" s="9" t="str">
        <f t="shared" si="94"/>
        <v/>
      </c>
      <c r="N652" t="s">
        <v>822</v>
      </c>
      <c r="O652" s="17">
        <f t="shared" si="95"/>
        <v>45868</v>
      </c>
      <c r="P652" s="25">
        <f t="shared" si="96"/>
        <v>229</v>
      </c>
      <c r="Q652" t="str">
        <f t="shared" si="97"/>
        <v>90+</v>
      </c>
      <c r="R652" t="str">
        <f t="shared" si="98"/>
        <v>Due</v>
      </c>
    </row>
    <row r="653" spans="1:18" x14ac:dyDescent="0.35">
      <c r="A653" t="s">
        <v>660</v>
      </c>
      <c r="B653" t="s">
        <v>809</v>
      </c>
      <c r="C653" s="9">
        <v>45475</v>
      </c>
      <c r="D653" s="28" t="str">
        <f t="shared" si="90"/>
        <v>Jul 2024</v>
      </c>
      <c r="E653" s="9">
        <v>45505</v>
      </c>
      <c r="F653" t="s">
        <v>817</v>
      </c>
      <c r="G653">
        <v>4746.3999999999996</v>
      </c>
      <c r="H653" t="s">
        <v>821</v>
      </c>
      <c r="I653" s="15">
        <f t="shared" si="91"/>
        <v>4746.3999999999996</v>
      </c>
      <c r="J653" s="18">
        <f t="shared" si="92"/>
        <v>0</v>
      </c>
      <c r="K653" s="9">
        <v>45505</v>
      </c>
      <c r="L653" s="54">
        <f t="shared" si="93"/>
        <v>30</v>
      </c>
      <c r="M653" s="9" t="str">
        <f t="shared" si="94"/>
        <v>2024-Aug</v>
      </c>
      <c r="N653" t="s">
        <v>822</v>
      </c>
      <c r="O653" s="17">
        <f t="shared" si="95"/>
        <v>45868</v>
      </c>
      <c r="P653" s="25">
        <f t="shared" si="96"/>
        <v>0</v>
      </c>
      <c r="Q653" t="str">
        <f t="shared" si="97"/>
        <v>Paid</v>
      </c>
      <c r="R653" t="str">
        <f t="shared" si="98"/>
        <v>Not Due</v>
      </c>
    </row>
    <row r="654" spans="1:18" x14ac:dyDescent="0.35">
      <c r="A654" t="s">
        <v>661</v>
      </c>
      <c r="B654" t="s">
        <v>811</v>
      </c>
      <c r="C654" s="9">
        <v>45113</v>
      </c>
      <c r="D654" s="28" t="str">
        <f t="shared" si="90"/>
        <v>Jul 2023</v>
      </c>
      <c r="E654" s="9">
        <v>45143</v>
      </c>
      <c r="F654" t="s">
        <v>816</v>
      </c>
      <c r="G654">
        <v>5604.51</v>
      </c>
      <c r="H654" t="s">
        <v>819</v>
      </c>
      <c r="I654" s="15">
        <f t="shared" si="91"/>
        <v>0</v>
      </c>
      <c r="J654" s="18">
        <f t="shared" si="92"/>
        <v>5604.51</v>
      </c>
      <c r="L654" s="54" t="str">
        <f t="shared" si="93"/>
        <v/>
      </c>
      <c r="M654" s="9" t="str">
        <f t="shared" si="94"/>
        <v/>
      </c>
      <c r="N654" t="s">
        <v>822</v>
      </c>
      <c r="O654" s="17">
        <f t="shared" si="95"/>
        <v>45868</v>
      </c>
      <c r="P654" s="25">
        <f t="shared" si="96"/>
        <v>725</v>
      </c>
      <c r="Q654" t="str">
        <f t="shared" si="97"/>
        <v>90+</v>
      </c>
      <c r="R654" t="str">
        <f t="shared" si="98"/>
        <v>Due</v>
      </c>
    </row>
    <row r="655" spans="1:18" x14ac:dyDescent="0.35">
      <c r="A655" t="s">
        <v>662</v>
      </c>
      <c r="B655" t="s">
        <v>813</v>
      </c>
      <c r="C655" s="9">
        <v>45083</v>
      </c>
      <c r="D655" s="28" t="str">
        <f t="shared" si="90"/>
        <v>Jun 2023</v>
      </c>
      <c r="E655" s="9">
        <v>45113</v>
      </c>
      <c r="F655" t="s">
        <v>816</v>
      </c>
      <c r="G655">
        <v>2215.7800000000002</v>
      </c>
      <c r="H655" t="s">
        <v>821</v>
      </c>
      <c r="I655" s="15">
        <f t="shared" si="91"/>
        <v>2215.7800000000002</v>
      </c>
      <c r="J655" s="18">
        <f t="shared" si="92"/>
        <v>0</v>
      </c>
      <c r="K655" s="9">
        <v>45113</v>
      </c>
      <c r="L655" s="54">
        <f t="shared" si="93"/>
        <v>30</v>
      </c>
      <c r="M655" s="9" t="str">
        <f t="shared" si="94"/>
        <v>2023-Jul</v>
      </c>
      <c r="N655" t="s">
        <v>822</v>
      </c>
      <c r="O655" s="17">
        <f t="shared" si="95"/>
        <v>45868</v>
      </c>
      <c r="P655" s="25">
        <f t="shared" si="96"/>
        <v>0</v>
      </c>
      <c r="Q655" t="str">
        <f t="shared" si="97"/>
        <v>Paid</v>
      </c>
      <c r="R655" t="str">
        <f t="shared" si="98"/>
        <v>Not Due</v>
      </c>
    </row>
    <row r="656" spans="1:18" x14ac:dyDescent="0.35">
      <c r="A656" t="s">
        <v>663</v>
      </c>
      <c r="B656" t="s">
        <v>812</v>
      </c>
      <c r="C656" s="9">
        <v>45549</v>
      </c>
      <c r="D656" s="28" t="str">
        <f t="shared" si="90"/>
        <v>Sep 2024</v>
      </c>
      <c r="E656" s="9">
        <v>45579</v>
      </c>
      <c r="F656" t="s">
        <v>816</v>
      </c>
      <c r="G656">
        <v>6310.25</v>
      </c>
      <c r="H656" t="s">
        <v>820</v>
      </c>
      <c r="I656" s="15">
        <f t="shared" si="91"/>
        <v>0</v>
      </c>
      <c r="J656" s="18" t="str">
        <f t="shared" si="92"/>
        <v>N/A</v>
      </c>
      <c r="L656" s="54" t="str">
        <f t="shared" si="93"/>
        <v/>
      </c>
      <c r="M656" s="9" t="str">
        <f t="shared" si="94"/>
        <v/>
      </c>
      <c r="N656" t="s">
        <v>822</v>
      </c>
      <c r="O656" s="17">
        <f t="shared" si="95"/>
        <v>45868</v>
      </c>
      <c r="P656" s="25">
        <f t="shared" si="96"/>
        <v>289</v>
      </c>
      <c r="Q656" t="str">
        <f t="shared" si="97"/>
        <v>90+</v>
      </c>
      <c r="R656" t="str">
        <f t="shared" si="98"/>
        <v>Due</v>
      </c>
    </row>
    <row r="657" spans="1:18" x14ac:dyDescent="0.35">
      <c r="A657" t="s">
        <v>664</v>
      </c>
      <c r="B657" t="s">
        <v>810</v>
      </c>
      <c r="C657" s="9">
        <v>45198</v>
      </c>
      <c r="D657" s="28" t="str">
        <f t="shared" si="90"/>
        <v>Sep 2023</v>
      </c>
      <c r="E657" s="9">
        <v>45228</v>
      </c>
      <c r="F657" t="s">
        <v>815</v>
      </c>
      <c r="G657">
        <v>87.84</v>
      </c>
      <c r="H657" t="s">
        <v>819</v>
      </c>
      <c r="I657" s="15">
        <f t="shared" si="91"/>
        <v>0</v>
      </c>
      <c r="J657" s="18">
        <f t="shared" si="92"/>
        <v>87.84</v>
      </c>
      <c r="L657" s="54" t="str">
        <f t="shared" si="93"/>
        <v/>
      </c>
      <c r="M657" s="9" t="str">
        <f t="shared" si="94"/>
        <v/>
      </c>
      <c r="N657" t="s">
        <v>822</v>
      </c>
      <c r="O657" s="17">
        <f t="shared" si="95"/>
        <v>45868</v>
      </c>
      <c r="P657" s="25">
        <f t="shared" si="96"/>
        <v>640</v>
      </c>
      <c r="Q657" t="str">
        <f t="shared" si="97"/>
        <v>90+</v>
      </c>
      <c r="R657" t="str">
        <f t="shared" si="98"/>
        <v>Due</v>
      </c>
    </row>
    <row r="658" spans="1:18" x14ac:dyDescent="0.35">
      <c r="A658" t="s">
        <v>665</v>
      </c>
      <c r="B658" t="s">
        <v>811</v>
      </c>
      <c r="C658" s="9">
        <v>45111</v>
      </c>
      <c r="D658" s="28" t="str">
        <f t="shared" si="90"/>
        <v>Jul 2023</v>
      </c>
      <c r="E658" s="9">
        <v>45141</v>
      </c>
      <c r="F658" t="s">
        <v>817</v>
      </c>
      <c r="G658">
        <v>2464.2399999999998</v>
      </c>
      <c r="H658" t="s">
        <v>820</v>
      </c>
      <c r="I658" s="15">
        <f t="shared" si="91"/>
        <v>0</v>
      </c>
      <c r="J658" s="18" t="str">
        <f t="shared" si="92"/>
        <v>N/A</v>
      </c>
      <c r="L658" s="54" t="str">
        <f t="shared" si="93"/>
        <v/>
      </c>
      <c r="M658" s="9" t="str">
        <f t="shared" si="94"/>
        <v/>
      </c>
      <c r="N658" t="s">
        <v>822</v>
      </c>
      <c r="O658" s="17">
        <f t="shared" si="95"/>
        <v>45868</v>
      </c>
      <c r="P658" s="25">
        <f t="shared" si="96"/>
        <v>727</v>
      </c>
      <c r="Q658" t="str">
        <f t="shared" si="97"/>
        <v>90+</v>
      </c>
      <c r="R658" t="str">
        <f t="shared" si="98"/>
        <v>Due</v>
      </c>
    </row>
    <row r="659" spans="1:18" x14ac:dyDescent="0.35">
      <c r="A659" t="s">
        <v>666</v>
      </c>
      <c r="B659" t="s">
        <v>813</v>
      </c>
      <c r="C659" s="9">
        <v>45271</v>
      </c>
      <c r="D659" s="28" t="str">
        <f t="shared" si="90"/>
        <v>Dec 2023</v>
      </c>
      <c r="E659" s="9">
        <v>45301</v>
      </c>
      <c r="F659" t="s">
        <v>816</v>
      </c>
      <c r="G659">
        <v>5916.91</v>
      </c>
      <c r="H659" t="s">
        <v>820</v>
      </c>
      <c r="I659" s="15">
        <f t="shared" si="91"/>
        <v>0</v>
      </c>
      <c r="J659" s="18" t="str">
        <f t="shared" si="92"/>
        <v>N/A</v>
      </c>
      <c r="L659" s="54" t="str">
        <f t="shared" si="93"/>
        <v/>
      </c>
      <c r="M659" s="9" t="str">
        <f t="shared" si="94"/>
        <v/>
      </c>
      <c r="N659" t="s">
        <v>822</v>
      </c>
      <c r="O659" s="17">
        <f t="shared" si="95"/>
        <v>45868</v>
      </c>
      <c r="P659" s="25">
        <f t="shared" si="96"/>
        <v>567</v>
      </c>
      <c r="Q659" t="str">
        <f t="shared" si="97"/>
        <v>90+</v>
      </c>
      <c r="R659" t="str">
        <f t="shared" si="98"/>
        <v>Due</v>
      </c>
    </row>
    <row r="660" spans="1:18" x14ac:dyDescent="0.35">
      <c r="A660" t="s">
        <v>667</v>
      </c>
      <c r="B660" t="s">
        <v>813</v>
      </c>
      <c r="C660" s="9">
        <v>45273</v>
      </c>
      <c r="D660" s="28" t="str">
        <f t="shared" si="90"/>
        <v>Dec 2023</v>
      </c>
      <c r="E660" s="9">
        <v>45303</v>
      </c>
      <c r="F660" t="s">
        <v>817</v>
      </c>
      <c r="G660">
        <v>1809.68</v>
      </c>
      <c r="H660" t="s">
        <v>820</v>
      </c>
      <c r="I660" s="15">
        <f t="shared" si="91"/>
        <v>0</v>
      </c>
      <c r="J660" s="18" t="str">
        <f t="shared" si="92"/>
        <v>N/A</v>
      </c>
      <c r="L660" s="54" t="str">
        <f t="shared" si="93"/>
        <v/>
      </c>
      <c r="M660" s="9" t="str">
        <f t="shared" si="94"/>
        <v/>
      </c>
      <c r="N660" t="s">
        <v>822</v>
      </c>
      <c r="O660" s="17">
        <f t="shared" si="95"/>
        <v>45868</v>
      </c>
      <c r="P660" s="25">
        <f t="shared" si="96"/>
        <v>565</v>
      </c>
      <c r="Q660" t="str">
        <f t="shared" si="97"/>
        <v>90+</v>
      </c>
      <c r="R660" t="str">
        <f t="shared" si="98"/>
        <v>Due</v>
      </c>
    </row>
    <row r="661" spans="1:18" x14ac:dyDescent="0.35">
      <c r="A661" t="s">
        <v>668</v>
      </c>
      <c r="B661" t="s">
        <v>813</v>
      </c>
      <c r="C661" s="9">
        <v>45588</v>
      </c>
      <c r="D661" s="28" t="str">
        <f t="shared" si="90"/>
        <v>Oct 2024</v>
      </c>
      <c r="E661" s="9">
        <v>45618</v>
      </c>
      <c r="F661" t="s">
        <v>817</v>
      </c>
      <c r="G661">
        <v>4448.67</v>
      </c>
      <c r="H661" t="s">
        <v>819</v>
      </c>
      <c r="I661" s="15">
        <f t="shared" si="91"/>
        <v>0</v>
      </c>
      <c r="J661" s="18">
        <f t="shared" si="92"/>
        <v>4448.67</v>
      </c>
      <c r="L661" s="54" t="str">
        <f t="shared" si="93"/>
        <v/>
      </c>
      <c r="M661" s="9" t="str">
        <f t="shared" si="94"/>
        <v/>
      </c>
      <c r="N661" t="s">
        <v>822</v>
      </c>
      <c r="O661" s="17">
        <f t="shared" si="95"/>
        <v>45868</v>
      </c>
      <c r="P661" s="25">
        <f t="shared" si="96"/>
        <v>250</v>
      </c>
      <c r="Q661" t="str">
        <f t="shared" si="97"/>
        <v>90+</v>
      </c>
      <c r="R661" t="str">
        <f t="shared" si="98"/>
        <v>Due</v>
      </c>
    </row>
    <row r="662" spans="1:18" x14ac:dyDescent="0.35">
      <c r="A662" t="s">
        <v>669</v>
      </c>
      <c r="B662" t="s">
        <v>810</v>
      </c>
      <c r="C662" s="9">
        <v>45810</v>
      </c>
      <c r="D662" s="28" t="str">
        <f t="shared" si="90"/>
        <v>Jun 2025</v>
      </c>
      <c r="E662" s="9">
        <v>45840</v>
      </c>
      <c r="F662" t="s">
        <v>815</v>
      </c>
      <c r="G662">
        <v>2751.25</v>
      </c>
      <c r="H662" t="s">
        <v>821</v>
      </c>
      <c r="I662" s="15">
        <f t="shared" si="91"/>
        <v>2751.25</v>
      </c>
      <c r="J662" s="18">
        <f t="shared" si="92"/>
        <v>0</v>
      </c>
      <c r="K662" s="9">
        <v>45840</v>
      </c>
      <c r="L662" s="54">
        <f t="shared" si="93"/>
        <v>30</v>
      </c>
      <c r="M662" s="9" t="str">
        <f t="shared" si="94"/>
        <v>2025-Jul</v>
      </c>
      <c r="N662" t="s">
        <v>822</v>
      </c>
      <c r="O662" s="17">
        <f t="shared" si="95"/>
        <v>45868</v>
      </c>
      <c r="P662" s="25">
        <f t="shared" si="96"/>
        <v>0</v>
      </c>
      <c r="Q662" t="str">
        <f t="shared" si="97"/>
        <v>Paid</v>
      </c>
      <c r="R662" t="str">
        <f t="shared" si="98"/>
        <v>Not Due</v>
      </c>
    </row>
    <row r="663" spans="1:18" x14ac:dyDescent="0.35">
      <c r="A663" t="s">
        <v>670</v>
      </c>
      <c r="B663" t="s">
        <v>813</v>
      </c>
      <c r="C663" s="9">
        <v>45433</v>
      </c>
      <c r="D663" s="28" t="str">
        <f t="shared" si="90"/>
        <v>May 2024</v>
      </c>
      <c r="E663" s="9">
        <v>45463</v>
      </c>
      <c r="F663" t="s">
        <v>818</v>
      </c>
      <c r="G663">
        <v>3047.51</v>
      </c>
      <c r="H663" t="s">
        <v>819</v>
      </c>
      <c r="I663" s="15">
        <f t="shared" si="91"/>
        <v>0</v>
      </c>
      <c r="J663" s="18">
        <f t="shared" si="92"/>
        <v>3047.51</v>
      </c>
      <c r="L663" s="54" t="str">
        <f t="shared" si="93"/>
        <v/>
      </c>
      <c r="M663" s="9" t="str">
        <f t="shared" si="94"/>
        <v/>
      </c>
      <c r="N663" t="s">
        <v>822</v>
      </c>
      <c r="O663" s="17">
        <f t="shared" si="95"/>
        <v>45868</v>
      </c>
      <c r="P663" s="25">
        <f t="shared" si="96"/>
        <v>405</v>
      </c>
      <c r="Q663" t="str">
        <f t="shared" si="97"/>
        <v>90+</v>
      </c>
      <c r="R663" t="str">
        <f t="shared" si="98"/>
        <v>Due</v>
      </c>
    </row>
    <row r="664" spans="1:18" x14ac:dyDescent="0.35">
      <c r="A664" t="s">
        <v>671</v>
      </c>
      <c r="B664" t="s">
        <v>809</v>
      </c>
      <c r="C664" s="9">
        <v>45321</v>
      </c>
      <c r="D664" s="28" t="str">
        <f t="shared" si="90"/>
        <v>Jan 2024</v>
      </c>
      <c r="E664" s="9">
        <v>45351</v>
      </c>
      <c r="F664" t="s">
        <v>816</v>
      </c>
      <c r="G664">
        <v>3743.3</v>
      </c>
      <c r="H664" t="s">
        <v>820</v>
      </c>
      <c r="I664" s="15">
        <f t="shared" si="91"/>
        <v>0</v>
      </c>
      <c r="J664" s="18" t="str">
        <f t="shared" si="92"/>
        <v>N/A</v>
      </c>
      <c r="L664" s="54" t="str">
        <f t="shared" si="93"/>
        <v/>
      </c>
      <c r="M664" s="9" t="str">
        <f t="shared" si="94"/>
        <v/>
      </c>
      <c r="N664" t="s">
        <v>822</v>
      </c>
      <c r="O664" s="17">
        <f t="shared" si="95"/>
        <v>45868</v>
      </c>
      <c r="P664" s="25">
        <f t="shared" si="96"/>
        <v>517</v>
      </c>
      <c r="Q664" t="str">
        <f t="shared" si="97"/>
        <v>90+</v>
      </c>
      <c r="R664" t="str">
        <f t="shared" si="98"/>
        <v>Due</v>
      </c>
    </row>
    <row r="665" spans="1:18" x14ac:dyDescent="0.35">
      <c r="A665" t="s">
        <v>672</v>
      </c>
      <c r="B665" t="s">
        <v>813</v>
      </c>
      <c r="C665" s="9">
        <v>45711</v>
      </c>
      <c r="D665" s="28" t="str">
        <f t="shared" si="90"/>
        <v>Feb 2025</v>
      </c>
      <c r="E665" s="9">
        <v>45741</v>
      </c>
      <c r="F665" t="s">
        <v>816</v>
      </c>
      <c r="G665">
        <v>4345.54</v>
      </c>
      <c r="H665" t="s">
        <v>820</v>
      </c>
      <c r="I665" s="15">
        <f t="shared" si="91"/>
        <v>0</v>
      </c>
      <c r="J665" s="18" t="str">
        <f t="shared" si="92"/>
        <v>N/A</v>
      </c>
      <c r="L665" s="54" t="str">
        <f t="shared" si="93"/>
        <v/>
      </c>
      <c r="M665" s="9" t="str">
        <f t="shared" si="94"/>
        <v/>
      </c>
      <c r="N665" t="s">
        <v>822</v>
      </c>
      <c r="O665" s="17">
        <f t="shared" si="95"/>
        <v>45868</v>
      </c>
      <c r="P665" s="25">
        <f t="shared" si="96"/>
        <v>127</v>
      </c>
      <c r="Q665" t="str">
        <f t="shared" si="97"/>
        <v>90+</v>
      </c>
      <c r="R665" t="str">
        <f t="shared" si="98"/>
        <v>Due</v>
      </c>
    </row>
    <row r="666" spans="1:18" x14ac:dyDescent="0.35">
      <c r="A666" t="s">
        <v>673</v>
      </c>
      <c r="B666" t="s">
        <v>809</v>
      </c>
      <c r="C666" s="9">
        <v>45201</v>
      </c>
      <c r="D666" s="28" t="str">
        <f t="shared" si="90"/>
        <v>Oct 2023</v>
      </c>
      <c r="E666" s="9">
        <v>45231</v>
      </c>
      <c r="F666" t="s">
        <v>814</v>
      </c>
      <c r="G666">
        <v>4640.1099999999997</v>
      </c>
      <c r="H666" t="s">
        <v>820</v>
      </c>
      <c r="I666" s="15">
        <f t="shared" si="91"/>
        <v>0</v>
      </c>
      <c r="J666" s="18" t="str">
        <f t="shared" si="92"/>
        <v>N/A</v>
      </c>
      <c r="L666" s="54" t="str">
        <f t="shared" si="93"/>
        <v/>
      </c>
      <c r="M666" s="9" t="str">
        <f t="shared" si="94"/>
        <v/>
      </c>
      <c r="N666" t="s">
        <v>822</v>
      </c>
      <c r="O666" s="17">
        <f t="shared" si="95"/>
        <v>45868</v>
      </c>
      <c r="P666" s="25">
        <f t="shared" si="96"/>
        <v>637</v>
      </c>
      <c r="Q666" t="str">
        <f t="shared" si="97"/>
        <v>90+</v>
      </c>
      <c r="R666" t="str">
        <f t="shared" si="98"/>
        <v>Due</v>
      </c>
    </row>
    <row r="667" spans="1:18" x14ac:dyDescent="0.35">
      <c r="A667" t="s">
        <v>674</v>
      </c>
      <c r="B667" t="s">
        <v>812</v>
      </c>
      <c r="C667" s="9">
        <v>45096</v>
      </c>
      <c r="D667" s="28" t="str">
        <f t="shared" si="90"/>
        <v>Jun 2023</v>
      </c>
      <c r="E667" s="9">
        <v>45126</v>
      </c>
      <c r="F667" t="s">
        <v>817</v>
      </c>
      <c r="G667">
        <v>4810.12</v>
      </c>
      <c r="H667" t="s">
        <v>819</v>
      </c>
      <c r="I667" s="15">
        <f t="shared" si="91"/>
        <v>0</v>
      </c>
      <c r="J667" s="18">
        <f t="shared" si="92"/>
        <v>4810.12</v>
      </c>
      <c r="L667" s="54" t="str">
        <f t="shared" si="93"/>
        <v/>
      </c>
      <c r="M667" s="9" t="str">
        <f t="shared" si="94"/>
        <v/>
      </c>
      <c r="N667" t="s">
        <v>822</v>
      </c>
      <c r="O667" s="17">
        <f t="shared" si="95"/>
        <v>45868</v>
      </c>
      <c r="P667" s="25">
        <f t="shared" si="96"/>
        <v>742</v>
      </c>
      <c r="Q667" t="str">
        <f t="shared" si="97"/>
        <v>90+</v>
      </c>
      <c r="R667" t="str">
        <f t="shared" si="98"/>
        <v>Due</v>
      </c>
    </row>
    <row r="668" spans="1:18" x14ac:dyDescent="0.35">
      <c r="A668" t="s">
        <v>675</v>
      </c>
      <c r="B668" t="s">
        <v>811</v>
      </c>
      <c r="C668" s="9">
        <v>45311</v>
      </c>
      <c r="D668" s="28" t="str">
        <f t="shared" si="90"/>
        <v>Jan 2024</v>
      </c>
      <c r="E668" s="9">
        <v>45341</v>
      </c>
      <c r="F668" t="s">
        <v>814</v>
      </c>
      <c r="G668">
        <v>5487.71</v>
      </c>
      <c r="H668" t="s">
        <v>819</v>
      </c>
      <c r="I668" s="15">
        <f t="shared" si="91"/>
        <v>0</v>
      </c>
      <c r="J668" s="18">
        <f t="shared" si="92"/>
        <v>5487.71</v>
      </c>
      <c r="L668" s="54" t="str">
        <f t="shared" si="93"/>
        <v/>
      </c>
      <c r="M668" s="9" t="str">
        <f t="shared" si="94"/>
        <v/>
      </c>
      <c r="N668" t="s">
        <v>822</v>
      </c>
      <c r="O668" s="17">
        <f t="shared" si="95"/>
        <v>45868</v>
      </c>
      <c r="P668" s="25">
        <f t="shared" si="96"/>
        <v>527</v>
      </c>
      <c r="Q668" t="str">
        <f t="shared" si="97"/>
        <v>90+</v>
      </c>
      <c r="R668" t="str">
        <f t="shared" si="98"/>
        <v>Due</v>
      </c>
    </row>
    <row r="669" spans="1:18" x14ac:dyDescent="0.35">
      <c r="A669" t="s">
        <v>676</v>
      </c>
      <c r="B669" t="s">
        <v>809</v>
      </c>
      <c r="C669" s="9">
        <v>45692</v>
      </c>
      <c r="D669" s="28" t="str">
        <f t="shared" si="90"/>
        <v>Feb 2025</v>
      </c>
      <c r="E669" s="9">
        <v>45722</v>
      </c>
      <c r="F669" t="s">
        <v>818</v>
      </c>
      <c r="G669">
        <v>3328.48</v>
      </c>
      <c r="H669" t="s">
        <v>821</v>
      </c>
      <c r="I669" s="15">
        <f t="shared" si="91"/>
        <v>3328.48</v>
      </c>
      <c r="J669" s="18">
        <f t="shared" si="92"/>
        <v>0</v>
      </c>
      <c r="K669" s="9">
        <v>45722</v>
      </c>
      <c r="L669" s="54">
        <f t="shared" si="93"/>
        <v>30</v>
      </c>
      <c r="M669" s="9" t="str">
        <f t="shared" si="94"/>
        <v>2025-Mar</v>
      </c>
      <c r="N669" t="s">
        <v>822</v>
      </c>
      <c r="O669" s="17">
        <f t="shared" si="95"/>
        <v>45868</v>
      </c>
      <c r="P669" s="25">
        <f t="shared" si="96"/>
        <v>0</v>
      </c>
      <c r="Q669" t="str">
        <f t="shared" si="97"/>
        <v>Paid</v>
      </c>
      <c r="R669" t="str">
        <f t="shared" si="98"/>
        <v>Not Due</v>
      </c>
    </row>
    <row r="670" spans="1:18" x14ac:dyDescent="0.35">
      <c r="A670" t="s">
        <v>677</v>
      </c>
      <c r="B670" t="s">
        <v>813</v>
      </c>
      <c r="C670" s="9">
        <v>45522</v>
      </c>
      <c r="D670" s="28" t="str">
        <f t="shared" si="90"/>
        <v>Aug 2024</v>
      </c>
      <c r="E670" s="9">
        <v>45552</v>
      </c>
      <c r="F670" t="s">
        <v>815</v>
      </c>
      <c r="G670">
        <v>2729.08</v>
      </c>
      <c r="H670" t="s">
        <v>819</v>
      </c>
      <c r="I670" s="15">
        <f t="shared" si="91"/>
        <v>0</v>
      </c>
      <c r="J670" s="18">
        <f t="shared" si="92"/>
        <v>2729.08</v>
      </c>
      <c r="L670" s="54" t="str">
        <f t="shared" si="93"/>
        <v/>
      </c>
      <c r="M670" s="9" t="str">
        <f t="shared" si="94"/>
        <v/>
      </c>
      <c r="N670" t="s">
        <v>822</v>
      </c>
      <c r="O670" s="17">
        <f t="shared" si="95"/>
        <v>45868</v>
      </c>
      <c r="P670" s="25">
        <f t="shared" si="96"/>
        <v>316</v>
      </c>
      <c r="Q670" t="str">
        <f t="shared" si="97"/>
        <v>90+</v>
      </c>
      <c r="R670" t="str">
        <f t="shared" si="98"/>
        <v>Due</v>
      </c>
    </row>
    <row r="671" spans="1:18" x14ac:dyDescent="0.35">
      <c r="A671" t="s">
        <v>678</v>
      </c>
      <c r="B671" t="s">
        <v>812</v>
      </c>
      <c r="C671" s="9">
        <v>45118</v>
      </c>
      <c r="D671" s="28" t="str">
        <f t="shared" si="90"/>
        <v>Jul 2023</v>
      </c>
      <c r="E671" s="9">
        <v>45148</v>
      </c>
      <c r="F671" t="s">
        <v>816</v>
      </c>
      <c r="G671">
        <v>718.03</v>
      </c>
      <c r="H671" t="s">
        <v>820</v>
      </c>
      <c r="I671" s="15">
        <f t="shared" si="91"/>
        <v>0</v>
      </c>
      <c r="J671" s="18" t="str">
        <f t="shared" si="92"/>
        <v>N/A</v>
      </c>
      <c r="L671" s="54" t="str">
        <f t="shared" si="93"/>
        <v/>
      </c>
      <c r="M671" s="9" t="str">
        <f t="shared" si="94"/>
        <v/>
      </c>
      <c r="N671" t="s">
        <v>822</v>
      </c>
      <c r="O671" s="17">
        <f t="shared" si="95"/>
        <v>45868</v>
      </c>
      <c r="P671" s="25">
        <f t="shared" si="96"/>
        <v>720</v>
      </c>
      <c r="Q671" t="str">
        <f t="shared" si="97"/>
        <v>90+</v>
      </c>
      <c r="R671" t="str">
        <f t="shared" si="98"/>
        <v>Due</v>
      </c>
    </row>
    <row r="672" spans="1:18" x14ac:dyDescent="0.35">
      <c r="A672" t="s">
        <v>679</v>
      </c>
      <c r="B672" t="s">
        <v>811</v>
      </c>
      <c r="C672" s="9">
        <v>45305</v>
      </c>
      <c r="D672" s="28" t="str">
        <f t="shared" si="90"/>
        <v>Jan 2024</v>
      </c>
      <c r="E672" s="9">
        <v>45335</v>
      </c>
      <c r="F672" t="s">
        <v>818</v>
      </c>
      <c r="G672">
        <v>2549.69</v>
      </c>
      <c r="H672" t="s">
        <v>821</v>
      </c>
      <c r="I672" s="15">
        <f t="shared" si="91"/>
        <v>2549.69</v>
      </c>
      <c r="J672" s="18">
        <f t="shared" si="92"/>
        <v>0</v>
      </c>
      <c r="K672" s="9">
        <v>45335</v>
      </c>
      <c r="L672" s="54">
        <f t="shared" si="93"/>
        <v>30</v>
      </c>
      <c r="M672" s="9" t="str">
        <f t="shared" si="94"/>
        <v>2024-Feb</v>
      </c>
      <c r="N672" t="s">
        <v>822</v>
      </c>
      <c r="O672" s="17">
        <f t="shared" si="95"/>
        <v>45868</v>
      </c>
      <c r="P672" s="25">
        <f t="shared" si="96"/>
        <v>0</v>
      </c>
      <c r="Q672" t="str">
        <f t="shared" si="97"/>
        <v>Paid</v>
      </c>
      <c r="R672" t="str">
        <f t="shared" si="98"/>
        <v>Not Due</v>
      </c>
    </row>
    <row r="673" spans="1:18" x14ac:dyDescent="0.35">
      <c r="A673" t="s">
        <v>680</v>
      </c>
      <c r="B673" t="s">
        <v>811</v>
      </c>
      <c r="C673" s="9">
        <v>45824</v>
      </c>
      <c r="D673" s="28" t="str">
        <f t="shared" si="90"/>
        <v>Jun 2025</v>
      </c>
      <c r="E673" s="9">
        <v>45854</v>
      </c>
      <c r="F673" t="s">
        <v>816</v>
      </c>
      <c r="G673">
        <v>2208.1</v>
      </c>
      <c r="H673" t="s">
        <v>821</v>
      </c>
      <c r="I673" s="15">
        <f t="shared" si="91"/>
        <v>2208.1</v>
      </c>
      <c r="J673" s="18">
        <f t="shared" si="92"/>
        <v>0</v>
      </c>
      <c r="K673" s="9">
        <v>45854</v>
      </c>
      <c r="L673" s="54">
        <f t="shared" si="93"/>
        <v>30</v>
      </c>
      <c r="M673" s="9" t="str">
        <f t="shared" si="94"/>
        <v>2025-Jul</v>
      </c>
      <c r="N673" t="s">
        <v>822</v>
      </c>
      <c r="O673" s="17">
        <f t="shared" si="95"/>
        <v>45868</v>
      </c>
      <c r="P673" s="25">
        <f t="shared" si="96"/>
        <v>0</v>
      </c>
      <c r="Q673" t="str">
        <f t="shared" si="97"/>
        <v>Paid</v>
      </c>
      <c r="R673" t="str">
        <f t="shared" si="98"/>
        <v>Not Due</v>
      </c>
    </row>
    <row r="674" spans="1:18" x14ac:dyDescent="0.35">
      <c r="A674" t="s">
        <v>681</v>
      </c>
      <c r="B674" t="s">
        <v>810</v>
      </c>
      <c r="C674" s="9">
        <v>45213</v>
      </c>
      <c r="D674" s="28" t="str">
        <f t="shared" si="90"/>
        <v>Oct 2023</v>
      </c>
      <c r="E674" s="9">
        <v>45243</v>
      </c>
      <c r="F674" t="s">
        <v>818</v>
      </c>
      <c r="G674">
        <v>2528.96</v>
      </c>
      <c r="H674" t="s">
        <v>820</v>
      </c>
      <c r="I674" s="15">
        <f t="shared" si="91"/>
        <v>0</v>
      </c>
      <c r="J674" s="18" t="str">
        <f t="shared" si="92"/>
        <v>N/A</v>
      </c>
      <c r="L674" s="54" t="str">
        <f t="shared" si="93"/>
        <v/>
      </c>
      <c r="M674" s="9" t="str">
        <f t="shared" si="94"/>
        <v/>
      </c>
      <c r="N674" t="s">
        <v>822</v>
      </c>
      <c r="O674" s="17">
        <f t="shared" si="95"/>
        <v>45868</v>
      </c>
      <c r="P674" s="25">
        <f t="shared" si="96"/>
        <v>625</v>
      </c>
      <c r="Q674" t="str">
        <f t="shared" si="97"/>
        <v>90+</v>
      </c>
      <c r="R674" t="str">
        <f t="shared" si="98"/>
        <v>Due</v>
      </c>
    </row>
    <row r="675" spans="1:18" x14ac:dyDescent="0.35">
      <c r="A675" t="s">
        <v>682</v>
      </c>
      <c r="B675" t="s">
        <v>813</v>
      </c>
      <c r="C675" s="9">
        <v>45079</v>
      </c>
      <c r="D675" s="28" t="str">
        <f t="shared" si="90"/>
        <v>Jun 2023</v>
      </c>
      <c r="E675" s="9">
        <v>45109</v>
      </c>
      <c r="F675" t="s">
        <v>816</v>
      </c>
      <c r="G675">
        <v>1366.65</v>
      </c>
      <c r="H675" t="s">
        <v>821</v>
      </c>
      <c r="I675" s="15">
        <f t="shared" si="91"/>
        <v>1366.65</v>
      </c>
      <c r="J675" s="18">
        <f t="shared" si="92"/>
        <v>0</v>
      </c>
      <c r="K675" s="9">
        <v>45109</v>
      </c>
      <c r="L675" s="54">
        <f t="shared" si="93"/>
        <v>30</v>
      </c>
      <c r="M675" s="9" t="str">
        <f t="shared" si="94"/>
        <v>2023-Jul</v>
      </c>
      <c r="N675" t="s">
        <v>822</v>
      </c>
      <c r="O675" s="17">
        <f t="shared" si="95"/>
        <v>45868</v>
      </c>
      <c r="P675" s="25">
        <f t="shared" si="96"/>
        <v>0</v>
      </c>
      <c r="Q675" t="str">
        <f t="shared" si="97"/>
        <v>Paid</v>
      </c>
      <c r="R675" t="str">
        <f t="shared" si="98"/>
        <v>Not Due</v>
      </c>
    </row>
    <row r="676" spans="1:18" x14ac:dyDescent="0.35">
      <c r="A676" t="s">
        <v>683</v>
      </c>
      <c r="B676" t="s">
        <v>813</v>
      </c>
      <c r="C676" s="9">
        <v>45821</v>
      </c>
      <c r="D676" s="28" t="str">
        <f t="shared" si="90"/>
        <v>Jun 2025</v>
      </c>
      <c r="E676" s="9">
        <v>45851</v>
      </c>
      <c r="F676" t="s">
        <v>818</v>
      </c>
      <c r="G676">
        <v>3454.65</v>
      </c>
      <c r="H676" t="s">
        <v>820</v>
      </c>
      <c r="I676" s="15">
        <f t="shared" si="91"/>
        <v>0</v>
      </c>
      <c r="J676" s="18" t="str">
        <f t="shared" si="92"/>
        <v>N/A</v>
      </c>
      <c r="L676" s="54" t="str">
        <f t="shared" si="93"/>
        <v/>
      </c>
      <c r="M676" s="9" t="str">
        <f t="shared" si="94"/>
        <v/>
      </c>
      <c r="N676" t="s">
        <v>822</v>
      </c>
      <c r="O676" s="17">
        <f t="shared" si="95"/>
        <v>45868</v>
      </c>
      <c r="P676" s="25">
        <f t="shared" si="96"/>
        <v>17</v>
      </c>
      <c r="Q676" t="str">
        <f t="shared" si="97"/>
        <v>1-30</v>
      </c>
      <c r="R676" t="str">
        <f t="shared" si="98"/>
        <v>Due</v>
      </c>
    </row>
    <row r="677" spans="1:18" x14ac:dyDescent="0.35">
      <c r="A677" t="s">
        <v>684</v>
      </c>
      <c r="B677" t="s">
        <v>811</v>
      </c>
      <c r="C677" s="9">
        <v>45760</v>
      </c>
      <c r="D677" s="28" t="str">
        <f t="shared" si="90"/>
        <v>Apr 2025</v>
      </c>
      <c r="E677" s="9">
        <v>45790</v>
      </c>
      <c r="F677" t="s">
        <v>818</v>
      </c>
      <c r="G677">
        <v>2008.45</v>
      </c>
      <c r="H677" t="s">
        <v>820</v>
      </c>
      <c r="I677" s="15">
        <f t="shared" si="91"/>
        <v>0</v>
      </c>
      <c r="J677" s="18" t="str">
        <f t="shared" si="92"/>
        <v>N/A</v>
      </c>
      <c r="L677" s="54" t="str">
        <f t="shared" si="93"/>
        <v/>
      </c>
      <c r="M677" s="9" t="str">
        <f t="shared" si="94"/>
        <v/>
      </c>
      <c r="N677" t="s">
        <v>822</v>
      </c>
      <c r="O677" s="17">
        <f t="shared" si="95"/>
        <v>45868</v>
      </c>
      <c r="P677" s="25">
        <f t="shared" si="96"/>
        <v>78</v>
      </c>
      <c r="Q677" t="str">
        <f t="shared" si="97"/>
        <v>61-90</v>
      </c>
      <c r="R677" t="str">
        <f t="shared" si="98"/>
        <v>Due</v>
      </c>
    </row>
    <row r="678" spans="1:18" x14ac:dyDescent="0.35">
      <c r="A678" t="s">
        <v>685</v>
      </c>
      <c r="B678" t="s">
        <v>813</v>
      </c>
      <c r="C678" s="9">
        <v>44988</v>
      </c>
      <c r="D678" s="28" t="str">
        <f t="shared" si="90"/>
        <v>Mar 2023</v>
      </c>
      <c r="E678" s="9">
        <v>45018</v>
      </c>
      <c r="F678" t="s">
        <v>816</v>
      </c>
      <c r="G678">
        <v>4996.92</v>
      </c>
      <c r="H678" t="s">
        <v>819</v>
      </c>
      <c r="I678" s="15">
        <f t="shared" si="91"/>
        <v>0</v>
      </c>
      <c r="J678" s="18">
        <f t="shared" si="92"/>
        <v>4996.92</v>
      </c>
      <c r="L678" s="54" t="str">
        <f t="shared" si="93"/>
        <v/>
      </c>
      <c r="M678" s="9" t="str">
        <f t="shared" si="94"/>
        <v/>
      </c>
      <c r="N678" t="s">
        <v>822</v>
      </c>
      <c r="O678" s="17">
        <f t="shared" si="95"/>
        <v>45868</v>
      </c>
      <c r="P678" s="25">
        <f t="shared" si="96"/>
        <v>850</v>
      </c>
      <c r="Q678" t="str">
        <f t="shared" si="97"/>
        <v>90+</v>
      </c>
      <c r="R678" t="str">
        <f t="shared" si="98"/>
        <v>Due</v>
      </c>
    </row>
    <row r="679" spans="1:18" x14ac:dyDescent="0.35">
      <c r="A679" t="s">
        <v>686</v>
      </c>
      <c r="B679" t="s">
        <v>810</v>
      </c>
      <c r="C679" s="9">
        <v>44955</v>
      </c>
      <c r="D679" s="28" t="str">
        <f t="shared" si="90"/>
        <v>Jan 2023</v>
      </c>
      <c r="E679" s="9">
        <v>44985</v>
      </c>
      <c r="F679" t="s">
        <v>818</v>
      </c>
      <c r="G679">
        <v>2012.26</v>
      </c>
      <c r="H679" t="s">
        <v>820</v>
      </c>
      <c r="I679" s="15">
        <f t="shared" si="91"/>
        <v>0</v>
      </c>
      <c r="J679" s="18" t="str">
        <f t="shared" si="92"/>
        <v>N/A</v>
      </c>
      <c r="L679" s="54" t="str">
        <f t="shared" si="93"/>
        <v/>
      </c>
      <c r="M679" s="9" t="str">
        <f t="shared" si="94"/>
        <v/>
      </c>
      <c r="N679" t="s">
        <v>822</v>
      </c>
      <c r="O679" s="17">
        <f t="shared" si="95"/>
        <v>45868</v>
      </c>
      <c r="P679" s="25">
        <f t="shared" si="96"/>
        <v>883</v>
      </c>
      <c r="Q679" t="str">
        <f t="shared" si="97"/>
        <v>90+</v>
      </c>
      <c r="R679" t="str">
        <f t="shared" si="98"/>
        <v>Due</v>
      </c>
    </row>
    <row r="680" spans="1:18" x14ac:dyDescent="0.35">
      <c r="A680" t="s">
        <v>687</v>
      </c>
      <c r="B680" t="s">
        <v>810</v>
      </c>
      <c r="C680" s="9">
        <v>45152</v>
      </c>
      <c r="D680" s="28" t="str">
        <f t="shared" si="90"/>
        <v>Aug 2023</v>
      </c>
      <c r="E680" s="9">
        <v>45182</v>
      </c>
      <c r="F680" t="s">
        <v>814</v>
      </c>
      <c r="G680">
        <v>4203.38</v>
      </c>
      <c r="H680" t="s">
        <v>819</v>
      </c>
      <c r="I680" s="15">
        <f t="shared" si="91"/>
        <v>0</v>
      </c>
      <c r="J680" s="18">
        <f t="shared" si="92"/>
        <v>4203.38</v>
      </c>
      <c r="L680" s="54" t="str">
        <f t="shared" si="93"/>
        <v/>
      </c>
      <c r="M680" s="9" t="str">
        <f t="shared" si="94"/>
        <v/>
      </c>
      <c r="N680" t="s">
        <v>822</v>
      </c>
      <c r="O680" s="17">
        <f t="shared" si="95"/>
        <v>45868</v>
      </c>
      <c r="P680" s="25">
        <f t="shared" si="96"/>
        <v>686</v>
      </c>
      <c r="Q680" t="str">
        <f t="shared" si="97"/>
        <v>90+</v>
      </c>
      <c r="R680" t="str">
        <f t="shared" si="98"/>
        <v>Due</v>
      </c>
    </row>
    <row r="681" spans="1:18" x14ac:dyDescent="0.35">
      <c r="A681" t="s">
        <v>688</v>
      </c>
      <c r="B681" t="s">
        <v>811</v>
      </c>
      <c r="C681" s="9">
        <v>45467</v>
      </c>
      <c r="D681" s="28" t="str">
        <f t="shared" si="90"/>
        <v>Jun 2024</v>
      </c>
      <c r="E681" s="9">
        <v>45497</v>
      </c>
      <c r="F681" t="s">
        <v>815</v>
      </c>
      <c r="G681">
        <v>299.93</v>
      </c>
      <c r="H681" t="s">
        <v>819</v>
      </c>
      <c r="I681" s="15">
        <f t="shared" si="91"/>
        <v>0</v>
      </c>
      <c r="J681" s="18">
        <f t="shared" si="92"/>
        <v>299.93</v>
      </c>
      <c r="L681" s="54" t="str">
        <f t="shared" si="93"/>
        <v/>
      </c>
      <c r="M681" s="9" t="str">
        <f t="shared" si="94"/>
        <v/>
      </c>
      <c r="N681" t="s">
        <v>822</v>
      </c>
      <c r="O681" s="17">
        <f t="shared" si="95"/>
        <v>45868</v>
      </c>
      <c r="P681" s="25">
        <f t="shared" si="96"/>
        <v>371</v>
      </c>
      <c r="Q681" t="str">
        <f t="shared" si="97"/>
        <v>90+</v>
      </c>
      <c r="R681" t="str">
        <f t="shared" si="98"/>
        <v>Due</v>
      </c>
    </row>
    <row r="682" spans="1:18" x14ac:dyDescent="0.35">
      <c r="A682" t="s">
        <v>689</v>
      </c>
      <c r="B682" t="s">
        <v>809</v>
      </c>
      <c r="C682" s="9">
        <v>45441</v>
      </c>
      <c r="D682" s="28" t="str">
        <f t="shared" si="90"/>
        <v>May 2024</v>
      </c>
      <c r="E682" s="9">
        <v>45471</v>
      </c>
      <c r="F682" t="s">
        <v>814</v>
      </c>
      <c r="G682">
        <v>3798.3</v>
      </c>
      <c r="H682" t="s">
        <v>820</v>
      </c>
      <c r="I682" s="15">
        <f t="shared" si="91"/>
        <v>0</v>
      </c>
      <c r="J682" s="18" t="str">
        <f t="shared" si="92"/>
        <v>N/A</v>
      </c>
      <c r="L682" s="54" t="str">
        <f t="shared" si="93"/>
        <v/>
      </c>
      <c r="M682" s="9" t="str">
        <f t="shared" si="94"/>
        <v/>
      </c>
      <c r="N682" t="s">
        <v>822</v>
      </c>
      <c r="O682" s="17">
        <f t="shared" si="95"/>
        <v>45868</v>
      </c>
      <c r="P682" s="25">
        <f t="shared" si="96"/>
        <v>397</v>
      </c>
      <c r="Q682" t="str">
        <f t="shared" si="97"/>
        <v>90+</v>
      </c>
      <c r="R682" t="str">
        <f t="shared" si="98"/>
        <v>Due</v>
      </c>
    </row>
    <row r="683" spans="1:18" x14ac:dyDescent="0.35">
      <c r="A683" t="s">
        <v>690</v>
      </c>
      <c r="B683" t="s">
        <v>810</v>
      </c>
      <c r="C683" s="9">
        <v>45514</v>
      </c>
      <c r="D683" s="28" t="str">
        <f t="shared" si="90"/>
        <v>Aug 2024</v>
      </c>
      <c r="E683" s="9">
        <v>45544</v>
      </c>
      <c r="F683" t="s">
        <v>814</v>
      </c>
      <c r="G683">
        <v>450.06</v>
      </c>
      <c r="H683" t="s">
        <v>819</v>
      </c>
      <c r="I683" s="15">
        <f t="shared" si="91"/>
        <v>0</v>
      </c>
      <c r="J683" s="18">
        <f t="shared" si="92"/>
        <v>450.06</v>
      </c>
      <c r="L683" s="54" t="str">
        <f t="shared" si="93"/>
        <v/>
      </c>
      <c r="M683" s="9" t="str">
        <f t="shared" si="94"/>
        <v/>
      </c>
      <c r="N683" t="s">
        <v>822</v>
      </c>
      <c r="O683" s="17">
        <f t="shared" si="95"/>
        <v>45868</v>
      </c>
      <c r="P683" s="25">
        <f t="shared" si="96"/>
        <v>324</v>
      </c>
      <c r="Q683" t="str">
        <f t="shared" si="97"/>
        <v>90+</v>
      </c>
      <c r="R683" t="str">
        <f t="shared" si="98"/>
        <v>Due</v>
      </c>
    </row>
    <row r="684" spans="1:18" x14ac:dyDescent="0.35">
      <c r="A684" t="s">
        <v>691</v>
      </c>
      <c r="B684" t="s">
        <v>813</v>
      </c>
      <c r="C684" s="9">
        <v>45150</v>
      </c>
      <c r="D684" s="28" t="str">
        <f t="shared" si="90"/>
        <v>Aug 2023</v>
      </c>
      <c r="E684" s="9">
        <v>45180</v>
      </c>
      <c r="F684" t="s">
        <v>816</v>
      </c>
      <c r="G684">
        <v>4538.3</v>
      </c>
      <c r="H684" t="s">
        <v>820</v>
      </c>
      <c r="I684" s="15">
        <f t="shared" si="91"/>
        <v>0</v>
      </c>
      <c r="J684" s="18" t="str">
        <f t="shared" si="92"/>
        <v>N/A</v>
      </c>
      <c r="L684" s="54" t="str">
        <f t="shared" si="93"/>
        <v/>
      </c>
      <c r="M684" s="9" t="str">
        <f t="shared" si="94"/>
        <v/>
      </c>
      <c r="N684" t="s">
        <v>822</v>
      </c>
      <c r="O684" s="17">
        <f t="shared" si="95"/>
        <v>45868</v>
      </c>
      <c r="P684" s="25">
        <f t="shared" si="96"/>
        <v>688</v>
      </c>
      <c r="Q684" t="str">
        <f t="shared" si="97"/>
        <v>90+</v>
      </c>
      <c r="R684" t="str">
        <f t="shared" si="98"/>
        <v>Due</v>
      </c>
    </row>
    <row r="685" spans="1:18" x14ac:dyDescent="0.35">
      <c r="A685" t="s">
        <v>692</v>
      </c>
      <c r="B685" t="s">
        <v>811</v>
      </c>
      <c r="C685" s="9">
        <v>45065</v>
      </c>
      <c r="D685" s="28" t="str">
        <f t="shared" si="90"/>
        <v>May 2023</v>
      </c>
      <c r="E685" s="9">
        <v>45095</v>
      </c>
      <c r="F685" t="s">
        <v>814</v>
      </c>
      <c r="G685">
        <v>4884.8900000000003</v>
      </c>
      <c r="H685" t="s">
        <v>820</v>
      </c>
      <c r="I685" s="15">
        <f t="shared" si="91"/>
        <v>0</v>
      </c>
      <c r="J685" s="18" t="str">
        <f t="shared" si="92"/>
        <v>N/A</v>
      </c>
      <c r="L685" s="54" t="str">
        <f t="shared" si="93"/>
        <v/>
      </c>
      <c r="M685" s="9" t="str">
        <f t="shared" si="94"/>
        <v/>
      </c>
      <c r="N685" t="s">
        <v>822</v>
      </c>
      <c r="O685" s="17">
        <f t="shared" si="95"/>
        <v>45868</v>
      </c>
      <c r="P685" s="25">
        <f t="shared" si="96"/>
        <v>773</v>
      </c>
      <c r="Q685" t="str">
        <f t="shared" si="97"/>
        <v>90+</v>
      </c>
      <c r="R685" t="str">
        <f t="shared" si="98"/>
        <v>Due</v>
      </c>
    </row>
    <row r="686" spans="1:18" x14ac:dyDescent="0.35">
      <c r="A686" t="s">
        <v>693</v>
      </c>
      <c r="B686" t="s">
        <v>811</v>
      </c>
      <c r="C686" s="9">
        <v>45065</v>
      </c>
      <c r="D686" s="28" t="str">
        <f t="shared" si="90"/>
        <v>May 2023</v>
      </c>
      <c r="E686" s="9">
        <v>45095</v>
      </c>
      <c r="F686" t="s">
        <v>814</v>
      </c>
      <c r="G686">
        <v>3390.6</v>
      </c>
      <c r="H686" t="s">
        <v>819</v>
      </c>
      <c r="I686" s="15">
        <f t="shared" si="91"/>
        <v>0</v>
      </c>
      <c r="J686" s="18">
        <f t="shared" si="92"/>
        <v>3390.6</v>
      </c>
      <c r="L686" s="54" t="str">
        <f t="shared" si="93"/>
        <v/>
      </c>
      <c r="M686" s="9" t="str">
        <f t="shared" si="94"/>
        <v/>
      </c>
      <c r="N686" t="s">
        <v>822</v>
      </c>
      <c r="O686" s="17">
        <f t="shared" si="95"/>
        <v>45868</v>
      </c>
      <c r="P686" s="25">
        <f t="shared" si="96"/>
        <v>773</v>
      </c>
      <c r="Q686" t="str">
        <f t="shared" si="97"/>
        <v>90+</v>
      </c>
      <c r="R686" t="str">
        <f t="shared" si="98"/>
        <v>Due</v>
      </c>
    </row>
    <row r="687" spans="1:18" x14ac:dyDescent="0.35">
      <c r="A687" t="s">
        <v>694</v>
      </c>
      <c r="B687" t="s">
        <v>813</v>
      </c>
      <c r="C687" s="9">
        <v>45746</v>
      </c>
      <c r="D687" s="28" t="str">
        <f t="shared" si="90"/>
        <v>Mar 2025</v>
      </c>
      <c r="E687" s="9">
        <v>45776</v>
      </c>
      <c r="F687" t="s">
        <v>815</v>
      </c>
      <c r="G687">
        <v>1151.74</v>
      </c>
      <c r="H687" t="s">
        <v>819</v>
      </c>
      <c r="I687" s="15">
        <f t="shared" si="91"/>
        <v>0</v>
      </c>
      <c r="J687" s="18">
        <f t="shared" si="92"/>
        <v>1151.74</v>
      </c>
      <c r="L687" s="54" t="str">
        <f t="shared" si="93"/>
        <v/>
      </c>
      <c r="M687" s="9" t="str">
        <f t="shared" si="94"/>
        <v/>
      </c>
      <c r="N687" t="s">
        <v>822</v>
      </c>
      <c r="O687" s="17">
        <f t="shared" si="95"/>
        <v>45868</v>
      </c>
      <c r="P687" s="25">
        <f t="shared" si="96"/>
        <v>92</v>
      </c>
      <c r="Q687" t="str">
        <f t="shared" si="97"/>
        <v>90+</v>
      </c>
      <c r="R687" t="str">
        <f t="shared" si="98"/>
        <v>Due</v>
      </c>
    </row>
    <row r="688" spans="1:18" x14ac:dyDescent="0.35">
      <c r="A688" t="s">
        <v>695</v>
      </c>
      <c r="B688" t="s">
        <v>811</v>
      </c>
      <c r="C688" s="9">
        <v>45023</v>
      </c>
      <c r="D688" s="28" t="str">
        <f t="shared" si="90"/>
        <v>Apr 2023</v>
      </c>
      <c r="E688" s="9">
        <v>45053</v>
      </c>
      <c r="F688" t="s">
        <v>814</v>
      </c>
      <c r="G688">
        <v>2615.29</v>
      </c>
      <c r="H688" t="s">
        <v>819</v>
      </c>
      <c r="I688" s="15">
        <f t="shared" si="91"/>
        <v>0</v>
      </c>
      <c r="J688" s="18">
        <f t="shared" si="92"/>
        <v>2615.29</v>
      </c>
      <c r="L688" s="54" t="str">
        <f t="shared" si="93"/>
        <v/>
      </c>
      <c r="M688" s="9" t="str">
        <f t="shared" si="94"/>
        <v/>
      </c>
      <c r="N688" t="s">
        <v>822</v>
      </c>
      <c r="O688" s="17">
        <f t="shared" si="95"/>
        <v>45868</v>
      </c>
      <c r="P688" s="25">
        <f t="shared" si="96"/>
        <v>815</v>
      </c>
      <c r="Q688" t="str">
        <f t="shared" si="97"/>
        <v>90+</v>
      </c>
      <c r="R688" t="str">
        <f t="shared" si="98"/>
        <v>Due</v>
      </c>
    </row>
    <row r="689" spans="1:18" x14ac:dyDescent="0.35">
      <c r="A689" t="s">
        <v>696</v>
      </c>
      <c r="B689" t="s">
        <v>813</v>
      </c>
      <c r="C689" s="9">
        <v>45292</v>
      </c>
      <c r="D689" s="28" t="str">
        <f t="shared" si="90"/>
        <v>Jan 2024</v>
      </c>
      <c r="E689" s="9">
        <v>45322</v>
      </c>
      <c r="F689" t="s">
        <v>814</v>
      </c>
      <c r="G689">
        <v>652.54999999999995</v>
      </c>
      <c r="H689" t="s">
        <v>821</v>
      </c>
      <c r="I689" s="15">
        <f t="shared" si="91"/>
        <v>652.54999999999995</v>
      </c>
      <c r="J689" s="18">
        <f t="shared" si="92"/>
        <v>0</v>
      </c>
      <c r="K689" s="9">
        <v>45322</v>
      </c>
      <c r="L689" s="54">
        <f t="shared" si="93"/>
        <v>30</v>
      </c>
      <c r="M689" s="9" t="str">
        <f t="shared" si="94"/>
        <v>2024-Jan</v>
      </c>
      <c r="N689" t="s">
        <v>822</v>
      </c>
      <c r="O689" s="17">
        <f t="shared" si="95"/>
        <v>45868</v>
      </c>
      <c r="P689" s="25">
        <f t="shared" si="96"/>
        <v>0</v>
      </c>
      <c r="Q689" t="str">
        <f t="shared" si="97"/>
        <v>Paid</v>
      </c>
      <c r="R689" t="str">
        <f t="shared" si="98"/>
        <v>Not Due</v>
      </c>
    </row>
    <row r="690" spans="1:18" x14ac:dyDescent="0.35">
      <c r="A690" t="s">
        <v>697</v>
      </c>
      <c r="B690" t="s">
        <v>812</v>
      </c>
      <c r="C690" s="9">
        <v>45259</v>
      </c>
      <c r="D690" s="28" t="str">
        <f t="shared" si="90"/>
        <v>Nov 2023</v>
      </c>
      <c r="E690" s="9">
        <v>45289</v>
      </c>
      <c r="F690" t="s">
        <v>814</v>
      </c>
      <c r="G690">
        <v>2092.08</v>
      </c>
      <c r="H690" t="s">
        <v>819</v>
      </c>
      <c r="I690" s="15">
        <f t="shared" si="91"/>
        <v>0</v>
      </c>
      <c r="J690" s="18">
        <f t="shared" si="92"/>
        <v>2092.08</v>
      </c>
      <c r="L690" s="54" t="str">
        <f t="shared" si="93"/>
        <v/>
      </c>
      <c r="M690" s="9" t="str">
        <f t="shared" si="94"/>
        <v/>
      </c>
      <c r="N690" t="s">
        <v>822</v>
      </c>
      <c r="O690" s="17">
        <f t="shared" si="95"/>
        <v>45868</v>
      </c>
      <c r="P690" s="25">
        <f t="shared" si="96"/>
        <v>579</v>
      </c>
      <c r="Q690" t="str">
        <f t="shared" si="97"/>
        <v>90+</v>
      </c>
      <c r="R690" t="str">
        <f t="shared" si="98"/>
        <v>Due</v>
      </c>
    </row>
    <row r="691" spans="1:18" x14ac:dyDescent="0.35">
      <c r="A691" t="s">
        <v>698</v>
      </c>
      <c r="B691" t="s">
        <v>810</v>
      </c>
      <c r="C691" s="9">
        <v>45444</v>
      </c>
      <c r="D691" s="28" t="str">
        <f t="shared" si="90"/>
        <v>Jun 2024</v>
      </c>
      <c r="E691" s="9">
        <v>45474</v>
      </c>
      <c r="F691" t="s">
        <v>814</v>
      </c>
      <c r="G691">
        <v>1222.08</v>
      </c>
      <c r="H691" t="s">
        <v>820</v>
      </c>
      <c r="I691" s="15">
        <f t="shared" si="91"/>
        <v>0</v>
      </c>
      <c r="J691" s="18" t="str">
        <f t="shared" si="92"/>
        <v>N/A</v>
      </c>
      <c r="L691" s="54" t="str">
        <f t="shared" si="93"/>
        <v/>
      </c>
      <c r="M691" s="9" t="str">
        <f t="shared" si="94"/>
        <v/>
      </c>
      <c r="N691" t="s">
        <v>822</v>
      </c>
      <c r="O691" s="17">
        <f t="shared" si="95"/>
        <v>45868</v>
      </c>
      <c r="P691" s="25">
        <f t="shared" si="96"/>
        <v>394</v>
      </c>
      <c r="Q691" t="str">
        <f t="shared" si="97"/>
        <v>90+</v>
      </c>
      <c r="R691" t="str">
        <f t="shared" si="98"/>
        <v>Due</v>
      </c>
    </row>
    <row r="692" spans="1:18" x14ac:dyDescent="0.35">
      <c r="A692" t="s">
        <v>699</v>
      </c>
      <c r="B692" t="s">
        <v>811</v>
      </c>
      <c r="C692" s="9">
        <v>45178</v>
      </c>
      <c r="D692" s="28" t="str">
        <f t="shared" si="90"/>
        <v>Sep 2023</v>
      </c>
      <c r="E692" s="9">
        <v>45208</v>
      </c>
      <c r="F692" t="s">
        <v>814</v>
      </c>
      <c r="G692">
        <v>3328.22</v>
      </c>
      <c r="H692" t="s">
        <v>819</v>
      </c>
      <c r="I692" s="15">
        <f t="shared" si="91"/>
        <v>0</v>
      </c>
      <c r="J692" s="18">
        <f t="shared" si="92"/>
        <v>3328.22</v>
      </c>
      <c r="L692" s="54" t="str">
        <f t="shared" si="93"/>
        <v/>
      </c>
      <c r="M692" s="9" t="str">
        <f t="shared" si="94"/>
        <v/>
      </c>
      <c r="N692" t="s">
        <v>822</v>
      </c>
      <c r="O692" s="17">
        <f t="shared" si="95"/>
        <v>45868</v>
      </c>
      <c r="P692" s="25">
        <f t="shared" si="96"/>
        <v>660</v>
      </c>
      <c r="Q692" t="str">
        <f t="shared" si="97"/>
        <v>90+</v>
      </c>
      <c r="R692" t="str">
        <f t="shared" si="98"/>
        <v>Due</v>
      </c>
    </row>
    <row r="693" spans="1:18" x14ac:dyDescent="0.35">
      <c r="A693" t="s">
        <v>700</v>
      </c>
      <c r="B693" t="s">
        <v>811</v>
      </c>
      <c r="C693" s="9">
        <v>45279</v>
      </c>
      <c r="D693" s="28" t="str">
        <f t="shared" si="90"/>
        <v>Dec 2023</v>
      </c>
      <c r="E693" s="9">
        <v>45309</v>
      </c>
      <c r="F693" t="s">
        <v>815</v>
      </c>
      <c r="G693">
        <v>1548.24</v>
      </c>
      <c r="H693" t="s">
        <v>819</v>
      </c>
      <c r="I693" s="15">
        <f t="shared" si="91"/>
        <v>0</v>
      </c>
      <c r="J693" s="18">
        <f t="shared" si="92"/>
        <v>1548.24</v>
      </c>
      <c r="L693" s="54" t="str">
        <f t="shared" si="93"/>
        <v/>
      </c>
      <c r="M693" s="9" t="str">
        <f t="shared" si="94"/>
        <v/>
      </c>
      <c r="N693" t="s">
        <v>822</v>
      </c>
      <c r="O693" s="17">
        <f t="shared" si="95"/>
        <v>45868</v>
      </c>
      <c r="P693" s="25">
        <f t="shared" si="96"/>
        <v>559</v>
      </c>
      <c r="Q693" t="str">
        <f t="shared" si="97"/>
        <v>90+</v>
      </c>
      <c r="R693" t="str">
        <f t="shared" si="98"/>
        <v>Due</v>
      </c>
    </row>
    <row r="694" spans="1:18" x14ac:dyDescent="0.35">
      <c r="A694" t="s">
        <v>701</v>
      </c>
      <c r="B694" t="s">
        <v>812</v>
      </c>
      <c r="C694" s="9">
        <v>45815</v>
      </c>
      <c r="D694" s="28" t="str">
        <f t="shared" si="90"/>
        <v>Jun 2025</v>
      </c>
      <c r="E694" s="9">
        <v>45845</v>
      </c>
      <c r="F694" t="s">
        <v>814</v>
      </c>
      <c r="G694">
        <v>1224.1199999999999</v>
      </c>
      <c r="H694" t="s">
        <v>821</v>
      </c>
      <c r="I694" s="15">
        <f t="shared" si="91"/>
        <v>1224.1199999999999</v>
      </c>
      <c r="J694" s="18">
        <f t="shared" si="92"/>
        <v>0</v>
      </c>
      <c r="K694" s="9">
        <v>45845</v>
      </c>
      <c r="L694" s="54">
        <f t="shared" si="93"/>
        <v>30</v>
      </c>
      <c r="M694" s="9" t="str">
        <f t="shared" si="94"/>
        <v>2025-Jul</v>
      </c>
      <c r="N694" t="s">
        <v>822</v>
      </c>
      <c r="O694" s="17">
        <f t="shared" si="95"/>
        <v>45868</v>
      </c>
      <c r="P694" s="25">
        <f t="shared" si="96"/>
        <v>0</v>
      </c>
      <c r="Q694" t="str">
        <f t="shared" si="97"/>
        <v>Paid</v>
      </c>
      <c r="R694" t="str">
        <f t="shared" si="98"/>
        <v>Not Due</v>
      </c>
    </row>
    <row r="695" spans="1:18" x14ac:dyDescent="0.35">
      <c r="A695" t="s">
        <v>702</v>
      </c>
      <c r="B695" t="s">
        <v>812</v>
      </c>
      <c r="C695" s="9">
        <v>45006</v>
      </c>
      <c r="D695" s="28" t="str">
        <f t="shared" si="90"/>
        <v>Mar 2023</v>
      </c>
      <c r="E695" s="9">
        <v>45036</v>
      </c>
      <c r="F695" t="s">
        <v>817</v>
      </c>
      <c r="G695">
        <v>212.66</v>
      </c>
      <c r="H695" t="s">
        <v>820</v>
      </c>
      <c r="I695" s="15">
        <f t="shared" si="91"/>
        <v>0</v>
      </c>
      <c r="J695" s="18" t="str">
        <f t="shared" si="92"/>
        <v>N/A</v>
      </c>
      <c r="L695" s="54" t="str">
        <f t="shared" si="93"/>
        <v/>
      </c>
      <c r="M695" s="9" t="str">
        <f t="shared" si="94"/>
        <v/>
      </c>
      <c r="N695" t="s">
        <v>822</v>
      </c>
      <c r="O695" s="17">
        <f t="shared" si="95"/>
        <v>45868</v>
      </c>
      <c r="P695" s="25">
        <f t="shared" si="96"/>
        <v>832</v>
      </c>
      <c r="Q695" t="str">
        <f t="shared" si="97"/>
        <v>90+</v>
      </c>
      <c r="R695" t="str">
        <f t="shared" si="98"/>
        <v>Due</v>
      </c>
    </row>
    <row r="696" spans="1:18" x14ac:dyDescent="0.35">
      <c r="A696" t="s">
        <v>703</v>
      </c>
      <c r="B696" t="s">
        <v>810</v>
      </c>
      <c r="C696" s="9">
        <v>45271</v>
      </c>
      <c r="D696" s="28" t="str">
        <f t="shared" si="90"/>
        <v>Dec 2023</v>
      </c>
      <c r="E696" s="9">
        <v>45301</v>
      </c>
      <c r="F696" t="s">
        <v>814</v>
      </c>
      <c r="G696">
        <v>3085.52</v>
      </c>
      <c r="H696" t="s">
        <v>821</v>
      </c>
      <c r="I696" s="15">
        <f t="shared" si="91"/>
        <v>3085.52</v>
      </c>
      <c r="J696" s="18">
        <f t="shared" si="92"/>
        <v>0</v>
      </c>
      <c r="K696" s="9">
        <v>45301</v>
      </c>
      <c r="L696" s="54">
        <f t="shared" si="93"/>
        <v>30</v>
      </c>
      <c r="M696" s="9" t="str">
        <f t="shared" si="94"/>
        <v>2024-Jan</v>
      </c>
      <c r="N696" t="s">
        <v>822</v>
      </c>
      <c r="O696" s="17">
        <f t="shared" si="95"/>
        <v>45868</v>
      </c>
      <c r="P696" s="25">
        <f t="shared" si="96"/>
        <v>0</v>
      </c>
      <c r="Q696" t="str">
        <f t="shared" si="97"/>
        <v>Paid</v>
      </c>
      <c r="R696" t="str">
        <f t="shared" si="98"/>
        <v>Not Due</v>
      </c>
    </row>
    <row r="697" spans="1:18" x14ac:dyDescent="0.35">
      <c r="A697" t="s">
        <v>704</v>
      </c>
      <c r="B697" t="s">
        <v>809</v>
      </c>
      <c r="C697" s="9">
        <v>45074</v>
      </c>
      <c r="D697" s="28" t="str">
        <f t="shared" si="90"/>
        <v>May 2023</v>
      </c>
      <c r="E697" s="9">
        <v>45104</v>
      </c>
      <c r="F697" t="s">
        <v>816</v>
      </c>
      <c r="G697">
        <v>2751.87</v>
      </c>
      <c r="H697" t="s">
        <v>819</v>
      </c>
      <c r="I697" s="15">
        <f t="shared" si="91"/>
        <v>0</v>
      </c>
      <c r="J697" s="18">
        <f t="shared" si="92"/>
        <v>2751.87</v>
      </c>
      <c r="L697" s="54" t="str">
        <f t="shared" si="93"/>
        <v/>
      </c>
      <c r="M697" s="9" t="str">
        <f t="shared" si="94"/>
        <v/>
      </c>
      <c r="N697" t="s">
        <v>822</v>
      </c>
      <c r="O697" s="17">
        <f t="shared" si="95"/>
        <v>45868</v>
      </c>
      <c r="P697" s="25">
        <f t="shared" si="96"/>
        <v>764</v>
      </c>
      <c r="Q697" t="str">
        <f t="shared" si="97"/>
        <v>90+</v>
      </c>
      <c r="R697" t="str">
        <f t="shared" si="98"/>
        <v>Due</v>
      </c>
    </row>
    <row r="698" spans="1:18" x14ac:dyDescent="0.35">
      <c r="A698" t="s">
        <v>705</v>
      </c>
      <c r="B698" t="s">
        <v>810</v>
      </c>
      <c r="C698" s="9">
        <v>45779</v>
      </c>
      <c r="D698" s="28" t="str">
        <f t="shared" si="90"/>
        <v>May 2025</v>
      </c>
      <c r="E698" s="9">
        <v>45809</v>
      </c>
      <c r="F698" t="s">
        <v>816</v>
      </c>
      <c r="G698">
        <v>2867.73</v>
      </c>
      <c r="H698" t="s">
        <v>821</v>
      </c>
      <c r="I698" s="15">
        <f t="shared" si="91"/>
        <v>2867.73</v>
      </c>
      <c r="J698" s="18">
        <f t="shared" si="92"/>
        <v>0</v>
      </c>
      <c r="K698" s="9">
        <v>45809</v>
      </c>
      <c r="L698" s="54">
        <f t="shared" si="93"/>
        <v>30</v>
      </c>
      <c r="M698" s="9" t="str">
        <f t="shared" si="94"/>
        <v>2025-Jun</v>
      </c>
      <c r="N698" t="s">
        <v>822</v>
      </c>
      <c r="O698" s="17">
        <f t="shared" si="95"/>
        <v>45868</v>
      </c>
      <c r="P698" s="25">
        <f t="shared" si="96"/>
        <v>0</v>
      </c>
      <c r="Q698" t="str">
        <f t="shared" si="97"/>
        <v>Paid</v>
      </c>
      <c r="R698" t="str">
        <f t="shared" si="98"/>
        <v>Not Due</v>
      </c>
    </row>
    <row r="699" spans="1:18" x14ac:dyDescent="0.35">
      <c r="A699" t="s">
        <v>706</v>
      </c>
      <c r="B699" t="s">
        <v>810</v>
      </c>
      <c r="C699" s="9">
        <v>45624</v>
      </c>
      <c r="D699" s="28" t="str">
        <f t="shared" si="90"/>
        <v>Nov 2024</v>
      </c>
      <c r="E699" s="9">
        <v>45654</v>
      </c>
      <c r="F699" t="s">
        <v>815</v>
      </c>
      <c r="G699">
        <v>3422.5</v>
      </c>
      <c r="H699" t="s">
        <v>821</v>
      </c>
      <c r="I699" s="15">
        <f t="shared" si="91"/>
        <v>3422.5</v>
      </c>
      <c r="J699" s="18">
        <f t="shared" si="92"/>
        <v>0</v>
      </c>
      <c r="K699" s="9">
        <v>45654</v>
      </c>
      <c r="L699" s="54">
        <f t="shared" si="93"/>
        <v>30</v>
      </c>
      <c r="M699" s="9" t="str">
        <f t="shared" si="94"/>
        <v>2024-Dec</v>
      </c>
      <c r="N699" t="s">
        <v>822</v>
      </c>
      <c r="O699" s="17">
        <f t="shared" si="95"/>
        <v>45868</v>
      </c>
      <c r="P699" s="25">
        <f t="shared" si="96"/>
        <v>0</v>
      </c>
      <c r="Q699" t="str">
        <f t="shared" si="97"/>
        <v>Paid</v>
      </c>
      <c r="R699" t="str">
        <f t="shared" si="98"/>
        <v>Not Due</v>
      </c>
    </row>
    <row r="700" spans="1:18" x14ac:dyDescent="0.35">
      <c r="A700" t="s">
        <v>707</v>
      </c>
      <c r="B700" t="s">
        <v>813</v>
      </c>
      <c r="C700" s="9">
        <v>45571</v>
      </c>
      <c r="D700" s="28" t="str">
        <f t="shared" si="90"/>
        <v>Oct 2024</v>
      </c>
      <c r="E700" s="9">
        <v>45601</v>
      </c>
      <c r="F700" t="s">
        <v>815</v>
      </c>
      <c r="G700">
        <v>1812.98</v>
      </c>
      <c r="H700" t="s">
        <v>820</v>
      </c>
      <c r="I700" s="15">
        <f t="shared" si="91"/>
        <v>0</v>
      </c>
      <c r="J700" s="18" t="str">
        <f t="shared" si="92"/>
        <v>N/A</v>
      </c>
      <c r="L700" s="54" t="str">
        <f t="shared" si="93"/>
        <v/>
      </c>
      <c r="M700" s="9" t="str">
        <f t="shared" si="94"/>
        <v/>
      </c>
      <c r="N700" t="s">
        <v>822</v>
      </c>
      <c r="O700" s="17">
        <f t="shared" si="95"/>
        <v>45868</v>
      </c>
      <c r="P700" s="25">
        <f t="shared" si="96"/>
        <v>267</v>
      </c>
      <c r="Q700" t="str">
        <f t="shared" si="97"/>
        <v>90+</v>
      </c>
      <c r="R700" t="str">
        <f t="shared" si="98"/>
        <v>Due</v>
      </c>
    </row>
    <row r="701" spans="1:18" x14ac:dyDescent="0.35">
      <c r="A701" t="s">
        <v>708</v>
      </c>
      <c r="B701" t="s">
        <v>810</v>
      </c>
      <c r="C701" s="9">
        <v>45459</v>
      </c>
      <c r="D701" s="28" t="str">
        <f t="shared" si="90"/>
        <v>Jun 2024</v>
      </c>
      <c r="E701" s="9">
        <v>45489</v>
      </c>
      <c r="F701" t="s">
        <v>817</v>
      </c>
      <c r="G701">
        <v>1198.06</v>
      </c>
      <c r="H701" t="s">
        <v>819</v>
      </c>
      <c r="I701" s="15">
        <f t="shared" si="91"/>
        <v>0</v>
      </c>
      <c r="J701" s="18">
        <f t="shared" si="92"/>
        <v>1198.06</v>
      </c>
      <c r="L701" s="54" t="str">
        <f t="shared" si="93"/>
        <v/>
      </c>
      <c r="M701" s="9" t="str">
        <f t="shared" si="94"/>
        <v/>
      </c>
      <c r="N701" t="s">
        <v>822</v>
      </c>
      <c r="O701" s="17">
        <f t="shared" si="95"/>
        <v>45868</v>
      </c>
      <c r="P701" s="25">
        <f t="shared" si="96"/>
        <v>379</v>
      </c>
      <c r="Q701" t="str">
        <f t="shared" si="97"/>
        <v>90+</v>
      </c>
      <c r="R701" t="str">
        <f t="shared" si="98"/>
        <v>Due</v>
      </c>
    </row>
    <row r="702" spans="1:18" x14ac:dyDescent="0.35">
      <c r="A702" t="s">
        <v>709</v>
      </c>
      <c r="B702" t="s">
        <v>811</v>
      </c>
      <c r="C702" s="9">
        <v>45627</v>
      </c>
      <c r="D702" s="28" t="str">
        <f t="shared" si="90"/>
        <v>Dec 2024</v>
      </c>
      <c r="E702" s="9">
        <v>45657</v>
      </c>
      <c r="F702" t="s">
        <v>817</v>
      </c>
      <c r="G702">
        <v>4648.54</v>
      </c>
      <c r="H702" t="s">
        <v>820</v>
      </c>
      <c r="I702" s="15">
        <f t="shared" si="91"/>
        <v>0</v>
      </c>
      <c r="J702" s="18" t="str">
        <f t="shared" si="92"/>
        <v>N/A</v>
      </c>
      <c r="L702" s="54" t="str">
        <f t="shared" si="93"/>
        <v/>
      </c>
      <c r="M702" s="9" t="str">
        <f t="shared" si="94"/>
        <v/>
      </c>
      <c r="N702" t="s">
        <v>822</v>
      </c>
      <c r="O702" s="17">
        <f t="shared" si="95"/>
        <v>45868</v>
      </c>
      <c r="P702" s="25">
        <f t="shared" si="96"/>
        <v>211</v>
      </c>
      <c r="Q702" t="str">
        <f t="shared" si="97"/>
        <v>90+</v>
      </c>
      <c r="R702" t="str">
        <f t="shared" si="98"/>
        <v>Due</v>
      </c>
    </row>
    <row r="703" spans="1:18" x14ac:dyDescent="0.35">
      <c r="A703" t="s">
        <v>710</v>
      </c>
      <c r="B703" t="s">
        <v>812</v>
      </c>
      <c r="C703" s="9">
        <v>45391</v>
      </c>
      <c r="D703" s="28" t="str">
        <f t="shared" si="90"/>
        <v>Apr 2024</v>
      </c>
      <c r="E703" s="9">
        <v>45421</v>
      </c>
      <c r="F703" t="s">
        <v>817</v>
      </c>
      <c r="G703">
        <v>1123.9000000000001</v>
      </c>
      <c r="H703" t="s">
        <v>819</v>
      </c>
      <c r="I703" s="15">
        <f t="shared" si="91"/>
        <v>0</v>
      </c>
      <c r="J703" s="18">
        <f t="shared" si="92"/>
        <v>1123.9000000000001</v>
      </c>
      <c r="L703" s="54" t="str">
        <f t="shared" si="93"/>
        <v/>
      </c>
      <c r="M703" s="9" t="str">
        <f t="shared" si="94"/>
        <v/>
      </c>
      <c r="N703" t="s">
        <v>822</v>
      </c>
      <c r="O703" s="17">
        <f t="shared" si="95"/>
        <v>45868</v>
      </c>
      <c r="P703" s="25">
        <f t="shared" si="96"/>
        <v>447</v>
      </c>
      <c r="Q703" t="str">
        <f t="shared" si="97"/>
        <v>90+</v>
      </c>
      <c r="R703" t="str">
        <f t="shared" si="98"/>
        <v>Due</v>
      </c>
    </row>
    <row r="704" spans="1:18" x14ac:dyDescent="0.35">
      <c r="A704" t="s">
        <v>711</v>
      </c>
      <c r="B704" t="s">
        <v>809</v>
      </c>
      <c r="C704" s="9">
        <v>45271</v>
      </c>
      <c r="D704" s="28" t="str">
        <f t="shared" si="90"/>
        <v>Dec 2023</v>
      </c>
      <c r="E704" s="9">
        <v>45301</v>
      </c>
      <c r="F704" t="s">
        <v>817</v>
      </c>
      <c r="G704">
        <v>137.11000000000001</v>
      </c>
      <c r="H704" t="s">
        <v>820</v>
      </c>
      <c r="I704" s="15">
        <f t="shared" si="91"/>
        <v>0</v>
      </c>
      <c r="J704" s="18" t="str">
        <f t="shared" si="92"/>
        <v>N/A</v>
      </c>
      <c r="L704" s="54" t="str">
        <f t="shared" si="93"/>
        <v/>
      </c>
      <c r="M704" s="9" t="str">
        <f t="shared" si="94"/>
        <v/>
      </c>
      <c r="N704" t="s">
        <v>822</v>
      </c>
      <c r="O704" s="17">
        <f t="shared" si="95"/>
        <v>45868</v>
      </c>
      <c r="P704" s="25">
        <f t="shared" si="96"/>
        <v>567</v>
      </c>
      <c r="Q704" t="str">
        <f t="shared" si="97"/>
        <v>90+</v>
      </c>
      <c r="R704" t="str">
        <f t="shared" si="98"/>
        <v>Due</v>
      </c>
    </row>
    <row r="705" spans="1:18" x14ac:dyDescent="0.35">
      <c r="A705" t="s">
        <v>712</v>
      </c>
      <c r="B705" t="s">
        <v>809</v>
      </c>
      <c r="C705" s="9">
        <v>45445</v>
      </c>
      <c r="D705" s="28" t="str">
        <f t="shared" si="90"/>
        <v>Jun 2024</v>
      </c>
      <c r="E705" s="9">
        <v>45475</v>
      </c>
      <c r="F705" t="s">
        <v>814</v>
      </c>
      <c r="G705">
        <v>2125.02</v>
      </c>
      <c r="H705" t="s">
        <v>821</v>
      </c>
      <c r="I705" s="15">
        <f t="shared" si="91"/>
        <v>2125.02</v>
      </c>
      <c r="J705" s="18">
        <f t="shared" si="92"/>
        <v>0</v>
      </c>
      <c r="K705" s="9">
        <v>45475</v>
      </c>
      <c r="L705" s="54">
        <f t="shared" si="93"/>
        <v>30</v>
      </c>
      <c r="M705" s="9" t="str">
        <f t="shared" si="94"/>
        <v>2024-Jul</v>
      </c>
      <c r="N705" t="s">
        <v>822</v>
      </c>
      <c r="O705" s="17">
        <f t="shared" si="95"/>
        <v>45868</v>
      </c>
      <c r="P705" s="25">
        <f t="shared" si="96"/>
        <v>0</v>
      </c>
      <c r="Q705" t="str">
        <f t="shared" si="97"/>
        <v>Paid</v>
      </c>
      <c r="R705" t="str">
        <f t="shared" si="98"/>
        <v>Not Due</v>
      </c>
    </row>
    <row r="706" spans="1:18" x14ac:dyDescent="0.35">
      <c r="A706" t="s">
        <v>713</v>
      </c>
      <c r="B706" t="s">
        <v>812</v>
      </c>
      <c r="C706" s="9">
        <v>45079</v>
      </c>
      <c r="D706" s="28" t="str">
        <f t="shared" si="90"/>
        <v>Jun 2023</v>
      </c>
      <c r="E706" s="9">
        <v>45109</v>
      </c>
      <c r="F706" t="s">
        <v>816</v>
      </c>
      <c r="G706">
        <v>5322.12</v>
      </c>
      <c r="H706" t="s">
        <v>820</v>
      </c>
      <c r="I706" s="15">
        <f t="shared" si="91"/>
        <v>0</v>
      </c>
      <c r="J706" s="18" t="str">
        <f t="shared" si="92"/>
        <v>N/A</v>
      </c>
      <c r="L706" s="54" t="str">
        <f t="shared" si="93"/>
        <v/>
      </c>
      <c r="M706" s="9" t="str">
        <f t="shared" si="94"/>
        <v/>
      </c>
      <c r="N706" t="s">
        <v>822</v>
      </c>
      <c r="O706" s="17">
        <f t="shared" si="95"/>
        <v>45868</v>
      </c>
      <c r="P706" s="25">
        <f t="shared" si="96"/>
        <v>759</v>
      </c>
      <c r="Q706" t="str">
        <f t="shared" si="97"/>
        <v>90+</v>
      </c>
      <c r="R706" t="str">
        <f t="shared" si="98"/>
        <v>Due</v>
      </c>
    </row>
    <row r="707" spans="1:18" x14ac:dyDescent="0.35">
      <c r="A707" t="s">
        <v>714</v>
      </c>
      <c r="B707" t="s">
        <v>811</v>
      </c>
      <c r="C707" s="9">
        <v>45091</v>
      </c>
      <c r="D707" s="28" t="str">
        <f t="shared" ref="D707:D770" si="99">TEXT(C707,"MMM YYYY")</f>
        <v>Jun 2023</v>
      </c>
      <c r="E707" s="9">
        <v>45121</v>
      </c>
      <c r="F707" t="s">
        <v>818</v>
      </c>
      <c r="G707">
        <v>3417.78</v>
      </c>
      <c r="H707" t="s">
        <v>820</v>
      </c>
      <c r="I707" s="15">
        <f t="shared" ref="I707:I770" si="100">IF(H707="Paid",G707,0)</f>
        <v>0</v>
      </c>
      <c r="J707" s="18" t="str">
        <f t="shared" ref="J707:J770" si="101">IF(H707="Open",G707,IF(H707="Paid",0,"N/A"))</f>
        <v>N/A</v>
      </c>
      <c r="L707" s="54" t="str">
        <f t="shared" ref="L707:L770" si="102">IF(H707="Paid",K707-C707,"")</f>
        <v/>
      </c>
      <c r="M707" s="9" t="str">
        <f t="shared" ref="M707:M770" si="103">IF(K707="","",TEXT(K707, "YYYY-MMM"))</f>
        <v/>
      </c>
      <c r="N707" t="s">
        <v>822</v>
      </c>
      <c r="O707" s="17">
        <f t="shared" ref="O707:O770" si="104">MAX(MAX($C$2:$C$801), MAX($E$2:$E$801))</f>
        <v>45868</v>
      </c>
      <c r="P707" s="25">
        <f t="shared" ref="P707:P770" si="105">IF(K707="", O707-E707,0)</f>
        <v>747</v>
      </c>
      <c r="Q707" t="str">
        <f t="shared" ref="Q707:Q770" si="106">IF(H707="Paid","Paid",
   IF(P707&lt;=0,"Current",
      IF(P707&lt;=30,"1-30",
         IF(P707&lt;=60,"31-60",
            IF(P707&lt;=90,"61-90","90+")))))</f>
        <v>90+</v>
      </c>
      <c r="R707" t="str">
        <f t="shared" ref="R707:R770" si="107">IF(P707=0, "Not Due","Due")</f>
        <v>Due</v>
      </c>
    </row>
    <row r="708" spans="1:18" x14ac:dyDescent="0.35">
      <c r="A708" t="s">
        <v>715</v>
      </c>
      <c r="B708" t="s">
        <v>813</v>
      </c>
      <c r="C708" s="9">
        <v>45770</v>
      </c>
      <c r="D708" s="28" t="str">
        <f t="shared" si="99"/>
        <v>Apr 2025</v>
      </c>
      <c r="E708" s="9">
        <v>45800</v>
      </c>
      <c r="F708" t="s">
        <v>814</v>
      </c>
      <c r="G708">
        <v>3050.95</v>
      </c>
      <c r="H708" t="s">
        <v>819</v>
      </c>
      <c r="I708" s="15">
        <f t="shared" si="100"/>
        <v>0</v>
      </c>
      <c r="J708" s="18">
        <f t="shared" si="101"/>
        <v>3050.95</v>
      </c>
      <c r="L708" s="54" t="str">
        <f t="shared" si="102"/>
        <v/>
      </c>
      <c r="M708" s="9" t="str">
        <f t="shared" si="103"/>
        <v/>
      </c>
      <c r="N708" t="s">
        <v>822</v>
      </c>
      <c r="O708" s="17">
        <f t="shared" si="104"/>
        <v>45868</v>
      </c>
      <c r="P708" s="25">
        <f t="shared" si="105"/>
        <v>68</v>
      </c>
      <c r="Q708" t="str">
        <f t="shared" si="106"/>
        <v>61-90</v>
      </c>
      <c r="R708" t="str">
        <f t="shared" si="107"/>
        <v>Due</v>
      </c>
    </row>
    <row r="709" spans="1:18" x14ac:dyDescent="0.35">
      <c r="A709" t="s">
        <v>716</v>
      </c>
      <c r="B709" t="s">
        <v>810</v>
      </c>
      <c r="C709" s="9">
        <v>44990</v>
      </c>
      <c r="D709" s="28" t="str">
        <f t="shared" si="99"/>
        <v>Mar 2023</v>
      </c>
      <c r="E709" s="9">
        <v>45020</v>
      </c>
      <c r="F709" t="s">
        <v>818</v>
      </c>
      <c r="G709">
        <v>2186.4899999999998</v>
      </c>
      <c r="H709" t="s">
        <v>819</v>
      </c>
      <c r="I709" s="15">
        <f t="shared" si="100"/>
        <v>0</v>
      </c>
      <c r="J709" s="18">
        <f t="shared" si="101"/>
        <v>2186.4899999999998</v>
      </c>
      <c r="L709" s="54" t="str">
        <f t="shared" si="102"/>
        <v/>
      </c>
      <c r="M709" s="9" t="str">
        <f t="shared" si="103"/>
        <v/>
      </c>
      <c r="N709" t="s">
        <v>822</v>
      </c>
      <c r="O709" s="17">
        <f t="shared" si="104"/>
        <v>45868</v>
      </c>
      <c r="P709" s="25">
        <f t="shared" si="105"/>
        <v>848</v>
      </c>
      <c r="Q709" t="str">
        <f t="shared" si="106"/>
        <v>90+</v>
      </c>
      <c r="R709" t="str">
        <f t="shared" si="107"/>
        <v>Due</v>
      </c>
    </row>
    <row r="710" spans="1:18" x14ac:dyDescent="0.35">
      <c r="A710" t="s">
        <v>717</v>
      </c>
      <c r="B710" t="s">
        <v>810</v>
      </c>
      <c r="C710" s="9">
        <v>45275</v>
      </c>
      <c r="D710" s="28" t="str">
        <f t="shared" si="99"/>
        <v>Dec 2023</v>
      </c>
      <c r="E710" s="9">
        <v>45305</v>
      </c>
      <c r="F710" t="s">
        <v>814</v>
      </c>
      <c r="G710">
        <v>1525.22</v>
      </c>
      <c r="H710" t="s">
        <v>821</v>
      </c>
      <c r="I710" s="15">
        <f t="shared" si="100"/>
        <v>1525.22</v>
      </c>
      <c r="J710" s="18">
        <f t="shared" si="101"/>
        <v>0</v>
      </c>
      <c r="K710" s="9">
        <v>45305</v>
      </c>
      <c r="L710" s="54">
        <f t="shared" si="102"/>
        <v>30</v>
      </c>
      <c r="M710" s="9" t="str">
        <f t="shared" si="103"/>
        <v>2024-Jan</v>
      </c>
      <c r="N710" t="s">
        <v>822</v>
      </c>
      <c r="O710" s="17">
        <f t="shared" si="104"/>
        <v>45868</v>
      </c>
      <c r="P710" s="25">
        <f t="shared" si="105"/>
        <v>0</v>
      </c>
      <c r="Q710" t="str">
        <f t="shared" si="106"/>
        <v>Paid</v>
      </c>
      <c r="R710" t="str">
        <f t="shared" si="107"/>
        <v>Not Due</v>
      </c>
    </row>
    <row r="711" spans="1:18" x14ac:dyDescent="0.35">
      <c r="A711" t="s">
        <v>718</v>
      </c>
      <c r="B711" t="s">
        <v>811</v>
      </c>
      <c r="C711" s="9">
        <v>45028</v>
      </c>
      <c r="D711" s="28" t="str">
        <f t="shared" si="99"/>
        <v>Apr 2023</v>
      </c>
      <c r="E711" s="9">
        <v>45058</v>
      </c>
      <c r="F711" t="s">
        <v>816</v>
      </c>
      <c r="G711">
        <v>4813.5600000000004</v>
      </c>
      <c r="H711" t="s">
        <v>821</v>
      </c>
      <c r="I711" s="15">
        <f t="shared" si="100"/>
        <v>4813.5600000000004</v>
      </c>
      <c r="J711" s="18">
        <f t="shared" si="101"/>
        <v>0</v>
      </c>
      <c r="K711" s="9">
        <v>45058</v>
      </c>
      <c r="L711" s="54">
        <f t="shared" si="102"/>
        <v>30</v>
      </c>
      <c r="M711" s="9" t="str">
        <f t="shared" si="103"/>
        <v>2023-May</v>
      </c>
      <c r="N711" t="s">
        <v>822</v>
      </c>
      <c r="O711" s="17">
        <f t="shared" si="104"/>
        <v>45868</v>
      </c>
      <c r="P711" s="25">
        <f t="shared" si="105"/>
        <v>0</v>
      </c>
      <c r="Q711" t="str">
        <f t="shared" si="106"/>
        <v>Paid</v>
      </c>
      <c r="R711" t="str">
        <f t="shared" si="107"/>
        <v>Not Due</v>
      </c>
    </row>
    <row r="712" spans="1:18" x14ac:dyDescent="0.35">
      <c r="A712" t="s">
        <v>719</v>
      </c>
      <c r="B712" t="s">
        <v>809</v>
      </c>
      <c r="C712" s="9">
        <v>44986</v>
      </c>
      <c r="D712" s="28" t="str">
        <f t="shared" si="99"/>
        <v>Mar 2023</v>
      </c>
      <c r="E712" s="9">
        <v>45016</v>
      </c>
      <c r="F712" t="s">
        <v>818</v>
      </c>
      <c r="G712">
        <v>1285.3800000000001</v>
      </c>
      <c r="H712" t="s">
        <v>820</v>
      </c>
      <c r="I712" s="15">
        <f t="shared" si="100"/>
        <v>0</v>
      </c>
      <c r="J712" s="18" t="str">
        <f t="shared" si="101"/>
        <v>N/A</v>
      </c>
      <c r="L712" s="54" t="str">
        <f t="shared" si="102"/>
        <v/>
      </c>
      <c r="M712" s="9" t="str">
        <f t="shared" si="103"/>
        <v/>
      </c>
      <c r="N712" t="s">
        <v>822</v>
      </c>
      <c r="O712" s="17">
        <f t="shared" si="104"/>
        <v>45868</v>
      </c>
      <c r="P712" s="25">
        <f t="shared" si="105"/>
        <v>852</v>
      </c>
      <c r="Q712" t="str">
        <f t="shared" si="106"/>
        <v>90+</v>
      </c>
      <c r="R712" t="str">
        <f t="shared" si="107"/>
        <v>Due</v>
      </c>
    </row>
    <row r="713" spans="1:18" x14ac:dyDescent="0.35">
      <c r="A713" t="s">
        <v>720</v>
      </c>
      <c r="B713" t="s">
        <v>810</v>
      </c>
      <c r="C713" s="9">
        <v>45158</v>
      </c>
      <c r="D713" s="28" t="str">
        <f t="shared" si="99"/>
        <v>Aug 2023</v>
      </c>
      <c r="E713" s="9">
        <v>45188</v>
      </c>
      <c r="F713" t="s">
        <v>815</v>
      </c>
      <c r="G713">
        <v>2151.46</v>
      </c>
      <c r="H713" t="s">
        <v>821</v>
      </c>
      <c r="I713" s="15">
        <f t="shared" si="100"/>
        <v>2151.46</v>
      </c>
      <c r="J713" s="18">
        <f t="shared" si="101"/>
        <v>0</v>
      </c>
      <c r="K713" s="9">
        <v>45188</v>
      </c>
      <c r="L713" s="54">
        <f t="shared" si="102"/>
        <v>30</v>
      </c>
      <c r="M713" s="9" t="str">
        <f t="shared" si="103"/>
        <v>2023-Sep</v>
      </c>
      <c r="N713" t="s">
        <v>822</v>
      </c>
      <c r="O713" s="17">
        <f t="shared" si="104"/>
        <v>45868</v>
      </c>
      <c r="P713" s="25">
        <f t="shared" si="105"/>
        <v>0</v>
      </c>
      <c r="Q713" t="str">
        <f t="shared" si="106"/>
        <v>Paid</v>
      </c>
      <c r="R713" t="str">
        <f t="shared" si="107"/>
        <v>Not Due</v>
      </c>
    </row>
    <row r="714" spans="1:18" x14ac:dyDescent="0.35">
      <c r="A714" t="s">
        <v>721</v>
      </c>
      <c r="B714" t="s">
        <v>812</v>
      </c>
      <c r="C714" s="9">
        <v>45154</v>
      </c>
      <c r="D714" s="28" t="str">
        <f t="shared" si="99"/>
        <v>Aug 2023</v>
      </c>
      <c r="E714" s="9">
        <v>45184</v>
      </c>
      <c r="F714" t="s">
        <v>816</v>
      </c>
      <c r="G714">
        <v>5287.42</v>
      </c>
      <c r="H714" t="s">
        <v>820</v>
      </c>
      <c r="I714" s="15">
        <f t="shared" si="100"/>
        <v>0</v>
      </c>
      <c r="J714" s="18" t="str">
        <f t="shared" si="101"/>
        <v>N/A</v>
      </c>
      <c r="L714" s="54" t="str">
        <f t="shared" si="102"/>
        <v/>
      </c>
      <c r="M714" s="9" t="str">
        <f t="shared" si="103"/>
        <v/>
      </c>
      <c r="N714" t="s">
        <v>822</v>
      </c>
      <c r="O714" s="17">
        <f t="shared" si="104"/>
        <v>45868</v>
      </c>
      <c r="P714" s="25">
        <f t="shared" si="105"/>
        <v>684</v>
      </c>
      <c r="Q714" t="str">
        <f t="shared" si="106"/>
        <v>90+</v>
      </c>
      <c r="R714" t="str">
        <f t="shared" si="107"/>
        <v>Due</v>
      </c>
    </row>
    <row r="715" spans="1:18" x14ac:dyDescent="0.35">
      <c r="A715" t="s">
        <v>722</v>
      </c>
      <c r="B715" t="s">
        <v>810</v>
      </c>
      <c r="C715" s="9">
        <v>45698</v>
      </c>
      <c r="D715" s="28" t="str">
        <f t="shared" si="99"/>
        <v>Feb 2025</v>
      </c>
      <c r="E715" s="9">
        <v>45728</v>
      </c>
      <c r="F715" t="s">
        <v>817</v>
      </c>
      <c r="G715">
        <v>4674.42</v>
      </c>
      <c r="H715" t="s">
        <v>821</v>
      </c>
      <c r="I715" s="15">
        <f t="shared" si="100"/>
        <v>4674.42</v>
      </c>
      <c r="J715" s="18">
        <f t="shared" si="101"/>
        <v>0</v>
      </c>
      <c r="K715" s="9">
        <v>45728</v>
      </c>
      <c r="L715" s="54">
        <f t="shared" si="102"/>
        <v>30</v>
      </c>
      <c r="M715" s="9" t="str">
        <f t="shared" si="103"/>
        <v>2025-Mar</v>
      </c>
      <c r="N715" t="s">
        <v>822</v>
      </c>
      <c r="O715" s="17">
        <f t="shared" si="104"/>
        <v>45868</v>
      </c>
      <c r="P715" s="25">
        <f t="shared" si="105"/>
        <v>0</v>
      </c>
      <c r="Q715" t="str">
        <f t="shared" si="106"/>
        <v>Paid</v>
      </c>
      <c r="R715" t="str">
        <f t="shared" si="107"/>
        <v>Not Due</v>
      </c>
    </row>
    <row r="716" spans="1:18" x14ac:dyDescent="0.35">
      <c r="A716" t="s">
        <v>723</v>
      </c>
      <c r="B716" t="s">
        <v>809</v>
      </c>
      <c r="C716" s="9">
        <v>45464</v>
      </c>
      <c r="D716" s="28" t="str">
        <f t="shared" si="99"/>
        <v>Jun 2024</v>
      </c>
      <c r="E716" s="9">
        <v>45494</v>
      </c>
      <c r="F716" t="s">
        <v>816</v>
      </c>
      <c r="G716">
        <v>3221.32</v>
      </c>
      <c r="H716" t="s">
        <v>820</v>
      </c>
      <c r="I716" s="15">
        <f t="shared" si="100"/>
        <v>0</v>
      </c>
      <c r="J716" s="18" t="str">
        <f t="shared" si="101"/>
        <v>N/A</v>
      </c>
      <c r="L716" s="54" t="str">
        <f t="shared" si="102"/>
        <v/>
      </c>
      <c r="M716" s="9" t="str">
        <f t="shared" si="103"/>
        <v/>
      </c>
      <c r="N716" t="s">
        <v>822</v>
      </c>
      <c r="O716" s="17">
        <f t="shared" si="104"/>
        <v>45868</v>
      </c>
      <c r="P716" s="25">
        <f t="shared" si="105"/>
        <v>374</v>
      </c>
      <c r="Q716" t="str">
        <f t="shared" si="106"/>
        <v>90+</v>
      </c>
      <c r="R716" t="str">
        <f t="shared" si="107"/>
        <v>Due</v>
      </c>
    </row>
    <row r="717" spans="1:18" x14ac:dyDescent="0.35">
      <c r="A717" t="s">
        <v>724</v>
      </c>
      <c r="B717" t="s">
        <v>809</v>
      </c>
      <c r="C717" s="9">
        <v>45168</v>
      </c>
      <c r="D717" s="28" t="str">
        <f t="shared" si="99"/>
        <v>Aug 2023</v>
      </c>
      <c r="E717" s="9">
        <v>45198</v>
      </c>
      <c r="F717" t="s">
        <v>818</v>
      </c>
      <c r="G717">
        <v>2067.4699999999998</v>
      </c>
      <c r="H717" t="s">
        <v>820</v>
      </c>
      <c r="I717" s="15">
        <f t="shared" si="100"/>
        <v>0</v>
      </c>
      <c r="J717" s="18" t="str">
        <f t="shared" si="101"/>
        <v>N/A</v>
      </c>
      <c r="L717" s="54" t="str">
        <f t="shared" si="102"/>
        <v/>
      </c>
      <c r="M717" s="9" t="str">
        <f t="shared" si="103"/>
        <v/>
      </c>
      <c r="N717" t="s">
        <v>822</v>
      </c>
      <c r="O717" s="17">
        <f t="shared" si="104"/>
        <v>45868</v>
      </c>
      <c r="P717" s="25">
        <f t="shared" si="105"/>
        <v>670</v>
      </c>
      <c r="Q717" t="str">
        <f t="shared" si="106"/>
        <v>90+</v>
      </c>
      <c r="R717" t="str">
        <f t="shared" si="107"/>
        <v>Due</v>
      </c>
    </row>
    <row r="718" spans="1:18" x14ac:dyDescent="0.35">
      <c r="A718" t="s">
        <v>725</v>
      </c>
      <c r="B718" t="s">
        <v>813</v>
      </c>
      <c r="C718" s="9">
        <v>45246</v>
      </c>
      <c r="D718" s="28" t="str">
        <f t="shared" si="99"/>
        <v>Nov 2023</v>
      </c>
      <c r="E718" s="9">
        <v>45276</v>
      </c>
      <c r="F718" t="s">
        <v>815</v>
      </c>
      <c r="G718">
        <v>1346.65</v>
      </c>
      <c r="H718" t="s">
        <v>820</v>
      </c>
      <c r="I718" s="15">
        <f t="shared" si="100"/>
        <v>0</v>
      </c>
      <c r="J718" s="18" t="str">
        <f t="shared" si="101"/>
        <v>N/A</v>
      </c>
      <c r="L718" s="54" t="str">
        <f t="shared" si="102"/>
        <v/>
      </c>
      <c r="M718" s="9" t="str">
        <f t="shared" si="103"/>
        <v/>
      </c>
      <c r="N718" t="s">
        <v>822</v>
      </c>
      <c r="O718" s="17">
        <f t="shared" si="104"/>
        <v>45868</v>
      </c>
      <c r="P718" s="25">
        <f t="shared" si="105"/>
        <v>592</v>
      </c>
      <c r="Q718" t="str">
        <f t="shared" si="106"/>
        <v>90+</v>
      </c>
      <c r="R718" t="str">
        <f t="shared" si="107"/>
        <v>Due</v>
      </c>
    </row>
    <row r="719" spans="1:18" x14ac:dyDescent="0.35">
      <c r="A719" t="s">
        <v>726</v>
      </c>
      <c r="B719" t="s">
        <v>810</v>
      </c>
      <c r="C719" s="9">
        <v>45005</v>
      </c>
      <c r="D719" s="28" t="str">
        <f t="shared" si="99"/>
        <v>Mar 2023</v>
      </c>
      <c r="E719" s="9">
        <v>45035</v>
      </c>
      <c r="F719" t="s">
        <v>818</v>
      </c>
      <c r="G719">
        <v>1838.7</v>
      </c>
      <c r="H719" t="s">
        <v>821</v>
      </c>
      <c r="I719" s="15">
        <f t="shared" si="100"/>
        <v>1838.7</v>
      </c>
      <c r="J719" s="18">
        <f t="shared" si="101"/>
        <v>0</v>
      </c>
      <c r="K719" s="9">
        <v>45035</v>
      </c>
      <c r="L719" s="54">
        <f t="shared" si="102"/>
        <v>30</v>
      </c>
      <c r="M719" s="9" t="str">
        <f t="shared" si="103"/>
        <v>2023-Apr</v>
      </c>
      <c r="N719" t="s">
        <v>822</v>
      </c>
      <c r="O719" s="17">
        <f t="shared" si="104"/>
        <v>45868</v>
      </c>
      <c r="P719" s="25">
        <f t="shared" si="105"/>
        <v>0</v>
      </c>
      <c r="Q719" t="str">
        <f t="shared" si="106"/>
        <v>Paid</v>
      </c>
      <c r="R719" t="str">
        <f t="shared" si="107"/>
        <v>Not Due</v>
      </c>
    </row>
    <row r="720" spans="1:18" x14ac:dyDescent="0.35">
      <c r="A720" t="s">
        <v>727</v>
      </c>
      <c r="B720" t="s">
        <v>809</v>
      </c>
      <c r="C720" s="9">
        <v>45615</v>
      </c>
      <c r="D720" s="28" t="str">
        <f t="shared" si="99"/>
        <v>Nov 2024</v>
      </c>
      <c r="E720" s="9">
        <v>45645</v>
      </c>
      <c r="F720" t="s">
        <v>816</v>
      </c>
      <c r="G720">
        <v>5905.43</v>
      </c>
      <c r="H720" t="s">
        <v>821</v>
      </c>
      <c r="I720" s="15">
        <f t="shared" si="100"/>
        <v>5905.43</v>
      </c>
      <c r="J720" s="18">
        <f t="shared" si="101"/>
        <v>0</v>
      </c>
      <c r="K720" s="9">
        <v>45645</v>
      </c>
      <c r="L720" s="54">
        <f t="shared" si="102"/>
        <v>30</v>
      </c>
      <c r="M720" s="9" t="str">
        <f t="shared" si="103"/>
        <v>2024-Dec</v>
      </c>
      <c r="N720" t="s">
        <v>822</v>
      </c>
      <c r="O720" s="17">
        <f t="shared" si="104"/>
        <v>45868</v>
      </c>
      <c r="P720" s="25">
        <f t="shared" si="105"/>
        <v>0</v>
      </c>
      <c r="Q720" t="str">
        <f t="shared" si="106"/>
        <v>Paid</v>
      </c>
      <c r="R720" t="str">
        <f t="shared" si="107"/>
        <v>Not Due</v>
      </c>
    </row>
    <row r="721" spans="1:18" x14ac:dyDescent="0.35">
      <c r="A721" t="s">
        <v>728</v>
      </c>
      <c r="B721" t="s">
        <v>809</v>
      </c>
      <c r="C721" s="9">
        <v>45336</v>
      </c>
      <c r="D721" s="28" t="str">
        <f t="shared" si="99"/>
        <v>Feb 2024</v>
      </c>
      <c r="E721" s="9">
        <v>45366</v>
      </c>
      <c r="F721" t="s">
        <v>816</v>
      </c>
      <c r="G721">
        <v>5297.17</v>
      </c>
      <c r="H721" t="s">
        <v>821</v>
      </c>
      <c r="I721" s="15">
        <f t="shared" si="100"/>
        <v>5297.17</v>
      </c>
      <c r="J721" s="18">
        <f t="shared" si="101"/>
        <v>0</v>
      </c>
      <c r="K721" s="9">
        <v>45366</v>
      </c>
      <c r="L721" s="54">
        <f t="shared" si="102"/>
        <v>30</v>
      </c>
      <c r="M721" s="9" t="str">
        <f t="shared" si="103"/>
        <v>2024-Mar</v>
      </c>
      <c r="N721" t="s">
        <v>822</v>
      </c>
      <c r="O721" s="17">
        <f t="shared" si="104"/>
        <v>45868</v>
      </c>
      <c r="P721" s="25">
        <f t="shared" si="105"/>
        <v>0</v>
      </c>
      <c r="Q721" t="str">
        <f t="shared" si="106"/>
        <v>Paid</v>
      </c>
      <c r="R721" t="str">
        <f t="shared" si="107"/>
        <v>Not Due</v>
      </c>
    </row>
    <row r="722" spans="1:18" x14ac:dyDescent="0.35">
      <c r="A722" t="s">
        <v>729</v>
      </c>
      <c r="B722" t="s">
        <v>813</v>
      </c>
      <c r="C722" s="9">
        <v>45484</v>
      </c>
      <c r="D722" s="28" t="str">
        <f t="shared" si="99"/>
        <v>Jul 2024</v>
      </c>
      <c r="E722" s="9">
        <v>45514</v>
      </c>
      <c r="F722" t="s">
        <v>814</v>
      </c>
      <c r="G722">
        <v>5548.55</v>
      </c>
      <c r="H722" t="s">
        <v>819</v>
      </c>
      <c r="I722" s="15">
        <f t="shared" si="100"/>
        <v>0</v>
      </c>
      <c r="J722" s="18">
        <f t="shared" si="101"/>
        <v>5548.55</v>
      </c>
      <c r="L722" s="54" t="str">
        <f t="shared" si="102"/>
        <v/>
      </c>
      <c r="M722" s="9" t="str">
        <f t="shared" si="103"/>
        <v/>
      </c>
      <c r="N722" t="s">
        <v>822</v>
      </c>
      <c r="O722" s="17">
        <f t="shared" si="104"/>
        <v>45868</v>
      </c>
      <c r="P722" s="25">
        <f t="shared" si="105"/>
        <v>354</v>
      </c>
      <c r="Q722" t="str">
        <f t="shared" si="106"/>
        <v>90+</v>
      </c>
      <c r="R722" t="str">
        <f t="shared" si="107"/>
        <v>Due</v>
      </c>
    </row>
    <row r="723" spans="1:18" x14ac:dyDescent="0.35">
      <c r="A723" t="s">
        <v>730</v>
      </c>
      <c r="B723" t="s">
        <v>811</v>
      </c>
      <c r="C723" s="9">
        <v>45487</v>
      </c>
      <c r="D723" s="28" t="str">
        <f t="shared" si="99"/>
        <v>Jul 2024</v>
      </c>
      <c r="E723" s="9">
        <v>45517</v>
      </c>
      <c r="F723" t="s">
        <v>814</v>
      </c>
      <c r="G723">
        <v>2322.38</v>
      </c>
      <c r="H723" t="s">
        <v>819</v>
      </c>
      <c r="I723" s="15">
        <f t="shared" si="100"/>
        <v>0</v>
      </c>
      <c r="J723" s="18">
        <f t="shared" si="101"/>
        <v>2322.38</v>
      </c>
      <c r="L723" s="54" t="str">
        <f t="shared" si="102"/>
        <v/>
      </c>
      <c r="M723" s="9" t="str">
        <f t="shared" si="103"/>
        <v/>
      </c>
      <c r="N723" t="s">
        <v>822</v>
      </c>
      <c r="O723" s="17">
        <f t="shared" si="104"/>
        <v>45868</v>
      </c>
      <c r="P723" s="25">
        <f t="shared" si="105"/>
        <v>351</v>
      </c>
      <c r="Q723" t="str">
        <f t="shared" si="106"/>
        <v>90+</v>
      </c>
      <c r="R723" t="str">
        <f t="shared" si="107"/>
        <v>Due</v>
      </c>
    </row>
    <row r="724" spans="1:18" x14ac:dyDescent="0.35">
      <c r="A724" t="s">
        <v>731</v>
      </c>
      <c r="B724" t="s">
        <v>810</v>
      </c>
      <c r="C724" s="9">
        <v>44989</v>
      </c>
      <c r="D724" s="28" t="str">
        <f t="shared" si="99"/>
        <v>Mar 2023</v>
      </c>
      <c r="E724" s="9">
        <v>45019</v>
      </c>
      <c r="F724" t="s">
        <v>816</v>
      </c>
      <c r="G724">
        <v>5748.05</v>
      </c>
      <c r="H724" t="s">
        <v>819</v>
      </c>
      <c r="I724" s="15">
        <f t="shared" si="100"/>
        <v>0</v>
      </c>
      <c r="J724" s="18">
        <f t="shared" si="101"/>
        <v>5748.05</v>
      </c>
      <c r="L724" s="54" t="str">
        <f t="shared" si="102"/>
        <v/>
      </c>
      <c r="M724" s="9" t="str">
        <f t="shared" si="103"/>
        <v/>
      </c>
      <c r="N724" t="s">
        <v>822</v>
      </c>
      <c r="O724" s="17">
        <f t="shared" si="104"/>
        <v>45868</v>
      </c>
      <c r="P724" s="25">
        <f t="shared" si="105"/>
        <v>849</v>
      </c>
      <c r="Q724" t="str">
        <f t="shared" si="106"/>
        <v>90+</v>
      </c>
      <c r="R724" t="str">
        <f t="shared" si="107"/>
        <v>Due</v>
      </c>
    </row>
    <row r="725" spans="1:18" x14ac:dyDescent="0.35">
      <c r="A725" t="s">
        <v>732</v>
      </c>
      <c r="B725" t="s">
        <v>811</v>
      </c>
      <c r="C725" s="9">
        <v>45556</v>
      </c>
      <c r="D725" s="28" t="str">
        <f t="shared" si="99"/>
        <v>Sep 2024</v>
      </c>
      <c r="E725" s="9">
        <v>45586</v>
      </c>
      <c r="F725" t="s">
        <v>815</v>
      </c>
      <c r="G725">
        <v>1159.6400000000001</v>
      </c>
      <c r="H725" t="s">
        <v>820</v>
      </c>
      <c r="I725" s="15">
        <f t="shared" si="100"/>
        <v>0</v>
      </c>
      <c r="J725" s="18" t="str">
        <f t="shared" si="101"/>
        <v>N/A</v>
      </c>
      <c r="L725" s="54" t="str">
        <f t="shared" si="102"/>
        <v/>
      </c>
      <c r="M725" s="9" t="str">
        <f t="shared" si="103"/>
        <v/>
      </c>
      <c r="N725" t="s">
        <v>822</v>
      </c>
      <c r="O725" s="17">
        <f t="shared" si="104"/>
        <v>45868</v>
      </c>
      <c r="P725" s="25">
        <f t="shared" si="105"/>
        <v>282</v>
      </c>
      <c r="Q725" t="str">
        <f t="shared" si="106"/>
        <v>90+</v>
      </c>
      <c r="R725" t="str">
        <f t="shared" si="107"/>
        <v>Due</v>
      </c>
    </row>
    <row r="726" spans="1:18" x14ac:dyDescent="0.35">
      <c r="A726" t="s">
        <v>733</v>
      </c>
      <c r="B726" t="s">
        <v>812</v>
      </c>
      <c r="C726" s="9">
        <v>45562</v>
      </c>
      <c r="D726" s="28" t="str">
        <f t="shared" si="99"/>
        <v>Sep 2024</v>
      </c>
      <c r="E726" s="9">
        <v>45592</v>
      </c>
      <c r="F726" t="s">
        <v>818</v>
      </c>
      <c r="G726">
        <v>113.89</v>
      </c>
      <c r="H726" t="s">
        <v>819</v>
      </c>
      <c r="I726" s="15">
        <f t="shared" si="100"/>
        <v>0</v>
      </c>
      <c r="J726" s="18">
        <f t="shared" si="101"/>
        <v>113.89</v>
      </c>
      <c r="L726" s="54" t="str">
        <f t="shared" si="102"/>
        <v/>
      </c>
      <c r="M726" s="9" t="str">
        <f t="shared" si="103"/>
        <v/>
      </c>
      <c r="N726" t="s">
        <v>822</v>
      </c>
      <c r="O726" s="17">
        <f t="shared" si="104"/>
        <v>45868</v>
      </c>
      <c r="P726" s="25">
        <f t="shared" si="105"/>
        <v>276</v>
      </c>
      <c r="Q726" t="str">
        <f t="shared" si="106"/>
        <v>90+</v>
      </c>
      <c r="R726" t="str">
        <f t="shared" si="107"/>
        <v>Due</v>
      </c>
    </row>
    <row r="727" spans="1:18" x14ac:dyDescent="0.35">
      <c r="A727" t="s">
        <v>734</v>
      </c>
      <c r="B727" t="s">
        <v>810</v>
      </c>
      <c r="C727" s="9">
        <v>45130</v>
      </c>
      <c r="D727" s="28" t="str">
        <f t="shared" si="99"/>
        <v>Jul 2023</v>
      </c>
      <c r="E727" s="9">
        <v>45160</v>
      </c>
      <c r="F727" t="s">
        <v>815</v>
      </c>
      <c r="G727">
        <v>3277.08</v>
      </c>
      <c r="H727" t="s">
        <v>821</v>
      </c>
      <c r="I727" s="15">
        <f t="shared" si="100"/>
        <v>3277.08</v>
      </c>
      <c r="J727" s="18">
        <f t="shared" si="101"/>
        <v>0</v>
      </c>
      <c r="K727" s="9">
        <v>45160</v>
      </c>
      <c r="L727" s="54">
        <f t="shared" si="102"/>
        <v>30</v>
      </c>
      <c r="M727" s="9" t="str">
        <f t="shared" si="103"/>
        <v>2023-Aug</v>
      </c>
      <c r="N727" t="s">
        <v>822</v>
      </c>
      <c r="O727" s="17">
        <f t="shared" si="104"/>
        <v>45868</v>
      </c>
      <c r="P727" s="25">
        <f t="shared" si="105"/>
        <v>0</v>
      </c>
      <c r="Q727" t="str">
        <f t="shared" si="106"/>
        <v>Paid</v>
      </c>
      <c r="R727" t="str">
        <f t="shared" si="107"/>
        <v>Not Due</v>
      </c>
    </row>
    <row r="728" spans="1:18" x14ac:dyDescent="0.35">
      <c r="A728" t="s">
        <v>735</v>
      </c>
      <c r="B728" t="s">
        <v>813</v>
      </c>
      <c r="C728" s="9">
        <v>45603</v>
      </c>
      <c r="D728" s="28" t="str">
        <f t="shared" si="99"/>
        <v>Nov 2024</v>
      </c>
      <c r="E728" s="9">
        <v>45633</v>
      </c>
      <c r="F728" t="s">
        <v>814</v>
      </c>
      <c r="G728">
        <v>237.85</v>
      </c>
      <c r="H728" t="s">
        <v>819</v>
      </c>
      <c r="I728" s="15">
        <f t="shared" si="100"/>
        <v>0</v>
      </c>
      <c r="J728" s="18">
        <f t="shared" si="101"/>
        <v>237.85</v>
      </c>
      <c r="L728" s="54" t="str">
        <f t="shared" si="102"/>
        <v/>
      </c>
      <c r="M728" s="9" t="str">
        <f t="shared" si="103"/>
        <v/>
      </c>
      <c r="N728" t="s">
        <v>822</v>
      </c>
      <c r="O728" s="17">
        <f t="shared" si="104"/>
        <v>45868</v>
      </c>
      <c r="P728" s="25">
        <f t="shared" si="105"/>
        <v>235</v>
      </c>
      <c r="Q728" t="str">
        <f t="shared" si="106"/>
        <v>90+</v>
      </c>
      <c r="R728" t="str">
        <f t="shared" si="107"/>
        <v>Due</v>
      </c>
    </row>
    <row r="729" spans="1:18" x14ac:dyDescent="0.35">
      <c r="A729" t="s">
        <v>736</v>
      </c>
      <c r="B729" t="s">
        <v>811</v>
      </c>
      <c r="C729" s="9">
        <v>45127</v>
      </c>
      <c r="D729" s="28" t="str">
        <f t="shared" si="99"/>
        <v>Jul 2023</v>
      </c>
      <c r="E729" s="9">
        <v>45157</v>
      </c>
      <c r="F729" t="s">
        <v>816</v>
      </c>
      <c r="G729">
        <v>4425.79</v>
      </c>
      <c r="H729" t="s">
        <v>820</v>
      </c>
      <c r="I729" s="15">
        <f t="shared" si="100"/>
        <v>0</v>
      </c>
      <c r="J729" s="18" t="str">
        <f t="shared" si="101"/>
        <v>N/A</v>
      </c>
      <c r="L729" s="54" t="str">
        <f t="shared" si="102"/>
        <v/>
      </c>
      <c r="M729" s="9" t="str">
        <f t="shared" si="103"/>
        <v/>
      </c>
      <c r="N729" t="s">
        <v>822</v>
      </c>
      <c r="O729" s="17">
        <f t="shared" si="104"/>
        <v>45868</v>
      </c>
      <c r="P729" s="25">
        <f t="shared" si="105"/>
        <v>711</v>
      </c>
      <c r="Q729" t="str">
        <f t="shared" si="106"/>
        <v>90+</v>
      </c>
      <c r="R729" t="str">
        <f t="shared" si="107"/>
        <v>Due</v>
      </c>
    </row>
    <row r="730" spans="1:18" x14ac:dyDescent="0.35">
      <c r="A730" t="s">
        <v>737</v>
      </c>
      <c r="B730" t="s">
        <v>809</v>
      </c>
      <c r="C730" s="9">
        <v>45575</v>
      </c>
      <c r="D730" s="28" t="str">
        <f t="shared" si="99"/>
        <v>Oct 2024</v>
      </c>
      <c r="E730" s="9">
        <v>45605</v>
      </c>
      <c r="F730" t="s">
        <v>818</v>
      </c>
      <c r="G730">
        <v>351.67</v>
      </c>
      <c r="H730" t="s">
        <v>821</v>
      </c>
      <c r="I730" s="15">
        <f t="shared" si="100"/>
        <v>351.67</v>
      </c>
      <c r="J730" s="18">
        <f t="shared" si="101"/>
        <v>0</v>
      </c>
      <c r="K730" s="9">
        <v>45605</v>
      </c>
      <c r="L730" s="54">
        <f t="shared" si="102"/>
        <v>30</v>
      </c>
      <c r="M730" s="9" t="str">
        <f t="shared" si="103"/>
        <v>2024-Nov</v>
      </c>
      <c r="N730" t="s">
        <v>822</v>
      </c>
      <c r="O730" s="17">
        <f t="shared" si="104"/>
        <v>45868</v>
      </c>
      <c r="P730" s="25">
        <f t="shared" si="105"/>
        <v>0</v>
      </c>
      <c r="Q730" t="str">
        <f t="shared" si="106"/>
        <v>Paid</v>
      </c>
      <c r="R730" t="str">
        <f t="shared" si="107"/>
        <v>Not Due</v>
      </c>
    </row>
    <row r="731" spans="1:18" x14ac:dyDescent="0.35">
      <c r="A731" t="s">
        <v>738</v>
      </c>
      <c r="B731" t="s">
        <v>811</v>
      </c>
      <c r="C731" s="9">
        <v>45239</v>
      </c>
      <c r="D731" s="28" t="str">
        <f t="shared" si="99"/>
        <v>Nov 2023</v>
      </c>
      <c r="E731" s="9">
        <v>45269</v>
      </c>
      <c r="F731" t="s">
        <v>816</v>
      </c>
      <c r="G731">
        <v>3791.5</v>
      </c>
      <c r="H731" t="s">
        <v>820</v>
      </c>
      <c r="I731" s="15">
        <f t="shared" si="100"/>
        <v>0</v>
      </c>
      <c r="J731" s="18" t="str">
        <f t="shared" si="101"/>
        <v>N/A</v>
      </c>
      <c r="L731" s="54" t="str">
        <f t="shared" si="102"/>
        <v/>
      </c>
      <c r="M731" s="9" t="str">
        <f t="shared" si="103"/>
        <v/>
      </c>
      <c r="N731" t="s">
        <v>822</v>
      </c>
      <c r="O731" s="17">
        <f t="shared" si="104"/>
        <v>45868</v>
      </c>
      <c r="P731" s="25">
        <f t="shared" si="105"/>
        <v>599</v>
      </c>
      <c r="Q731" t="str">
        <f t="shared" si="106"/>
        <v>90+</v>
      </c>
      <c r="R731" t="str">
        <f t="shared" si="107"/>
        <v>Due</v>
      </c>
    </row>
    <row r="732" spans="1:18" x14ac:dyDescent="0.35">
      <c r="A732" t="s">
        <v>739</v>
      </c>
      <c r="B732" t="s">
        <v>809</v>
      </c>
      <c r="C732" s="9">
        <v>45187</v>
      </c>
      <c r="D732" s="28" t="str">
        <f t="shared" si="99"/>
        <v>Sep 2023</v>
      </c>
      <c r="E732" s="9">
        <v>45217</v>
      </c>
      <c r="F732" t="s">
        <v>815</v>
      </c>
      <c r="G732">
        <v>899.7</v>
      </c>
      <c r="H732" t="s">
        <v>820</v>
      </c>
      <c r="I732" s="15">
        <f t="shared" si="100"/>
        <v>0</v>
      </c>
      <c r="J732" s="18" t="str">
        <f t="shared" si="101"/>
        <v>N/A</v>
      </c>
      <c r="L732" s="54" t="str">
        <f t="shared" si="102"/>
        <v/>
      </c>
      <c r="M732" s="9" t="str">
        <f t="shared" si="103"/>
        <v/>
      </c>
      <c r="N732" t="s">
        <v>822</v>
      </c>
      <c r="O732" s="17">
        <f t="shared" si="104"/>
        <v>45868</v>
      </c>
      <c r="P732" s="25">
        <f t="shared" si="105"/>
        <v>651</v>
      </c>
      <c r="Q732" t="str">
        <f t="shared" si="106"/>
        <v>90+</v>
      </c>
      <c r="R732" t="str">
        <f t="shared" si="107"/>
        <v>Due</v>
      </c>
    </row>
    <row r="733" spans="1:18" x14ac:dyDescent="0.35">
      <c r="A733" t="s">
        <v>740</v>
      </c>
      <c r="B733" t="s">
        <v>810</v>
      </c>
      <c r="C733" s="9">
        <v>45471</v>
      </c>
      <c r="D733" s="28" t="str">
        <f t="shared" si="99"/>
        <v>Jun 2024</v>
      </c>
      <c r="E733" s="9">
        <v>45501</v>
      </c>
      <c r="F733" t="s">
        <v>817</v>
      </c>
      <c r="G733">
        <v>2390.31</v>
      </c>
      <c r="H733" t="s">
        <v>819</v>
      </c>
      <c r="I733" s="15">
        <f t="shared" si="100"/>
        <v>0</v>
      </c>
      <c r="J733" s="18">
        <f t="shared" si="101"/>
        <v>2390.31</v>
      </c>
      <c r="L733" s="54" t="str">
        <f t="shared" si="102"/>
        <v/>
      </c>
      <c r="M733" s="9" t="str">
        <f t="shared" si="103"/>
        <v/>
      </c>
      <c r="N733" t="s">
        <v>822</v>
      </c>
      <c r="O733" s="17">
        <f t="shared" si="104"/>
        <v>45868</v>
      </c>
      <c r="P733" s="25">
        <f t="shared" si="105"/>
        <v>367</v>
      </c>
      <c r="Q733" t="str">
        <f t="shared" si="106"/>
        <v>90+</v>
      </c>
      <c r="R733" t="str">
        <f t="shared" si="107"/>
        <v>Due</v>
      </c>
    </row>
    <row r="734" spans="1:18" x14ac:dyDescent="0.35">
      <c r="A734" t="s">
        <v>741</v>
      </c>
      <c r="B734" t="s">
        <v>811</v>
      </c>
      <c r="C734" s="9">
        <v>45303</v>
      </c>
      <c r="D734" s="28" t="str">
        <f t="shared" si="99"/>
        <v>Jan 2024</v>
      </c>
      <c r="E734" s="9">
        <v>45333</v>
      </c>
      <c r="F734" t="s">
        <v>814</v>
      </c>
      <c r="G734">
        <v>4305.79</v>
      </c>
      <c r="H734" t="s">
        <v>820</v>
      </c>
      <c r="I734" s="15">
        <f t="shared" si="100"/>
        <v>0</v>
      </c>
      <c r="J734" s="18" t="str">
        <f t="shared" si="101"/>
        <v>N/A</v>
      </c>
      <c r="L734" s="54" t="str">
        <f t="shared" si="102"/>
        <v/>
      </c>
      <c r="M734" s="9" t="str">
        <f t="shared" si="103"/>
        <v/>
      </c>
      <c r="N734" t="s">
        <v>822</v>
      </c>
      <c r="O734" s="17">
        <f t="shared" si="104"/>
        <v>45868</v>
      </c>
      <c r="P734" s="25">
        <f t="shared" si="105"/>
        <v>535</v>
      </c>
      <c r="Q734" t="str">
        <f t="shared" si="106"/>
        <v>90+</v>
      </c>
      <c r="R734" t="str">
        <f t="shared" si="107"/>
        <v>Due</v>
      </c>
    </row>
    <row r="735" spans="1:18" x14ac:dyDescent="0.35">
      <c r="A735" t="s">
        <v>742</v>
      </c>
      <c r="B735" t="s">
        <v>809</v>
      </c>
      <c r="C735" s="9">
        <v>45804</v>
      </c>
      <c r="D735" s="28" t="str">
        <f t="shared" si="99"/>
        <v>May 2025</v>
      </c>
      <c r="E735" s="9">
        <v>45834</v>
      </c>
      <c r="F735" t="s">
        <v>816</v>
      </c>
      <c r="G735">
        <v>4626.0600000000004</v>
      </c>
      <c r="H735" t="s">
        <v>819</v>
      </c>
      <c r="I735" s="15">
        <f t="shared" si="100"/>
        <v>0</v>
      </c>
      <c r="J735" s="18">
        <f t="shared" si="101"/>
        <v>4626.0600000000004</v>
      </c>
      <c r="L735" s="54" t="str">
        <f t="shared" si="102"/>
        <v/>
      </c>
      <c r="M735" s="9" t="str">
        <f t="shared" si="103"/>
        <v/>
      </c>
      <c r="N735" t="s">
        <v>822</v>
      </c>
      <c r="O735" s="17">
        <f t="shared" si="104"/>
        <v>45868</v>
      </c>
      <c r="P735" s="25">
        <f t="shared" si="105"/>
        <v>34</v>
      </c>
      <c r="Q735" t="str">
        <f t="shared" si="106"/>
        <v>31-60</v>
      </c>
      <c r="R735" t="str">
        <f t="shared" si="107"/>
        <v>Due</v>
      </c>
    </row>
    <row r="736" spans="1:18" x14ac:dyDescent="0.35">
      <c r="A736" t="s">
        <v>743</v>
      </c>
      <c r="B736" t="s">
        <v>811</v>
      </c>
      <c r="C736" s="9">
        <v>45709</v>
      </c>
      <c r="D736" s="28" t="str">
        <f t="shared" si="99"/>
        <v>Feb 2025</v>
      </c>
      <c r="E736" s="9">
        <v>45739</v>
      </c>
      <c r="F736" t="s">
        <v>816</v>
      </c>
      <c r="G736">
        <v>5068.55</v>
      </c>
      <c r="H736" t="s">
        <v>819</v>
      </c>
      <c r="I736" s="15">
        <f t="shared" si="100"/>
        <v>0</v>
      </c>
      <c r="J736" s="18">
        <f t="shared" si="101"/>
        <v>5068.55</v>
      </c>
      <c r="L736" s="54" t="str">
        <f t="shared" si="102"/>
        <v/>
      </c>
      <c r="M736" s="9" t="str">
        <f t="shared" si="103"/>
        <v/>
      </c>
      <c r="N736" t="s">
        <v>822</v>
      </c>
      <c r="O736" s="17">
        <f t="shared" si="104"/>
        <v>45868</v>
      </c>
      <c r="P736" s="25">
        <f t="shared" si="105"/>
        <v>129</v>
      </c>
      <c r="Q736" t="str">
        <f t="shared" si="106"/>
        <v>90+</v>
      </c>
      <c r="R736" t="str">
        <f t="shared" si="107"/>
        <v>Due</v>
      </c>
    </row>
    <row r="737" spans="1:18" x14ac:dyDescent="0.35">
      <c r="A737" t="s">
        <v>744</v>
      </c>
      <c r="B737" t="s">
        <v>813</v>
      </c>
      <c r="C737" s="9">
        <v>45772</v>
      </c>
      <c r="D737" s="28" t="str">
        <f t="shared" si="99"/>
        <v>Apr 2025</v>
      </c>
      <c r="E737" s="9">
        <v>45802</v>
      </c>
      <c r="F737" t="s">
        <v>818</v>
      </c>
      <c r="G737">
        <v>143.54</v>
      </c>
      <c r="H737" t="s">
        <v>820</v>
      </c>
      <c r="I737" s="15">
        <f t="shared" si="100"/>
        <v>0</v>
      </c>
      <c r="J737" s="18" t="str">
        <f t="shared" si="101"/>
        <v>N/A</v>
      </c>
      <c r="L737" s="54" t="str">
        <f t="shared" si="102"/>
        <v/>
      </c>
      <c r="M737" s="9" t="str">
        <f t="shared" si="103"/>
        <v/>
      </c>
      <c r="N737" t="s">
        <v>822</v>
      </c>
      <c r="O737" s="17">
        <f t="shared" si="104"/>
        <v>45868</v>
      </c>
      <c r="P737" s="25">
        <f t="shared" si="105"/>
        <v>66</v>
      </c>
      <c r="Q737" t="str">
        <f t="shared" si="106"/>
        <v>61-90</v>
      </c>
      <c r="R737" t="str">
        <f t="shared" si="107"/>
        <v>Due</v>
      </c>
    </row>
    <row r="738" spans="1:18" x14ac:dyDescent="0.35">
      <c r="A738" t="s">
        <v>745</v>
      </c>
      <c r="B738" t="s">
        <v>811</v>
      </c>
      <c r="C738" s="9">
        <v>45646</v>
      </c>
      <c r="D738" s="28" t="str">
        <f t="shared" si="99"/>
        <v>Dec 2024</v>
      </c>
      <c r="E738" s="9">
        <v>45676</v>
      </c>
      <c r="F738" t="s">
        <v>818</v>
      </c>
      <c r="G738">
        <v>3214.76</v>
      </c>
      <c r="H738" t="s">
        <v>819</v>
      </c>
      <c r="I738" s="15">
        <f t="shared" si="100"/>
        <v>0</v>
      </c>
      <c r="J738" s="18">
        <f t="shared" si="101"/>
        <v>3214.76</v>
      </c>
      <c r="L738" s="54" t="str">
        <f t="shared" si="102"/>
        <v/>
      </c>
      <c r="M738" s="9" t="str">
        <f t="shared" si="103"/>
        <v/>
      </c>
      <c r="N738" t="s">
        <v>822</v>
      </c>
      <c r="O738" s="17">
        <f t="shared" si="104"/>
        <v>45868</v>
      </c>
      <c r="P738" s="25">
        <f t="shared" si="105"/>
        <v>192</v>
      </c>
      <c r="Q738" t="str">
        <f t="shared" si="106"/>
        <v>90+</v>
      </c>
      <c r="R738" t="str">
        <f t="shared" si="107"/>
        <v>Due</v>
      </c>
    </row>
    <row r="739" spans="1:18" x14ac:dyDescent="0.35">
      <c r="A739" t="s">
        <v>746</v>
      </c>
      <c r="B739" t="s">
        <v>812</v>
      </c>
      <c r="C739" s="9">
        <v>45805</v>
      </c>
      <c r="D739" s="28" t="str">
        <f t="shared" si="99"/>
        <v>May 2025</v>
      </c>
      <c r="E739" s="9">
        <v>45835</v>
      </c>
      <c r="F739" t="s">
        <v>816</v>
      </c>
      <c r="G739">
        <v>5935.35</v>
      </c>
      <c r="H739" t="s">
        <v>821</v>
      </c>
      <c r="I739" s="15">
        <f t="shared" si="100"/>
        <v>5935.35</v>
      </c>
      <c r="J739" s="18">
        <f t="shared" si="101"/>
        <v>0</v>
      </c>
      <c r="K739" s="9">
        <v>45835</v>
      </c>
      <c r="L739" s="54">
        <f t="shared" si="102"/>
        <v>30</v>
      </c>
      <c r="M739" s="9" t="str">
        <f t="shared" si="103"/>
        <v>2025-Jun</v>
      </c>
      <c r="N739" t="s">
        <v>822</v>
      </c>
      <c r="O739" s="17">
        <f t="shared" si="104"/>
        <v>45868</v>
      </c>
      <c r="P739" s="25">
        <f t="shared" si="105"/>
        <v>0</v>
      </c>
      <c r="Q739" t="str">
        <f t="shared" si="106"/>
        <v>Paid</v>
      </c>
      <c r="R739" t="str">
        <f t="shared" si="107"/>
        <v>Not Due</v>
      </c>
    </row>
    <row r="740" spans="1:18" x14ac:dyDescent="0.35">
      <c r="A740" t="s">
        <v>747</v>
      </c>
      <c r="B740" t="s">
        <v>809</v>
      </c>
      <c r="C740" s="9">
        <v>45269</v>
      </c>
      <c r="D740" s="28" t="str">
        <f t="shared" si="99"/>
        <v>Dec 2023</v>
      </c>
      <c r="E740" s="9">
        <v>45299</v>
      </c>
      <c r="F740" t="s">
        <v>814</v>
      </c>
      <c r="G740">
        <v>3388.86</v>
      </c>
      <c r="H740" t="s">
        <v>821</v>
      </c>
      <c r="I740" s="15">
        <f t="shared" si="100"/>
        <v>3388.86</v>
      </c>
      <c r="J740" s="18">
        <f t="shared" si="101"/>
        <v>0</v>
      </c>
      <c r="K740" s="9">
        <v>45299</v>
      </c>
      <c r="L740" s="54">
        <f t="shared" si="102"/>
        <v>30</v>
      </c>
      <c r="M740" s="9" t="str">
        <f t="shared" si="103"/>
        <v>2024-Jan</v>
      </c>
      <c r="N740" t="s">
        <v>822</v>
      </c>
      <c r="O740" s="17">
        <f t="shared" si="104"/>
        <v>45868</v>
      </c>
      <c r="P740" s="25">
        <f t="shared" si="105"/>
        <v>0</v>
      </c>
      <c r="Q740" t="str">
        <f t="shared" si="106"/>
        <v>Paid</v>
      </c>
      <c r="R740" t="str">
        <f t="shared" si="107"/>
        <v>Not Due</v>
      </c>
    </row>
    <row r="741" spans="1:18" x14ac:dyDescent="0.35">
      <c r="A741" t="s">
        <v>748</v>
      </c>
      <c r="B741" t="s">
        <v>810</v>
      </c>
      <c r="C741" s="9">
        <v>45007</v>
      </c>
      <c r="D741" s="28" t="str">
        <f t="shared" si="99"/>
        <v>Mar 2023</v>
      </c>
      <c r="E741" s="9">
        <v>45037</v>
      </c>
      <c r="F741" t="s">
        <v>815</v>
      </c>
      <c r="G741">
        <v>2229.46</v>
      </c>
      <c r="H741" t="s">
        <v>821</v>
      </c>
      <c r="I741" s="15">
        <f t="shared" si="100"/>
        <v>2229.46</v>
      </c>
      <c r="J741" s="18">
        <f t="shared" si="101"/>
        <v>0</v>
      </c>
      <c r="K741" s="9">
        <v>45037</v>
      </c>
      <c r="L741" s="54">
        <f t="shared" si="102"/>
        <v>30</v>
      </c>
      <c r="M741" s="9" t="str">
        <f t="shared" si="103"/>
        <v>2023-Apr</v>
      </c>
      <c r="N741" t="s">
        <v>822</v>
      </c>
      <c r="O741" s="17">
        <f t="shared" si="104"/>
        <v>45868</v>
      </c>
      <c r="P741" s="25">
        <f t="shared" si="105"/>
        <v>0</v>
      </c>
      <c r="Q741" t="str">
        <f t="shared" si="106"/>
        <v>Paid</v>
      </c>
      <c r="R741" t="str">
        <f t="shared" si="107"/>
        <v>Not Due</v>
      </c>
    </row>
    <row r="742" spans="1:18" x14ac:dyDescent="0.35">
      <c r="A742" t="s">
        <v>749</v>
      </c>
      <c r="B742" t="s">
        <v>811</v>
      </c>
      <c r="C742" s="9">
        <v>45183</v>
      </c>
      <c r="D742" s="28" t="str">
        <f t="shared" si="99"/>
        <v>Sep 2023</v>
      </c>
      <c r="E742" s="9">
        <v>45213</v>
      </c>
      <c r="F742" t="s">
        <v>815</v>
      </c>
      <c r="G742">
        <v>2856.8</v>
      </c>
      <c r="H742" t="s">
        <v>821</v>
      </c>
      <c r="I742" s="15">
        <f t="shared" si="100"/>
        <v>2856.8</v>
      </c>
      <c r="J742" s="18">
        <f t="shared" si="101"/>
        <v>0</v>
      </c>
      <c r="K742" s="9">
        <v>45213</v>
      </c>
      <c r="L742" s="54">
        <f t="shared" si="102"/>
        <v>30</v>
      </c>
      <c r="M742" s="9" t="str">
        <f t="shared" si="103"/>
        <v>2023-Oct</v>
      </c>
      <c r="N742" t="s">
        <v>822</v>
      </c>
      <c r="O742" s="17">
        <f t="shared" si="104"/>
        <v>45868</v>
      </c>
      <c r="P742" s="25">
        <f t="shared" si="105"/>
        <v>0</v>
      </c>
      <c r="Q742" t="str">
        <f t="shared" si="106"/>
        <v>Paid</v>
      </c>
      <c r="R742" t="str">
        <f t="shared" si="107"/>
        <v>Not Due</v>
      </c>
    </row>
    <row r="743" spans="1:18" x14ac:dyDescent="0.35">
      <c r="A743" t="s">
        <v>750</v>
      </c>
      <c r="B743" t="s">
        <v>810</v>
      </c>
      <c r="C743" s="9">
        <v>45222</v>
      </c>
      <c r="D743" s="28" t="str">
        <f t="shared" si="99"/>
        <v>Oct 2023</v>
      </c>
      <c r="E743" s="9">
        <v>45252</v>
      </c>
      <c r="F743" t="s">
        <v>815</v>
      </c>
      <c r="G743">
        <v>847.43</v>
      </c>
      <c r="H743" t="s">
        <v>821</v>
      </c>
      <c r="I743" s="15">
        <f t="shared" si="100"/>
        <v>847.43</v>
      </c>
      <c r="J743" s="18">
        <f t="shared" si="101"/>
        <v>0</v>
      </c>
      <c r="K743" s="9">
        <v>45252</v>
      </c>
      <c r="L743" s="54">
        <f t="shared" si="102"/>
        <v>30</v>
      </c>
      <c r="M743" s="9" t="str">
        <f t="shared" si="103"/>
        <v>2023-Nov</v>
      </c>
      <c r="N743" t="s">
        <v>822</v>
      </c>
      <c r="O743" s="17">
        <f t="shared" si="104"/>
        <v>45868</v>
      </c>
      <c r="P743" s="25">
        <f t="shared" si="105"/>
        <v>0</v>
      </c>
      <c r="Q743" t="str">
        <f t="shared" si="106"/>
        <v>Paid</v>
      </c>
      <c r="R743" t="str">
        <f t="shared" si="107"/>
        <v>Not Due</v>
      </c>
    </row>
    <row r="744" spans="1:18" x14ac:dyDescent="0.35">
      <c r="A744" t="s">
        <v>751</v>
      </c>
      <c r="B744" t="s">
        <v>810</v>
      </c>
      <c r="C744" s="9">
        <v>45359</v>
      </c>
      <c r="D744" s="28" t="str">
        <f t="shared" si="99"/>
        <v>Mar 2024</v>
      </c>
      <c r="E744" s="9">
        <v>45389</v>
      </c>
      <c r="F744" t="s">
        <v>816</v>
      </c>
      <c r="G744">
        <v>5279.32</v>
      </c>
      <c r="H744" t="s">
        <v>821</v>
      </c>
      <c r="I744" s="15">
        <f t="shared" si="100"/>
        <v>5279.32</v>
      </c>
      <c r="J744" s="18">
        <f t="shared" si="101"/>
        <v>0</v>
      </c>
      <c r="K744" s="9">
        <v>45389</v>
      </c>
      <c r="L744" s="54">
        <f t="shared" si="102"/>
        <v>30</v>
      </c>
      <c r="M744" s="9" t="str">
        <f t="shared" si="103"/>
        <v>2024-Apr</v>
      </c>
      <c r="N744" t="s">
        <v>822</v>
      </c>
      <c r="O744" s="17">
        <f t="shared" si="104"/>
        <v>45868</v>
      </c>
      <c r="P744" s="25">
        <f t="shared" si="105"/>
        <v>0</v>
      </c>
      <c r="Q744" t="str">
        <f t="shared" si="106"/>
        <v>Paid</v>
      </c>
      <c r="R744" t="str">
        <f t="shared" si="107"/>
        <v>Not Due</v>
      </c>
    </row>
    <row r="745" spans="1:18" x14ac:dyDescent="0.35">
      <c r="A745" t="s">
        <v>752</v>
      </c>
      <c r="B745" t="s">
        <v>812</v>
      </c>
      <c r="C745" s="9">
        <v>45268</v>
      </c>
      <c r="D745" s="28" t="str">
        <f t="shared" si="99"/>
        <v>Dec 2023</v>
      </c>
      <c r="E745" s="9">
        <v>45298</v>
      </c>
      <c r="F745" t="s">
        <v>817</v>
      </c>
      <c r="G745">
        <v>211.34</v>
      </c>
      <c r="H745" t="s">
        <v>819</v>
      </c>
      <c r="I745" s="15">
        <f t="shared" si="100"/>
        <v>0</v>
      </c>
      <c r="J745" s="18">
        <f t="shared" si="101"/>
        <v>211.34</v>
      </c>
      <c r="L745" s="54" t="str">
        <f t="shared" si="102"/>
        <v/>
      </c>
      <c r="M745" s="9" t="str">
        <f t="shared" si="103"/>
        <v/>
      </c>
      <c r="N745" t="s">
        <v>822</v>
      </c>
      <c r="O745" s="17">
        <f t="shared" si="104"/>
        <v>45868</v>
      </c>
      <c r="P745" s="25">
        <f t="shared" si="105"/>
        <v>570</v>
      </c>
      <c r="Q745" t="str">
        <f t="shared" si="106"/>
        <v>90+</v>
      </c>
      <c r="R745" t="str">
        <f t="shared" si="107"/>
        <v>Due</v>
      </c>
    </row>
    <row r="746" spans="1:18" x14ac:dyDescent="0.35">
      <c r="A746" t="s">
        <v>753</v>
      </c>
      <c r="B746" t="s">
        <v>813</v>
      </c>
      <c r="C746" s="9">
        <v>44983</v>
      </c>
      <c r="D746" s="28" t="str">
        <f t="shared" si="99"/>
        <v>Feb 2023</v>
      </c>
      <c r="E746" s="9">
        <v>45013</v>
      </c>
      <c r="F746" t="s">
        <v>818</v>
      </c>
      <c r="G746">
        <v>968.64</v>
      </c>
      <c r="H746" t="s">
        <v>821</v>
      </c>
      <c r="I746" s="15">
        <f t="shared" si="100"/>
        <v>968.64</v>
      </c>
      <c r="J746" s="18">
        <f t="shared" si="101"/>
        <v>0</v>
      </c>
      <c r="K746" s="9">
        <v>45013</v>
      </c>
      <c r="L746" s="54">
        <f t="shared" si="102"/>
        <v>30</v>
      </c>
      <c r="M746" s="9" t="str">
        <f t="shared" si="103"/>
        <v>2023-Mar</v>
      </c>
      <c r="N746" t="s">
        <v>822</v>
      </c>
      <c r="O746" s="17">
        <f t="shared" si="104"/>
        <v>45868</v>
      </c>
      <c r="P746" s="25">
        <f t="shared" si="105"/>
        <v>0</v>
      </c>
      <c r="Q746" t="str">
        <f t="shared" si="106"/>
        <v>Paid</v>
      </c>
      <c r="R746" t="str">
        <f t="shared" si="107"/>
        <v>Not Due</v>
      </c>
    </row>
    <row r="747" spans="1:18" x14ac:dyDescent="0.35">
      <c r="A747" t="s">
        <v>754</v>
      </c>
      <c r="B747" t="s">
        <v>811</v>
      </c>
      <c r="C747" s="9">
        <v>45283</v>
      </c>
      <c r="D747" s="28" t="str">
        <f t="shared" si="99"/>
        <v>Dec 2023</v>
      </c>
      <c r="E747" s="9">
        <v>45313</v>
      </c>
      <c r="F747" t="s">
        <v>814</v>
      </c>
      <c r="G747">
        <v>5563.19</v>
      </c>
      <c r="H747" t="s">
        <v>820</v>
      </c>
      <c r="I747" s="15">
        <f t="shared" si="100"/>
        <v>0</v>
      </c>
      <c r="J747" s="18" t="str">
        <f t="shared" si="101"/>
        <v>N/A</v>
      </c>
      <c r="L747" s="54" t="str">
        <f t="shared" si="102"/>
        <v/>
      </c>
      <c r="M747" s="9" t="str">
        <f t="shared" si="103"/>
        <v/>
      </c>
      <c r="N747" t="s">
        <v>822</v>
      </c>
      <c r="O747" s="17">
        <f t="shared" si="104"/>
        <v>45868</v>
      </c>
      <c r="P747" s="25">
        <f t="shared" si="105"/>
        <v>555</v>
      </c>
      <c r="Q747" t="str">
        <f t="shared" si="106"/>
        <v>90+</v>
      </c>
      <c r="R747" t="str">
        <f t="shared" si="107"/>
        <v>Due</v>
      </c>
    </row>
    <row r="748" spans="1:18" x14ac:dyDescent="0.35">
      <c r="A748" t="s">
        <v>755</v>
      </c>
      <c r="B748" t="s">
        <v>809</v>
      </c>
      <c r="C748" s="9">
        <v>45194</v>
      </c>
      <c r="D748" s="28" t="str">
        <f t="shared" si="99"/>
        <v>Sep 2023</v>
      </c>
      <c r="E748" s="9">
        <v>45224</v>
      </c>
      <c r="F748" t="s">
        <v>818</v>
      </c>
      <c r="G748">
        <v>2257.94</v>
      </c>
      <c r="H748" t="s">
        <v>819</v>
      </c>
      <c r="I748" s="15">
        <f t="shared" si="100"/>
        <v>0</v>
      </c>
      <c r="J748" s="18">
        <f t="shared" si="101"/>
        <v>2257.94</v>
      </c>
      <c r="L748" s="54" t="str">
        <f t="shared" si="102"/>
        <v/>
      </c>
      <c r="M748" s="9" t="str">
        <f t="shared" si="103"/>
        <v/>
      </c>
      <c r="N748" t="s">
        <v>822</v>
      </c>
      <c r="O748" s="17">
        <f t="shared" si="104"/>
        <v>45868</v>
      </c>
      <c r="P748" s="25">
        <f t="shared" si="105"/>
        <v>644</v>
      </c>
      <c r="Q748" t="str">
        <f t="shared" si="106"/>
        <v>90+</v>
      </c>
      <c r="R748" t="str">
        <f t="shared" si="107"/>
        <v>Due</v>
      </c>
    </row>
    <row r="749" spans="1:18" x14ac:dyDescent="0.35">
      <c r="A749" t="s">
        <v>756</v>
      </c>
      <c r="B749" t="s">
        <v>812</v>
      </c>
      <c r="C749" s="9">
        <v>45488</v>
      </c>
      <c r="D749" s="28" t="str">
        <f t="shared" si="99"/>
        <v>Jul 2024</v>
      </c>
      <c r="E749" s="9">
        <v>45518</v>
      </c>
      <c r="F749" t="s">
        <v>814</v>
      </c>
      <c r="G749">
        <v>5625.82</v>
      </c>
      <c r="H749" t="s">
        <v>820</v>
      </c>
      <c r="I749" s="15">
        <f t="shared" si="100"/>
        <v>0</v>
      </c>
      <c r="J749" s="18" t="str">
        <f t="shared" si="101"/>
        <v>N/A</v>
      </c>
      <c r="L749" s="54" t="str">
        <f t="shared" si="102"/>
        <v/>
      </c>
      <c r="M749" s="9" t="str">
        <f t="shared" si="103"/>
        <v/>
      </c>
      <c r="N749" t="s">
        <v>822</v>
      </c>
      <c r="O749" s="17">
        <f t="shared" si="104"/>
        <v>45868</v>
      </c>
      <c r="P749" s="25">
        <f t="shared" si="105"/>
        <v>350</v>
      </c>
      <c r="Q749" t="str">
        <f t="shared" si="106"/>
        <v>90+</v>
      </c>
      <c r="R749" t="str">
        <f t="shared" si="107"/>
        <v>Due</v>
      </c>
    </row>
    <row r="750" spans="1:18" x14ac:dyDescent="0.35">
      <c r="A750" t="s">
        <v>757</v>
      </c>
      <c r="B750" t="s">
        <v>809</v>
      </c>
      <c r="C750" s="9">
        <v>45321</v>
      </c>
      <c r="D750" s="28" t="str">
        <f t="shared" si="99"/>
        <v>Jan 2024</v>
      </c>
      <c r="E750" s="9">
        <v>45351</v>
      </c>
      <c r="F750" t="s">
        <v>815</v>
      </c>
      <c r="G750">
        <v>969.98</v>
      </c>
      <c r="H750" t="s">
        <v>820</v>
      </c>
      <c r="I750" s="15">
        <f t="shared" si="100"/>
        <v>0</v>
      </c>
      <c r="J750" s="18" t="str">
        <f t="shared" si="101"/>
        <v>N/A</v>
      </c>
      <c r="L750" s="54" t="str">
        <f t="shared" si="102"/>
        <v/>
      </c>
      <c r="M750" s="9" t="str">
        <f t="shared" si="103"/>
        <v/>
      </c>
      <c r="N750" t="s">
        <v>822</v>
      </c>
      <c r="O750" s="17">
        <f t="shared" si="104"/>
        <v>45868</v>
      </c>
      <c r="P750" s="25">
        <f t="shared" si="105"/>
        <v>517</v>
      </c>
      <c r="Q750" t="str">
        <f t="shared" si="106"/>
        <v>90+</v>
      </c>
      <c r="R750" t="str">
        <f t="shared" si="107"/>
        <v>Due</v>
      </c>
    </row>
    <row r="751" spans="1:18" x14ac:dyDescent="0.35">
      <c r="A751" t="s">
        <v>758</v>
      </c>
      <c r="B751" t="s">
        <v>809</v>
      </c>
      <c r="C751" s="9">
        <v>44993</v>
      </c>
      <c r="D751" s="28" t="str">
        <f t="shared" si="99"/>
        <v>Mar 2023</v>
      </c>
      <c r="E751" s="9">
        <v>45023</v>
      </c>
      <c r="F751" t="s">
        <v>815</v>
      </c>
      <c r="G751">
        <v>2755.07</v>
      </c>
      <c r="H751" t="s">
        <v>820</v>
      </c>
      <c r="I751" s="15">
        <f t="shared" si="100"/>
        <v>0</v>
      </c>
      <c r="J751" s="18" t="str">
        <f t="shared" si="101"/>
        <v>N/A</v>
      </c>
      <c r="L751" s="54" t="str">
        <f t="shared" si="102"/>
        <v/>
      </c>
      <c r="M751" s="9" t="str">
        <f t="shared" si="103"/>
        <v/>
      </c>
      <c r="N751" t="s">
        <v>822</v>
      </c>
      <c r="O751" s="17">
        <f t="shared" si="104"/>
        <v>45868</v>
      </c>
      <c r="P751" s="25">
        <f t="shared" si="105"/>
        <v>845</v>
      </c>
      <c r="Q751" t="str">
        <f t="shared" si="106"/>
        <v>90+</v>
      </c>
      <c r="R751" t="str">
        <f t="shared" si="107"/>
        <v>Due</v>
      </c>
    </row>
    <row r="752" spans="1:18" x14ac:dyDescent="0.35">
      <c r="A752" t="s">
        <v>759</v>
      </c>
      <c r="B752" t="s">
        <v>811</v>
      </c>
      <c r="C752" s="9">
        <v>45054</v>
      </c>
      <c r="D752" s="28" t="str">
        <f t="shared" si="99"/>
        <v>May 2023</v>
      </c>
      <c r="E752" s="9">
        <v>45084</v>
      </c>
      <c r="F752" t="s">
        <v>816</v>
      </c>
      <c r="G752">
        <v>4659.3</v>
      </c>
      <c r="H752" t="s">
        <v>821</v>
      </c>
      <c r="I752" s="15">
        <f t="shared" si="100"/>
        <v>4659.3</v>
      </c>
      <c r="J752" s="18">
        <f t="shared" si="101"/>
        <v>0</v>
      </c>
      <c r="K752" s="9">
        <v>45084</v>
      </c>
      <c r="L752" s="54">
        <f t="shared" si="102"/>
        <v>30</v>
      </c>
      <c r="M752" s="9" t="str">
        <f t="shared" si="103"/>
        <v>2023-Jun</v>
      </c>
      <c r="N752" t="s">
        <v>822</v>
      </c>
      <c r="O752" s="17">
        <f t="shared" si="104"/>
        <v>45868</v>
      </c>
      <c r="P752" s="25">
        <f t="shared" si="105"/>
        <v>0</v>
      </c>
      <c r="Q752" t="str">
        <f t="shared" si="106"/>
        <v>Paid</v>
      </c>
      <c r="R752" t="str">
        <f t="shared" si="107"/>
        <v>Not Due</v>
      </c>
    </row>
    <row r="753" spans="1:18" x14ac:dyDescent="0.35">
      <c r="A753" t="s">
        <v>760</v>
      </c>
      <c r="B753" t="s">
        <v>809</v>
      </c>
      <c r="C753" s="9">
        <v>45395</v>
      </c>
      <c r="D753" s="28" t="str">
        <f t="shared" si="99"/>
        <v>Apr 2024</v>
      </c>
      <c r="E753" s="9">
        <v>45425</v>
      </c>
      <c r="F753" t="s">
        <v>816</v>
      </c>
      <c r="G753">
        <v>1719.63</v>
      </c>
      <c r="H753" t="s">
        <v>820</v>
      </c>
      <c r="I753" s="15">
        <f t="shared" si="100"/>
        <v>0</v>
      </c>
      <c r="J753" s="18" t="str">
        <f t="shared" si="101"/>
        <v>N/A</v>
      </c>
      <c r="L753" s="54" t="str">
        <f t="shared" si="102"/>
        <v/>
      </c>
      <c r="M753" s="9" t="str">
        <f t="shared" si="103"/>
        <v/>
      </c>
      <c r="N753" t="s">
        <v>822</v>
      </c>
      <c r="O753" s="17">
        <f t="shared" si="104"/>
        <v>45868</v>
      </c>
      <c r="P753" s="25">
        <f t="shared" si="105"/>
        <v>443</v>
      </c>
      <c r="Q753" t="str">
        <f t="shared" si="106"/>
        <v>90+</v>
      </c>
      <c r="R753" t="str">
        <f t="shared" si="107"/>
        <v>Due</v>
      </c>
    </row>
    <row r="754" spans="1:18" x14ac:dyDescent="0.35">
      <c r="A754" t="s">
        <v>761</v>
      </c>
      <c r="B754" t="s">
        <v>812</v>
      </c>
      <c r="C754" s="9">
        <v>45262</v>
      </c>
      <c r="D754" s="28" t="str">
        <f t="shared" si="99"/>
        <v>Dec 2023</v>
      </c>
      <c r="E754" s="9">
        <v>45292</v>
      </c>
      <c r="F754" t="s">
        <v>818</v>
      </c>
      <c r="G754">
        <v>991.38</v>
      </c>
      <c r="H754" t="s">
        <v>821</v>
      </c>
      <c r="I754" s="15">
        <f t="shared" si="100"/>
        <v>991.38</v>
      </c>
      <c r="J754" s="18">
        <f t="shared" si="101"/>
        <v>0</v>
      </c>
      <c r="K754" s="9">
        <v>45292</v>
      </c>
      <c r="L754" s="54">
        <f t="shared" si="102"/>
        <v>30</v>
      </c>
      <c r="M754" s="9" t="str">
        <f t="shared" si="103"/>
        <v>2024-Jan</v>
      </c>
      <c r="N754" t="s">
        <v>822</v>
      </c>
      <c r="O754" s="17">
        <f t="shared" si="104"/>
        <v>45868</v>
      </c>
      <c r="P754" s="25">
        <f t="shared" si="105"/>
        <v>0</v>
      </c>
      <c r="Q754" t="str">
        <f t="shared" si="106"/>
        <v>Paid</v>
      </c>
      <c r="R754" t="str">
        <f t="shared" si="107"/>
        <v>Not Due</v>
      </c>
    </row>
    <row r="755" spans="1:18" x14ac:dyDescent="0.35">
      <c r="A755" t="s">
        <v>762</v>
      </c>
      <c r="B755" t="s">
        <v>809</v>
      </c>
      <c r="C755" s="9">
        <v>45535</v>
      </c>
      <c r="D755" s="28" t="str">
        <f t="shared" si="99"/>
        <v>Aug 2024</v>
      </c>
      <c r="E755" s="9">
        <v>45565</v>
      </c>
      <c r="F755" t="s">
        <v>814</v>
      </c>
      <c r="G755">
        <v>2474.6999999999998</v>
      </c>
      <c r="H755" t="s">
        <v>820</v>
      </c>
      <c r="I755" s="15">
        <f t="shared" si="100"/>
        <v>0</v>
      </c>
      <c r="J755" s="18" t="str">
        <f t="shared" si="101"/>
        <v>N/A</v>
      </c>
      <c r="L755" s="54" t="str">
        <f t="shared" si="102"/>
        <v/>
      </c>
      <c r="M755" s="9" t="str">
        <f t="shared" si="103"/>
        <v/>
      </c>
      <c r="N755" t="s">
        <v>822</v>
      </c>
      <c r="O755" s="17">
        <f t="shared" si="104"/>
        <v>45868</v>
      </c>
      <c r="P755" s="25">
        <f t="shared" si="105"/>
        <v>303</v>
      </c>
      <c r="Q755" t="str">
        <f t="shared" si="106"/>
        <v>90+</v>
      </c>
      <c r="R755" t="str">
        <f t="shared" si="107"/>
        <v>Due</v>
      </c>
    </row>
    <row r="756" spans="1:18" x14ac:dyDescent="0.35">
      <c r="A756" t="s">
        <v>763</v>
      </c>
      <c r="B756" t="s">
        <v>810</v>
      </c>
      <c r="C756" s="9">
        <v>45408</v>
      </c>
      <c r="D756" s="28" t="str">
        <f t="shared" si="99"/>
        <v>Apr 2024</v>
      </c>
      <c r="E756" s="9">
        <v>45438</v>
      </c>
      <c r="F756" t="s">
        <v>816</v>
      </c>
      <c r="G756">
        <v>3508.53</v>
      </c>
      <c r="H756" t="s">
        <v>821</v>
      </c>
      <c r="I756" s="15">
        <f t="shared" si="100"/>
        <v>3508.53</v>
      </c>
      <c r="J756" s="18">
        <f t="shared" si="101"/>
        <v>0</v>
      </c>
      <c r="K756" s="9">
        <v>45438</v>
      </c>
      <c r="L756" s="54">
        <f t="shared" si="102"/>
        <v>30</v>
      </c>
      <c r="M756" s="9" t="str">
        <f t="shared" si="103"/>
        <v>2024-May</v>
      </c>
      <c r="N756" t="s">
        <v>822</v>
      </c>
      <c r="O756" s="17">
        <f t="shared" si="104"/>
        <v>45868</v>
      </c>
      <c r="P756" s="25">
        <f t="shared" si="105"/>
        <v>0</v>
      </c>
      <c r="Q756" t="str">
        <f t="shared" si="106"/>
        <v>Paid</v>
      </c>
      <c r="R756" t="str">
        <f t="shared" si="107"/>
        <v>Not Due</v>
      </c>
    </row>
    <row r="757" spans="1:18" x14ac:dyDescent="0.35">
      <c r="A757" t="s">
        <v>764</v>
      </c>
      <c r="B757" t="s">
        <v>813</v>
      </c>
      <c r="C757" s="9">
        <v>45707</v>
      </c>
      <c r="D757" s="28" t="str">
        <f t="shared" si="99"/>
        <v>Feb 2025</v>
      </c>
      <c r="E757" s="9">
        <v>45737</v>
      </c>
      <c r="F757" t="s">
        <v>816</v>
      </c>
      <c r="G757">
        <v>2340.3000000000002</v>
      </c>
      <c r="H757" t="s">
        <v>821</v>
      </c>
      <c r="I757" s="15">
        <f t="shared" si="100"/>
        <v>2340.3000000000002</v>
      </c>
      <c r="J757" s="18">
        <f t="shared" si="101"/>
        <v>0</v>
      </c>
      <c r="K757" s="9">
        <v>45737</v>
      </c>
      <c r="L757" s="54">
        <f t="shared" si="102"/>
        <v>30</v>
      </c>
      <c r="M757" s="9" t="str">
        <f t="shared" si="103"/>
        <v>2025-Mar</v>
      </c>
      <c r="N757" t="s">
        <v>822</v>
      </c>
      <c r="O757" s="17">
        <f t="shared" si="104"/>
        <v>45868</v>
      </c>
      <c r="P757" s="25">
        <f t="shared" si="105"/>
        <v>0</v>
      </c>
      <c r="Q757" t="str">
        <f t="shared" si="106"/>
        <v>Paid</v>
      </c>
      <c r="R757" t="str">
        <f t="shared" si="107"/>
        <v>Not Due</v>
      </c>
    </row>
    <row r="758" spans="1:18" x14ac:dyDescent="0.35">
      <c r="A758" t="s">
        <v>765</v>
      </c>
      <c r="B758" t="s">
        <v>813</v>
      </c>
      <c r="C758" s="9">
        <v>45613</v>
      </c>
      <c r="D758" s="28" t="str">
        <f t="shared" si="99"/>
        <v>Nov 2024</v>
      </c>
      <c r="E758" s="9">
        <v>45643</v>
      </c>
      <c r="F758" t="s">
        <v>814</v>
      </c>
      <c r="G758">
        <v>5093.1899999999996</v>
      </c>
      <c r="H758" t="s">
        <v>820</v>
      </c>
      <c r="I758" s="15">
        <f t="shared" si="100"/>
        <v>0</v>
      </c>
      <c r="J758" s="18" t="str">
        <f t="shared" si="101"/>
        <v>N/A</v>
      </c>
      <c r="L758" s="54" t="str">
        <f t="shared" si="102"/>
        <v/>
      </c>
      <c r="M758" s="9" t="str">
        <f t="shared" si="103"/>
        <v/>
      </c>
      <c r="N758" t="s">
        <v>822</v>
      </c>
      <c r="O758" s="17">
        <f t="shared" si="104"/>
        <v>45868</v>
      </c>
      <c r="P758" s="25">
        <f t="shared" si="105"/>
        <v>225</v>
      </c>
      <c r="Q758" t="str">
        <f t="shared" si="106"/>
        <v>90+</v>
      </c>
      <c r="R758" t="str">
        <f t="shared" si="107"/>
        <v>Due</v>
      </c>
    </row>
    <row r="759" spans="1:18" x14ac:dyDescent="0.35">
      <c r="A759" t="s">
        <v>766</v>
      </c>
      <c r="B759" t="s">
        <v>809</v>
      </c>
      <c r="C759" s="9">
        <v>45162</v>
      </c>
      <c r="D759" s="28" t="str">
        <f t="shared" si="99"/>
        <v>Aug 2023</v>
      </c>
      <c r="E759" s="9">
        <v>45192</v>
      </c>
      <c r="F759" t="s">
        <v>815</v>
      </c>
      <c r="G759">
        <v>2375.08</v>
      </c>
      <c r="H759" t="s">
        <v>819</v>
      </c>
      <c r="I759" s="15">
        <f t="shared" si="100"/>
        <v>0</v>
      </c>
      <c r="J759" s="18">
        <f t="shared" si="101"/>
        <v>2375.08</v>
      </c>
      <c r="L759" s="54" t="str">
        <f t="shared" si="102"/>
        <v/>
      </c>
      <c r="M759" s="9" t="str">
        <f t="shared" si="103"/>
        <v/>
      </c>
      <c r="N759" t="s">
        <v>822</v>
      </c>
      <c r="O759" s="17">
        <f t="shared" si="104"/>
        <v>45868</v>
      </c>
      <c r="P759" s="25">
        <f t="shared" si="105"/>
        <v>676</v>
      </c>
      <c r="Q759" t="str">
        <f t="shared" si="106"/>
        <v>90+</v>
      </c>
      <c r="R759" t="str">
        <f t="shared" si="107"/>
        <v>Due</v>
      </c>
    </row>
    <row r="760" spans="1:18" x14ac:dyDescent="0.35">
      <c r="A760" t="s">
        <v>767</v>
      </c>
      <c r="B760" t="s">
        <v>811</v>
      </c>
      <c r="C760" s="9">
        <v>45301</v>
      </c>
      <c r="D760" s="28" t="str">
        <f t="shared" si="99"/>
        <v>Jan 2024</v>
      </c>
      <c r="E760" s="9">
        <v>45331</v>
      </c>
      <c r="F760" t="s">
        <v>817</v>
      </c>
      <c r="G760">
        <v>2204.2800000000002</v>
      </c>
      <c r="H760" t="s">
        <v>821</v>
      </c>
      <c r="I760" s="15">
        <f t="shared" si="100"/>
        <v>2204.2800000000002</v>
      </c>
      <c r="J760" s="18">
        <f t="shared" si="101"/>
        <v>0</v>
      </c>
      <c r="K760" s="9">
        <v>45331</v>
      </c>
      <c r="L760" s="54">
        <f t="shared" si="102"/>
        <v>30</v>
      </c>
      <c r="M760" s="9" t="str">
        <f t="shared" si="103"/>
        <v>2024-Feb</v>
      </c>
      <c r="N760" t="s">
        <v>822</v>
      </c>
      <c r="O760" s="17">
        <f t="shared" si="104"/>
        <v>45868</v>
      </c>
      <c r="P760" s="25">
        <f t="shared" si="105"/>
        <v>0</v>
      </c>
      <c r="Q760" t="str">
        <f t="shared" si="106"/>
        <v>Paid</v>
      </c>
      <c r="R760" t="str">
        <f t="shared" si="107"/>
        <v>Not Due</v>
      </c>
    </row>
    <row r="761" spans="1:18" x14ac:dyDescent="0.35">
      <c r="A761" t="s">
        <v>768</v>
      </c>
      <c r="B761" t="s">
        <v>811</v>
      </c>
      <c r="C761" s="9">
        <v>45340</v>
      </c>
      <c r="D761" s="28" t="str">
        <f t="shared" si="99"/>
        <v>Feb 2024</v>
      </c>
      <c r="E761" s="9">
        <v>45370</v>
      </c>
      <c r="F761" t="s">
        <v>816</v>
      </c>
      <c r="G761">
        <v>4697.9799999999996</v>
      </c>
      <c r="H761" t="s">
        <v>819</v>
      </c>
      <c r="I761" s="15">
        <f t="shared" si="100"/>
        <v>0</v>
      </c>
      <c r="J761" s="18">
        <f t="shared" si="101"/>
        <v>4697.9799999999996</v>
      </c>
      <c r="L761" s="54" t="str">
        <f t="shared" si="102"/>
        <v/>
      </c>
      <c r="M761" s="9" t="str">
        <f t="shared" si="103"/>
        <v/>
      </c>
      <c r="N761" t="s">
        <v>822</v>
      </c>
      <c r="O761" s="17">
        <f t="shared" si="104"/>
        <v>45868</v>
      </c>
      <c r="P761" s="25">
        <f t="shared" si="105"/>
        <v>498</v>
      </c>
      <c r="Q761" t="str">
        <f t="shared" si="106"/>
        <v>90+</v>
      </c>
      <c r="R761" t="str">
        <f t="shared" si="107"/>
        <v>Due</v>
      </c>
    </row>
    <row r="762" spans="1:18" x14ac:dyDescent="0.35">
      <c r="A762" t="s">
        <v>769</v>
      </c>
      <c r="B762" t="s">
        <v>813</v>
      </c>
      <c r="C762" s="9">
        <v>45054</v>
      </c>
      <c r="D762" s="28" t="str">
        <f t="shared" si="99"/>
        <v>May 2023</v>
      </c>
      <c r="E762" s="9">
        <v>45084</v>
      </c>
      <c r="F762" t="s">
        <v>817</v>
      </c>
      <c r="G762">
        <v>2571.9</v>
      </c>
      <c r="H762" t="s">
        <v>821</v>
      </c>
      <c r="I762" s="15">
        <f t="shared" si="100"/>
        <v>2571.9</v>
      </c>
      <c r="J762" s="18">
        <f t="shared" si="101"/>
        <v>0</v>
      </c>
      <c r="K762" s="9">
        <v>45084</v>
      </c>
      <c r="L762" s="54">
        <f t="shared" si="102"/>
        <v>30</v>
      </c>
      <c r="M762" s="9" t="str">
        <f t="shared" si="103"/>
        <v>2023-Jun</v>
      </c>
      <c r="N762" t="s">
        <v>822</v>
      </c>
      <c r="O762" s="17">
        <f t="shared" si="104"/>
        <v>45868</v>
      </c>
      <c r="P762" s="25">
        <f t="shared" si="105"/>
        <v>0</v>
      </c>
      <c r="Q762" t="str">
        <f t="shared" si="106"/>
        <v>Paid</v>
      </c>
      <c r="R762" t="str">
        <f t="shared" si="107"/>
        <v>Not Due</v>
      </c>
    </row>
    <row r="763" spans="1:18" x14ac:dyDescent="0.35">
      <c r="A763" t="s">
        <v>770</v>
      </c>
      <c r="B763" t="s">
        <v>809</v>
      </c>
      <c r="C763" s="9">
        <v>45618</v>
      </c>
      <c r="D763" s="28" t="str">
        <f t="shared" si="99"/>
        <v>Nov 2024</v>
      </c>
      <c r="E763" s="9">
        <v>45648</v>
      </c>
      <c r="F763" t="s">
        <v>814</v>
      </c>
      <c r="G763">
        <v>2997.1</v>
      </c>
      <c r="H763" t="s">
        <v>821</v>
      </c>
      <c r="I763" s="15">
        <f t="shared" si="100"/>
        <v>2997.1</v>
      </c>
      <c r="J763" s="18">
        <f t="shared" si="101"/>
        <v>0</v>
      </c>
      <c r="K763" s="9">
        <v>45648</v>
      </c>
      <c r="L763" s="54">
        <f t="shared" si="102"/>
        <v>30</v>
      </c>
      <c r="M763" s="9" t="str">
        <f t="shared" si="103"/>
        <v>2024-Dec</v>
      </c>
      <c r="N763" t="s">
        <v>822</v>
      </c>
      <c r="O763" s="17">
        <f t="shared" si="104"/>
        <v>45868</v>
      </c>
      <c r="P763" s="25">
        <f t="shared" si="105"/>
        <v>0</v>
      </c>
      <c r="Q763" t="str">
        <f t="shared" si="106"/>
        <v>Paid</v>
      </c>
      <c r="R763" t="str">
        <f t="shared" si="107"/>
        <v>Not Due</v>
      </c>
    </row>
    <row r="764" spans="1:18" x14ac:dyDescent="0.35">
      <c r="A764" t="s">
        <v>771</v>
      </c>
      <c r="B764" t="s">
        <v>809</v>
      </c>
      <c r="C764" s="9">
        <v>45679</v>
      </c>
      <c r="D764" s="28" t="str">
        <f t="shared" si="99"/>
        <v>Jan 2025</v>
      </c>
      <c r="E764" s="9">
        <v>45709</v>
      </c>
      <c r="F764" t="s">
        <v>817</v>
      </c>
      <c r="G764">
        <v>3760.26</v>
      </c>
      <c r="H764" t="s">
        <v>819</v>
      </c>
      <c r="I764" s="15">
        <f t="shared" si="100"/>
        <v>0</v>
      </c>
      <c r="J764" s="18">
        <f t="shared" si="101"/>
        <v>3760.26</v>
      </c>
      <c r="L764" s="54" t="str">
        <f t="shared" si="102"/>
        <v/>
      </c>
      <c r="M764" s="9" t="str">
        <f t="shared" si="103"/>
        <v/>
      </c>
      <c r="N764" t="s">
        <v>822</v>
      </c>
      <c r="O764" s="17">
        <f t="shared" si="104"/>
        <v>45868</v>
      </c>
      <c r="P764" s="25">
        <f t="shared" si="105"/>
        <v>159</v>
      </c>
      <c r="Q764" t="str">
        <f t="shared" si="106"/>
        <v>90+</v>
      </c>
      <c r="R764" t="str">
        <f t="shared" si="107"/>
        <v>Due</v>
      </c>
    </row>
    <row r="765" spans="1:18" x14ac:dyDescent="0.35">
      <c r="A765" t="s">
        <v>772</v>
      </c>
      <c r="B765" t="s">
        <v>813</v>
      </c>
      <c r="C765" s="9">
        <v>45385</v>
      </c>
      <c r="D765" s="28" t="str">
        <f t="shared" si="99"/>
        <v>Apr 2024</v>
      </c>
      <c r="E765" s="9">
        <v>45415</v>
      </c>
      <c r="F765" t="s">
        <v>817</v>
      </c>
      <c r="G765">
        <v>645.44000000000005</v>
      </c>
      <c r="H765" t="s">
        <v>821</v>
      </c>
      <c r="I765" s="15">
        <f t="shared" si="100"/>
        <v>645.44000000000005</v>
      </c>
      <c r="J765" s="18">
        <f t="shared" si="101"/>
        <v>0</v>
      </c>
      <c r="K765" s="9">
        <v>45415</v>
      </c>
      <c r="L765" s="54">
        <f t="shared" si="102"/>
        <v>30</v>
      </c>
      <c r="M765" s="9" t="str">
        <f t="shared" si="103"/>
        <v>2024-May</v>
      </c>
      <c r="N765" t="s">
        <v>822</v>
      </c>
      <c r="O765" s="17">
        <f t="shared" si="104"/>
        <v>45868</v>
      </c>
      <c r="P765" s="25">
        <f t="shared" si="105"/>
        <v>0</v>
      </c>
      <c r="Q765" t="str">
        <f t="shared" si="106"/>
        <v>Paid</v>
      </c>
      <c r="R765" t="str">
        <f t="shared" si="107"/>
        <v>Not Due</v>
      </c>
    </row>
    <row r="766" spans="1:18" x14ac:dyDescent="0.35">
      <c r="A766" t="s">
        <v>773</v>
      </c>
      <c r="B766" t="s">
        <v>813</v>
      </c>
      <c r="C766" s="9">
        <v>45148</v>
      </c>
      <c r="D766" s="28" t="str">
        <f t="shared" si="99"/>
        <v>Aug 2023</v>
      </c>
      <c r="E766" s="9">
        <v>45178</v>
      </c>
      <c r="F766" t="s">
        <v>816</v>
      </c>
      <c r="G766">
        <v>1289.04</v>
      </c>
      <c r="H766" t="s">
        <v>821</v>
      </c>
      <c r="I766" s="15">
        <f t="shared" si="100"/>
        <v>1289.04</v>
      </c>
      <c r="J766" s="18">
        <f t="shared" si="101"/>
        <v>0</v>
      </c>
      <c r="K766" s="9">
        <v>45178</v>
      </c>
      <c r="L766" s="54">
        <f t="shared" si="102"/>
        <v>30</v>
      </c>
      <c r="M766" s="9" t="str">
        <f t="shared" si="103"/>
        <v>2023-Sep</v>
      </c>
      <c r="N766" t="s">
        <v>822</v>
      </c>
      <c r="O766" s="17">
        <f t="shared" si="104"/>
        <v>45868</v>
      </c>
      <c r="P766" s="25">
        <f t="shared" si="105"/>
        <v>0</v>
      </c>
      <c r="Q766" t="str">
        <f t="shared" si="106"/>
        <v>Paid</v>
      </c>
      <c r="R766" t="str">
        <f t="shared" si="107"/>
        <v>Not Due</v>
      </c>
    </row>
    <row r="767" spans="1:18" x14ac:dyDescent="0.35">
      <c r="A767" t="s">
        <v>774</v>
      </c>
      <c r="B767" t="s">
        <v>813</v>
      </c>
      <c r="C767" s="9">
        <v>45070</v>
      </c>
      <c r="D767" s="28" t="str">
        <f t="shared" si="99"/>
        <v>May 2023</v>
      </c>
      <c r="E767" s="9">
        <v>45100</v>
      </c>
      <c r="F767" t="s">
        <v>818</v>
      </c>
      <c r="G767">
        <v>3553.01</v>
      </c>
      <c r="H767" t="s">
        <v>821</v>
      </c>
      <c r="I767" s="15">
        <f t="shared" si="100"/>
        <v>3553.01</v>
      </c>
      <c r="J767" s="18">
        <f t="shared" si="101"/>
        <v>0</v>
      </c>
      <c r="K767" s="9">
        <v>45100</v>
      </c>
      <c r="L767" s="54">
        <f t="shared" si="102"/>
        <v>30</v>
      </c>
      <c r="M767" s="9" t="str">
        <f t="shared" si="103"/>
        <v>2023-Jun</v>
      </c>
      <c r="N767" t="s">
        <v>822</v>
      </c>
      <c r="O767" s="17">
        <f t="shared" si="104"/>
        <v>45868</v>
      </c>
      <c r="P767" s="25">
        <f t="shared" si="105"/>
        <v>0</v>
      </c>
      <c r="Q767" t="str">
        <f t="shared" si="106"/>
        <v>Paid</v>
      </c>
      <c r="R767" t="str">
        <f t="shared" si="107"/>
        <v>Not Due</v>
      </c>
    </row>
    <row r="768" spans="1:18" x14ac:dyDescent="0.35">
      <c r="A768" t="s">
        <v>775</v>
      </c>
      <c r="B768" t="s">
        <v>811</v>
      </c>
      <c r="C768" s="9">
        <v>44988</v>
      </c>
      <c r="D768" s="28" t="str">
        <f t="shared" si="99"/>
        <v>Mar 2023</v>
      </c>
      <c r="E768" s="9">
        <v>45018</v>
      </c>
      <c r="F768" t="s">
        <v>817</v>
      </c>
      <c r="G768">
        <v>4286.67</v>
      </c>
      <c r="H768" t="s">
        <v>821</v>
      </c>
      <c r="I768" s="15">
        <f t="shared" si="100"/>
        <v>4286.67</v>
      </c>
      <c r="J768" s="18">
        <f t="shared" si="101"/>
        <v>0</v>
      </c>
      <c r="K768" s="9">
        <v>45018</v>
      </c>
      <c r="L768" s="54">
        <f t="shared" si="102"/>
        <v>30</v>
      </c>
      <c r="M768" s="9" t="str">
        <f t="shared" si="103"/>
        <v>2023-Apr</v>
      </c>
      <c r="N768" t="s">
        <v>822</v>
      </c>
      <c r="O768" s="17">
        <f t="shared" si="104"/>
        <v>45868</v>
      </c>
      <c r="P768" s="25">
        <f t="shared" si="105"/>
        <v>0</v>
      </c>
      <c r="Q768" t="str">
        <f t="shared" si="106"/>
        <v>Paid</v>
      </c>
      <c r="R768" t="str">
        <f t="shared" si="107"/>
        <v>Not Due</v>
      </c>
    </row>
    <row r="769" spans="1:18" x14ac:dyDescent="0.35">
      <c r="A769" t="s">
        <v>776</v>
      </c>
      <c r="B769" t="s">
        <v>810</v>
      </c>
      <c r="C769" s="9">
        <v>45263</v>
      </c>
      <c r="D769" s="28" t="str">
        <f t="shared" si="99"/>
        <v>Dec 2023</v>
      </c>
      <c r="E769" s="9">
        <v>45293</v>
      </c>
      <c r="F769" t="s">
        <v>816</v>
      </c>
      <c r="G769">
        <v>5905.74</v>
      </c>
      <c r="H769" t="s">
        <v>820</v>
      </c>
      <c r="I769" s="15">
        <f t="shared" si="100"/>
        <v>0</v>
      </c>
      <c r="J769" s="18" t="str">
        <f t="shared" si="101"/>
        <v>N/A</v>
      </c>
      <c r="L769" s="54" t="str">
        <f t="shared" si="102"/>
        <v/>
      </c>
      <c r="M769" s="9" t="str">
        <f t="shared" si="103"/>
        <v/>
      </c>
      <c r="N769" t="s">
        <v>822</v>
      </c>
      <c r="O769" s="17">
        <f t="shared" si="104"/>
        <v>45868</v>
      </c>
      <c r="P769" s="25">
        <f t="shared" si="105"/>
        <v>575</v>
      </c>
      <c r="Q769" t="str">
        <f t="shared" si="106"/>
        <v>90+</v>
      </c>
      <c r="R769" t="str">
        <f t="shared" si="107"/>
        <v>Due</v>
      </c>
    </row>
    <row r="770" spans="1:18" x14ac:dyDescent="0.35">
      <c r="A770" t="s">
        <v>777</v>
      </c>
      <c r="B770" t="s">
        <v>810</v>
      </c>
      <c r="C770" s="9">
        <v>45659</v>
      </c>
      <c r="D770" s="28" t="str">
        <f t="shared" si="99"/>
        <v>Jan 2025</v>
      </c>
      <c r="E770" s="9">
        <v>45689</v>
      </c>
      <c r="F770" t="s">
        <v>816</v>
      </c>
      <c r="G770">
        <v>4047.47</v>
      </c>
      <c r="H770" t="s">
        <v>820</v>
      </c>
      <c r="I770" s="15">
        <f t="shared" si="100"/>
        <v>0</v>
      </c>
      <c r="J770" s="18" t="str">
        <f t="shared" si="101"/>
        <v>N/A</v>
      </c>
      <c r="L770" s="54" t="str">
        <f t="shared" si="102"/>
        <v/>
      </c>
      <c r="M770" s="9" t="str">
        <f t="shared" si="103"/>
        <v/>
      </c>
      <c r="N770" t="s">
        <v>822</v>
      </c>
      <c r="O770" s="17">
        <f t="shared" si="104"/>
        <v>45868</v>
      </c>
      <c r="P770" s="25">
        <f t="shared" si="105"/>
        <v>179</v>
      </c>
      <c r="Q770" t="str">
        <f t="shared" si="106"/>
        <v>90+</v>
      </c>
      <c r="R770" t="str">
        <f t="shared" si="107"/>
        <v>Due</v>
      </c>
    </row>
    <row r="771" spans="1:18" x14ac:dyDescent="0.35">
      <c r="A771" t="s">
        <v>778</v>
      </c>
      <c r="B771" t="s">
        <v>811</v>
      </c>
      <c r="C771" s="9">
        <v>45752</v>
      </c>
      <c r="D771" s="28" t="str">
        <f t="shared" ref="D771:D801" si="108">TEXT(C771,"MMM YYYY")</f>
        <v>Apr 2025</v>
      </c>
      <c r="E771" s="9">
        <v>45782</v>
      </c>
      <c r="F771" t="s">
        <v>815</v>
      </c>
      <c r="G771">
        <v>2519.7600000000002</v>
      </c>
      <c r="H771" t="s">
        <v>819</v>
      </c>
      <c r="I771" s="15">
        <f t="shared" ref="I771:I801" si="109">IF(H771="Paid",G771,0)</f>
        <v>0</v>
      </c>
      <c r="J771" s="18">
        <f t="shared" ref="J771:J801" si="110">IF(H771="Open",G771,IF(H771="Paid",0,"N/A"))</f>
        <v>2519.7600000000002</v>
      </c>
      <c r="L771" s="54" t="str">
        <f t="shared" ref="L771:L801" si="111">IF(H771="Paid",K771-C771,"")</f>
        <v/>
      </c>
      <c r="M771" s="9" t="str">
        <f t="shared" ref="M771:M801" si="112">IF(K771="","",TEXT(K771, "YYYY-MMM"))</f>
        <v/>
      </c>
      <c r="N771" t="s">
        <v>822</v>
      </c>
      <c r="O771" s="17">
        <f t="shared" ref="O771:O801" si="113">MAX(MAX($C$2:$C$801), MAX($E$2:$E$801))</f>
        <v>45868</v>
      </c>
      <c r="P771" s="25">
        <f t="shared" ref="P771:P801" si="114">IF(K771="", O771-E771,0)</f>
        <v>86</v>
      </c>
      <c r="Q771" t="str">
        <f t="shared" ref="Q771:Q801" si="115">IF(H771="Paid","Paid",
   IF(P771&lt;=0,"Current",
      IF(P771&lt;=30,"1-30",
         IF(P771&lt;=60,"31-60",
            IF(P771&lt;=90,"61-90","90+")))))</f>
        <v>61-90</v>
      </c>
      <c r="R771" t="str">
        <f t="shared" ref="R771:R801" si="116">IF(P771=0, "Not Due","Due")</f>
        <v>Due</v>
      </c>
    </row>
    <row r="772" spans="1:18" x14ac:dyDescent="0.35">
      <c r="A772" t="s">
        <v>779</v>
      </c>
      <c r="B772" t="s">
        <v>812</v>
      </c>
      <c r="C772" s="9">
        <v>45648</v>
      </c>
      <c r="D772" s="28" t="str">
        <f t="shared" si="108"/>
        <v>Dec 2024</v>
      </c>
      <c r="E772" s="9">
        <v>45678</v>
      </c>
      <c r="F772" t="s">
        <v>814</v>
      </c>
      <c r="G772">
        <v>338.72</v>
      </c>
      <c r="H772" t="s">
        <v>819</v>
      </c>
      <c r="I772" s="15">
        <f t="shared" si="109"/>
        <v>0</v>
      </c>
      <c r="J772" s="18">
        <f t="shared" si="110"/>
        <v>338.72</v>
      </c>
      <c r="L772" s="54" t="str">
        <f t="shared" si="111"/>
        <v/>
      </c>
      <c r="M772" s="9" t="str">
        <f t="shared" si="112"/>
        <v/>
      </c>
      <c r="N772" t="s">
        <v>822</v>
      </c>
      <c r="O772" s="17">
        <f t="shared" si="113"/>
        <v>45868</v>
      </c>
      <c r="P772" s="25">
        <f t="shared" si="114"/>
        <v>190</v>
      </c>
      <c r="Q772" t="str">
        <f t="shared" si="115"/>
        <v>90+</v>
      </c>
      <c r="R772" t="str">
        <f t="shared" si="116"/>
        <v>Due</v>
      </c>
    </row>
    <row r="773" spans="1:18" x14ac:dyDescent="0.35">
      <c r="A773" t="s">
        <v>780</v>
      </c>
      <c r="B773" t="s">
        <v>813</v>
      </c>
      <c r="C773" s="9">
        <v>45725</v>
      </c>
      <c r="D773" s="28" t="str">
        <f t="shared" si="108"/>
        <v>Mar 2025</v>
      </c>
      <c r="E773" s="9">
        <v>45755</v>
      </c>
      <c r="F773" t="s">
        <v>816</v>
      </c>
      <c r="G773">
        <v>3523.26</v>
      </c>
      <c r="H773" t="s">
        <v>820</v>
      </c>
      <c r="I773" s="15">
        <f t="shared" si="109"/>
        <v>0</v>
      </c>
      <c r="J773" s="18" t="str">
        <f t="shared" si="110"/>
        <v>N/A</v>
      </c>
      <c r="L773" s="54" t="str">
        <f t="shared" si="111"/>
        <v/>
      </c>
      <c r="M773" s="9" t="str">
        <f t="shared" si="112"/>
        <v/>
      </c>
      <c r="N773" t="s">
        <v>822</v>
      </c>
      <c r="O773" s="17">
        <f t="shared" si="113"/>
        <v>45868</v>
      </c>
      <c r="P773" s="25">
        <f t="shared" si="114"/>
        <v>113</v>
      </c>
      <c r="Q773" t="str">
        <f t="shared" si="115"/>
        <v>90+</v>
      </c>
      <c r="R773" t="str">
        <f t="shared" si="116"/>
        <v>Due</v>
      </c>
    </row>
    <row r="774" spans="1:18" x14ac:dyDescent="0.35">
      <c r="A774" t="s">
        <v>781</v>
      </c>
      <c r="B774" t="s">
        <v>811</v>
      </c>
      <c r="C774" s="9">
        <v>45505</v>
      </c>
      <c r="D774" s="28" t="str">
        <f t="shared" si="108"/>
        <v>Aug 2024</v>
      </c>
      <c r="E774" s="9">
        <v>45535</v>
      </c>
      <c r="F774" t="s">
        <v>815</v>
      </c>
      <c r="G774">
        <v>3541.31</v>
      </c>
      <c r="H774" t="s">
        <v>819</v>
      </c>
      <c r="I774" s="15">
        <f t="shared" si="109"/>
        <v>0</v>
      </c>
      <c r="J774" s="18">
        <f t="shared" si="110"/>
        <v>3541.31</v>
      </c>
      <c r="L774" s="54" t="str">
        <f t="shared" si="111"/>
        <v/>
      </c>
      <c r="M774" s="9" t="str">
        <f t="shared" si="112"/>
        <v/>
      </c>
      <c r="N774" t="s">
        <v>822</v>
      </c>
      <c r="O774" s="17">
        <f t="shared" si="113"/>
        <v>45868</v>
      </c>
      <c r="P774" s="25">
        <f t="shared" si="114"/>
        <v>333</v>
      </c>
      <c r="Q774" t="str">
        <f t="shared" si="115"/>
        <v>90+</v>
      </c>
      <c r="R774" t="str">
        <f t="shared" si="116"/>
        <v>Due</v>
      </c>
    </row>
    <row r="775" spans="1:18" x14ac:dyDescent="0.35">
      <c r="A775" t="s">
        <v>782</v>
      </c>
      <c r="B775" t="s">
        <v>811</v>
      </c>
      <c r="C775" s="9">
        <v>45738</v>
      </c>
      <c r="D775" s="28" t="str">
        <f t="shared" si="108"/>
        <v>Mar 2025</v>
      </c>
      <c r="E775" s="9">
        <v>45768</v>
      </c>
      <c r="F775" t="s">
        <v>816</v>
      </c>
      <c r="G775">
        <v>3815.13</v>
      </c>
      <c r="H775" t="s">
        <v>820</v>
      </c>
      <c r="I775" s="15">
        <f t="shared" si="109"/>
        <v>0</v>
      </c>
      <c r="J775" s="18" t="str">
        <f t="shared" si="110"/>
        <v>N/A</v>
      </c>
      <c r="L775" s="54" t="str">
        <f t="shared" si="111"/>
        <v/>
      </c>
      <c r="M775" s="9" t="str">
        <f t="shared" si="112"/>
        <v/>
      </c>
      <c r="N775" t="s">
        <v>822</v>
      </c>
      <c r="O775" s="17">
        <f t="shared" si="113"/>
        <v>45868</v>
      </c>
      <c r="P775" s="25">
        <f t="shared" si="114"/>
        <v>100</v>
      </c>
      <c r="Q775" t="str">
        <f t="shared" si="115"/>
        <v>90+</v>
      </c>
      <c r="R775" t="str">
        <f t="shared" si="116"/>
        <v>Due</v>
      </c>
    </row>
    <row r="776" spans="1:18" x14ac:dyDescent="0.35">
      <c r="A776" t="s">
        <v>783</v>
      </c>
      <c r="B776" t="s">
        <v>812</v>
      </c>
      <c r="C776" s="9">
        <v>45716</v>
      </c>
      <c r="D776" s="28" t="str">
        <f t="shared" si="108"/>
        <v>Feb 2025</v>
      </c>
      <c r="E776" s="9">
        <v>45746</v>
      </c>
      <c r="F776" t="s">
        <v>814</v>
      </c>
      <c r="G776">
        <v>4553.49</v>
      </c>
      <c r="H776" t="s">
        <v>819</v>
      </c>
      <c r="I776" s="15">
        <f t="shared" si="109"/>
        <v>0</v>
      </c>
      <c r="J776" s="18">
        <f t="shared" si="110"/>
        <v>4553.49</v>
      </c>
      <c r="L776" s="54" t="str">
        <f t="shared" si="111"/>
        <v/>
      </c>
      <c r="M776" s="9" t="str">
        <f t="shared" si="112"/>
        <v/>
      </c>
      <c r="N776" t="s">
        <v>822</v>
      </c>
      <c r="O776" s="17">
        <f t="shared" si="113"/>
        <v>45868</v>
      </c>
      <c r="P776" s="25">
        <f t="shared" si="114"/>
        <v>122</v>
      </c>
      <c r="Q776" t="str">
        <f t="shared" si="115"/>
        <v>90+</v>
      </c>
      <c r="R776" t="str">
        <f t="shared" si="116"/>
        <v>Due</v>
      </c>
    </row>
    <row r="777" spans="1:18" x14ac:dyDescent="0.35">
      <c r="A777" t="s">
        <v>784</v>
      </c>
      <c r="B777" t="s">
        <v>812</v>
      </c>
      <c r="C777" s="9">
        <v>45083</v>
      </c>
      <c r="D777" s="28" t="str">
        <f t="shared" si="108"/>
        <v>Jun 2023</v>
      </c>
      <c r="E777" s="9">
        <v>45113</v>
      </c>
      <c r="F777" t="s">
        <v>814</v>
      </c>
      <c r="G777">
        <v>1844.29</v>
      </c>
      <c r="H777" t="s">
        <v>820</v>
      </c>
      <c r="I777" s="15">
        <f t="shared" si="109"/>
        <v>0</v>
      </c>
      <c r="J777" s="18" t="str">
        <f t="shared" si="110"/>
        <v>N/A</v>
      </c>
      <c r="L777" s="54" t="str">
        <f t="shared" si="111"/>
        <v/>
      </c>
      <c r="M777" s="9" t="str">
        <f t="shared" si="112"/>
        <v/>
      </c>
      <c r="N777" t="s">
        <v>822</v>
      </c>
      <c r="O777" s="17">
        <f t="shared" si="113"/>
        <v>45868</v>
      </c>
      <c r="P777" s="25">
        <f t="shared" si="114"/>
        <v>755</v>
      </c>
      <c r="Q777" t="str">
        <f t="shared" si="115"/>
        <v>90+</v>
      </c>
      <c r="R777" t="str">
        <f t="shared" si="116"/>
        <v>Due</v>
      </c>
    </row>
    <row r="778" spans="1:18" x14ac:dyDescent="0.35">
      <c r="A778" t="s">
        <v>785</v>
      </c>
      <c r="B778" t="s">
        <v>809</v>
      </c>
      <c r="C778" s="9">
        <v>45723</v>
      </c>
      <c r="D778" s="28" t="str">
        <f t="shared" si="108"/>
        <v>Mar 2025</v>
      </c>
      <c r="E778" s="9">
        <v>45753</v>
      </c>
      <c r="F778" t="s">
        <v>816</v>
      </c>
      <c r="G778">
        <v>998.7</v>
      </c>
      <c r="H778" t="s">
        <v>820</v>
      </c>
      <c r="I778" s="15">
        <f t="shared" si="109"/>
        <v>0</v>
      </c>
      <c r="J778" s="18" t="str">
        <f t="shared" si="110"/>
        <v>N/A</v>
      </c>
      <c r="L778" s="54" t="str">
        <f t="shared" si="111"/>
        <v/>
      </c>
      <c r="M778" s="9" t="str">
        <f t="shared" si="112"/>
        <v/>
      </c>
      <c r="N778" t="s">
        <v>822</v>
      </c>
      <c r="O778" s="17">
        <f t="shared" si="113"/>
        <v>45868</v>
      </c>
      <c r="P778" s="25">
        <f t="shared" si="114"/>
        <v>115</v>
      </c>
      <c r="Q778" t="str">
        <f t="shared" si="115"/>
        <v>90+</v>
      </c>
      <c r="R778" t="str">
        <f t="shared" si="116"/>
        <v>Due</v>
      </c>
    </row>
    <row r="779" spans="1:18" x14ac:dyDescent="0.35">
      <c r="A779" t="s">
        <v>786</v>
      </c>
      <c r="B779" t="s">
        <v>811</v>
      </c>
      <c r="C779" s="9">
        <v>45315</v>
      </c>
      <c r="D779" s="28" t="str">
        <f t="shared" si="108"/>
        <v>Jan 2024</v>
      </c>
      <c r="E779" s="9">
        <v>45345</v>
      </c>
      <c r="F779" t="s">
        <v>818</v>
      </c>
      <c r="G779">
        <v>1833.64</v>
      </c>
      <c r="H779" t="s">
        <v>819</v>
      </c>
      <c r="I779" s="15">
        <f t="shared" si="109"/>
        <v>0</v>
      </c>
      <c r="J779" s="18">
        <f t="shared" si="110"/>
        <v>1833.64</v>
      </c>
      <c r="L779" s="54" t="str">
        <f t="shared" si="111"/>
        <v/>
      </c>
      <c r="M779" s="9" t="str">
        <f t="shared" si="112"/>
        <v/>
      </c>
      <c r="N779" t="s">
        <v>822</v>
      </c>
      <c r="O779" s="17">
        <f t="shared" si="113"/>
        <v>45868</v>
      </c>
      <c r="P779" s="25">
        <f t="shared" si="114"/>
        <v>523</v>
      </c>
      <c r="Q779" t="str">
        <f t="shared" si="115"/>
        <v>90+</v>
      </c>
      <c r="R779" t="str">
        <f t="shared" si="116"/>
        <v>Due</v>
      </c>
    </row>
    <row r="780" spans="1:18" x14ac:dyDescent="0.35">
      <c r="A780" t="s">
        <v>787</v>
      </c>
      <c r="B780" t="s">
        <v>811</v>
      </c>
      <c r="C780" s="9">
        <v>45608</v>
      </c>
      <c r="D780" s="28" t="str">
        <f t="shared" si="108"/>
        <v>Nov 2024</v>
      </c>
      <c r="E780" s="9">
        <v>45638</v>
      </c>
      <c r="F780" t="s">
        <v>818</v>
      </c>
      <c r="G780">
        <v>3438.47</v>
      </c>
      <c r="H780" t="s">
        <v>820</v>
      </c>
      <c r="I780" s="15">
        <f t="shared" si="109"/>
        <v>0</v>
      </c>
      <c r="J780" s="18" t="str">
        <f t="shared" si="110"/>
        <v>N/A</v>
      </c>
      <c r="L780" s="54" t="str">
        <f t="shared" si="111"/>
        <v/>
      </c>
      <c r="M780" s="9" t="str">
        <f t="shared" si="112"/>
        <v/>
      </c>
      <c r="N780" t="s">
        <v>822</v>
      </c>
      <c r="O780" s="17">
        <f t="shared" si="113"/>
        <v>45868</v>
      </c>
      <c r="P780" s="25">
        <f t="shared" si="114"/>
        <v>230</v>
      </c>
      <c r="Q780" t="str">
        <f t="shared" si="115"/>
        <v>90+</v>
      </c>
      <c r="R780" t="str">
        <f t="shared" si="116"/>
        <v>Due</v>
      </c>
    </row>
    <row r="781" spans="1:18" x14ac:dyDescent="0.35">
      <c r="A781" t="s">
        <v>788</v>
      </c>
      <c r="B781" t="s">
        <v>810</v>
      </c>
      <c r="C781" s="9">
        <v>45231</v>
      </c>
      <c r="D781" s="28" t="str">
        <f t="shared" si="108"/>
        <v>Nov 2023</v>
      </c>
      <c r="E781" s="9">
        <v>45261</v>
      </c>
      <c r="F781" t="s">
        <v>816</v>
      </c>
      <c r="G781">
        <v>1076.1600000000001</v>
      </c>
      <c r="H781" t="s">
        <v>821</v>
      </c>
      <c r="I781" s="15">
        <f t="shared" si="109"/>
        <v>1076.1600000000001</v>
      </c>
      <c r="J781" s="18">
        <f t="shared" si="110"/>
        <v>0</v>
      </c>
      <c r="K781" s="9">
        <v>45261</v>
      </c>
      <c r="L781" s="54">
        <f t="shared" si="111"/>
        <v>30</v>
      </c>
      <c r="M781" s="9" t="str">
        <f t="shared" si="112"/>
        <v>2023-Dec</v>
      </c>
      <c r="N781" t="s">
        <v>822</v>
      </c>
      <c r="O781" s="17">
        <f t="shared" si="113"/>
        <v>45868</v>
      </c>
      <c r="P781" s="25">
        <f t="shared" si="114"/>
        <v>0</v>
      </c>
      <c r="Q781" t="str">
        <f t="shared" si="115"/>
        <v>Paid</v>
      </c>
      <c r="R781" t="str">
        <f t="shared" si="116"/>
        <v>Not Due</v>
      </c>
    </row>
    <row r="782" spans="1:18" x14ac:dyDescent="0.35">
      <c r="A782" t="s">
        <v>789</v>
      </c>
      <c r="B782" t="s">
        <v>811</v>
      </c>
      <c r="C782" s="9">
        <v>45533</v>
      </c>
      <c r="D782" s="28" t="str">
        <f t="shared" si="108"/>
        <v>Aug 2024</v>
      </c>
      <c r="E782" s="9">
        <v>45563</v>
      </c>
      <c r="F782" t="s">
        <v>817</v>
      </c>
      <c r="G782">
        <v>4963.01</v>
      </c>
      <c r="H782" t="s">
        <v>820</v>
      </c>
      <c r="I782" s="15">
        <f t="shared" si="109"/>
        <v>0</v>
      </c>
      <c r="J782" s="18" t="str">
        <f t="shared" si="110"/>
        <v>N/A</v>
      </c>
      <c r="L782" s="54" t="str">
        <f t="shared" si="111"/>
        <v/>
      </c>
      <c r="M782" s="9" t="str">
        <f t="shared" si="112"/>
        <v/>
      </c>
      <c r="N782" t="s">
        <v>822</v>
      </c>
      <c r="O782" s="17">
        <f t="shared" si="113"/>
        <v>45868</v>
      </c>
      <c r="P782" s="25">
        <f t="shared" si="114"/>
        <v>305</v>
      </c>
      <c r="Q782" t="str">
        <f t="shared" si="115"/>
        <v>90+</v>
      </c>
      <c r="R782" t="str">
        <f t="shared" si="116"/>
        <v>Due</v>
      </c>
    </row>
    <row r="783" spans="1:18" x14ac:dyDescent="0.35">
      <c r="A783" t="s">
        <v>790</v>
      </c>
      <c r="B783" t="s">
        <v>809</v>
      </c>
      <c r="C783" s="9">
        <v>45126</v>
      </c>
      <c r="D783" s="28" t="str">
        <f t="shared" si="108"/>
        <v>Jul 2023</v>
      </c>
      <c r="E783" s="9">
        <v>45156</v>
      </c>
      <c r="F783" t="s">
        <v>816</v>
      </c>
      <c r="G783">
        <v>6167.97</v>
      </c>
      <c r="H783" t="s">
        <v>821</v>
      </c>
      <c r="I783" s="15">
        <f t="shared" si="109"/>
        <v>6167.97</v>
      </c>
      <c r="J783" s="18">
        <f t="shared" si="110"/>
        <v>0</v>
      </c>
      <c r="K783" s="9">
        <v>45156</v>
      </c>
      <c r="L783" s="54">
        <f t="shared" si="111"/>
        <v>30</v>
      </c>
      <c r="M783" s="9" t="str">
        <f t="shared" si="112"/>
        <v>2023-Aug</v>
      </c>
      <c r="N783" t="s">
        <v>822</v>
      </c>
      <c r="O783" s="17">
        <f t="shared" si="113"/>
        <v>45868</v>
      </c>
      <c r="P783" s="25">
        <f t="shared" si="114"/>
        <v>0</v>
      </c>
      <c r="Q783" t="str">
        <f t="shared" si="115"/>
        <v>Paid</v>
      </c>
      <c r="R783" t="str">
        <f t="shared" si="116"/>
        <v>Not Due</v>
      </c>
    </row>
    <row r="784" spans="1:18" x14ac:dyDescent="0.35">
      <c r="A784" t="s">
        <v>791</v>
      </c>
      <c r="B784" t="s">
        <v>810</v>
      </c>
      <c r="C784" s="9">
        <v>45615</v>
      </c>
      <c r="D784" s="28" t="str">
        <f t="shared" si="108"/>
        <v>Nov 2024</v>
      </c>
      <c r="E784" s="9">
        <v>45645</v>
      </c>
      <c r="F784" t="s">
        <v>814</v>
      </c>
      <c r="G784">
        <v>3626.93</v>
      </c>
      <c r="H784" t="s">
        <v>820</v>
      </c>
      <c r="I784" s="15">
        <f t="shared" si="109"/>
        <v>0</v>
      </c>
      <c r="J784" s="18" t="str">
        <f t="shared" si="110"/>
        <v>N/A</v>
      </c>
      <c r="L784" s="54" t="str">
        <f t="shared" si="111"/>
        <v/>
      </c>
      <c r="M784" s="9" t="str">
        <f t="shared" si="112"/>
        <v/>
      </c>
      <c r="N784" t="s">
        <v>822</v>
      </c>
      <c r="O784" s="17">
        <f t="shared" si="113"/>
        <v>45868</v>
      </c>
      <c r="P784" s="25">
        <f t="shared" si="114"/>
        <v>223</v>
      </c>
      <c r="Q784" t="str">
        <f t="shared" si="115"/>
        <v>90+</v>
      </c>
      <c r="R784" t="str">
        <f t="shared" si="116"/>
        <v>Due</v>
      </c>
    </row>
    <row r="785" spans="1:18" x14ac:dyDescent="0.35">
      <c r="A785" t="s">
        <v>792</v>
      </c>
      <c r="B785" t="s">
        <v>812</v>
      </c>
      <c r="C785" s="9">
        <v>45768</v>
      </c>
      <c r="D785" s="28" t="str">
        <f t="shared" si="108"/>
        <v>Apr 2025</v>
      </c>
      <c r="E785" s="9">
        <v>45798</v>
      </c>
      <c r="F785" t="s">
        <v>818</v>
      </c>
      <c r="G785">
        <v>2404.2199999999998</v>
      </c>
      <c r="H785" t="s">
        <v>821</v>
      </c>
      <c r="I785" s="15">
        <f t="shared" si="109"/>
        <v>2404.2199999999998</v>
      </c>
      <c r="J785" s="18">
        <f t="shared" si="110"/>
        <v>0</v>
      </c>
      <c r="K785" s="9">
        <v>45798</v>
      </c>
      <c r="L785" s="54">
        <f t="shared" si="111"/>
        <v>30</v>
      </c>
      <c r="M785" s="9" t="str">
        <f t="shared" si="112"/>
        <v>2025-May</v>
      </c>
      <c r="N785" t="s">
        <v>822</v>
      </c>
      <c r="O785" s="17">
        <f t="shared" si="113"/>
        <v>45868</v>
      </c>
      <c r="P785" s="25">
        <f t="shared" si="114"/>
        <v>0</v>
      </c>
      <c r="Q785" t="str">
        <f t="shared" si="115"/>
        <v>Paid</v>
      </c>
      <c r="R785" t="str">
        <f t="shared" si="116"/>
        <v>Not Due</v>
      </c>
    </row>
    <row r="786" spans="1:18" x14ac:dyDescent="0.35">
      <c r="A786" t="s">
        <v>793</v>
      </c>
      <c r="B786" t="s">
        <v>811</v>
      </c>
      <c r="C786" s="9">
        <v>45754</v>
      </c>
      <c r="D786" s="28" t="str">
        <f t="shared" si="108"/>
        <v>Apr 2025</v>
      </c>
      <c r="E786" s="9">
        <v>45784</v>
      </c>
      <c r="F786" t="s">
        <v>818</v>
      </c>
      <c r="G786">
        <v>3013.6</v>
      </c>
      <c r="H786" t="s">
        <v>821</v>
      </c>
      <c r="I786" s="15">
        <f t="shared" si="109"/>
        <v>3013.6</v>
      </c>
      <c r="J786" s="18">
        <f t="shared" si="110"/>
        <v>0</v>
      </c>
      <c r="K786" s="9">
        <v>45784</v>
      </c>
      <c r="L786" s="54">
        <f t="shared" si="111"/>
        <v>30</v>
      </c>
      <c r="M786" s="9" t="str">
        <f t="shared" si="112"/>
        <v>2025-May</v>
      </c>
      <c r="N786" t="s">
        <v>822</v>
      </c>
      <c r="O786" s="17">
        <f t="shared" si="113"/>
        <v>45868</v>
      </c>
      <c r="P786" s="25">
        <f t="shared" si="114"/>
        <v>0</v>
      </c>
      <c r="Q786" t="str">
        <f t="shared" si="115"/>
        <v>Paid</v>
      </c>
      <c r="R786" t="str">
        <f t="shared" si="116"/>
        <v>Not Due</v>
      </c>
    </row>
    <row r="787" spans="1:18" x14ac:dyDescent="0.35">
      <c r="A787" t="s">
        <v>794</v>
      </c>
      <c r="B787" t="s">
        <v>810</v>
      </c>
      <c r="C787" s="9">
        <v>45249</v>
      </c>
      <c r="D787" s="28" t="str">
        <f t="shared" si="108"/>
        <v>Nov 2023</v>
      </c>
      <c r="E787" s="9">
        <v>45279</v>
      </c>
      <c r="F787" t="s">
        <v>815</v>
      </c>
      <c r="G787">
        <v>2902.9</v>
      </c>
      <c r="H787" t="s">
        <v>821</v>
      </c>
      <c r="I787" s="15">
        <f t="shared" si="109"/>
        <v>2902.9</v>
      </c>
      <c r="J787" s="18">
        <f t="shared" si="110"/>
        <v>0</v>
      </c>
      <c r="K787" s="9">
        <v>45279</v>
      </c>
      <c r="L787" s="54">
        <f t="shared" si="111"/>
        <v>30</v>
      </c>
      <c r="M787" s="9" t="str">
        <f t="shared" si="112"/>
        <v>2023-Dec</v>
      </c>
      <c r="N787" t="s">
        <v>822</v>
      </c>
      <c r="O787" s="17">
        <f t="shared" si="113"/>
        <v>45868</v>
      </c>
      <c r="P787" s="25">
        <f t="shared" si="114"/>
        <v>0</v>
      </c>
      <c r="Q787" t="str">
        <f t="shared" si="115"/>
        <v>Paid</v>
      </c>
      <c r="R787" t="str">
        <f t="shared" si="116"/>
        <v>Not Due</v>
      </c>
    </row>
    <row r="788" spans="1:18" x14ac:dyDescent="0.35">
      <c r="A788" t="s">
        <v>795</v>
      </c>
      <c r="B788" t="s">
        <v>813</v>
      </c>
      <c r="C788" s="9">
        <v>45687</v>
      </c>
      <c r="D788" s="28" t="str">
        <f t="shared" si="108"/>
        <v>Jan 2025</v>
      </c>
      <c r="E788" s="9">
        <v>45717</v>
      </c>
      <c r="F788" t="s">
        <v>816</v>
      </c>
      <c r="G788">
        <v>1027.0999999999999</v>
      </c>
      <c r="H788" t="s">
        <v>820</v>
      </c>
      <c r="I788" s="15">
        <f t="shared" si="109"/>
        <v>0</v>
      </c>
      <c r="J788" s="18" t="str">
        <f t="shared" si="110"/>
        <v>N/A</v>
      </c>
      <c r="L788" s="54" t="str">
        <f t="shared" si="111"/>
        <v/>
      </c>
      <c r="M788" s="9" t="str">
        <f t="shared" si="112"/>
        <v/>
      </c>
      <c r="N788" t="s">
        <v>822</v>
      </c>
      <c r="O788" s="17">
        <f t="shared" si="113"/>
        <v>45868</v>
      </c>
      <c r="P788" s="25">
        <f t="shared" si="114"/>
        <v>151</v>
      </c>
      <c r="Q788" t="str">
        <f t="shared" si="115"/>
        <v>90+</v>
      </c>
      <c r="R788" t="str">
        <f t="shared" si="116"/>
        <v>Due</v>
      </c>
    </row>
    <row r="789" spans="1:18" x14ac:dyDescent="0.35">
      <c r="A789" t="s">
        <v>796</v>
      </c>
      <c r="B789" t="s">
        <v>811</v>
      </c>
      <c r="C789" s="9">
        <v>45115</v>
      </c>
      <c r="D789" s="28" t="str">
        <f t="shared" si="108"/>
        <v>Jul 2023</v>
      </c>
      <c r="E789" s="9">
        <v>45145</v>
      </c>
      <c r="F789" t="s">
        <v>815</v>
      </c>
      <c r="G789">
        <v>1205.94</v>
      </c>
      <c r="H789" t="s">
        <v>821</v>
      </c>
      <c r="I789" s="15">
        <f t="shared" si="109"/>
        <v>1205.94</v>
      </c>
      <c r="J789" s="18">
        <f t="shared" si="110"/>
        <v>0</v>
      </c>
      <c r="K789" s="9">
        <v>45145</v>
      </c>
      <c r="L789" s="54">
        <f t="shared" si="111"/>
        <v>30</v>
      </c>
      <c r="M789" s="9" t="str">
        <f t="shared" si="112"/>
        <v>2023-Aug</v>
      </c>
      <c r="N789" t="s">
        <v>822</v>
      </c>
      <c r="O789" s="17">
        <f t="shared" si="113"/>
        <v>45868</v>
      </c>
      <c r="P789" s="25">
        <f t="shared" si="114"/>
        <v>0</v>
      </c>
      <c r="Q789" t="str">
        <f t="shared" si="115"/>
        <v>Paid</v>
      </c>
      <c r="R789" t="str">
        <f t="shared" si="116"/>
        <v>Not Due</v>
      </c>
    </row>
    <row r="790" spans="1:18" x14ac:dyDescent="0.35">
      <c r="A790" t="s">
        <v>797</v>
      </c>
      <c r="B790" t="s">
        <v>809</v>
      </c>
      <c r="C790" s="9">
        <v>45551</v>
      </c>
      <c r="D790" s="28" t="str">
        <f t="shared" si="108"/>
        <v>Sep 2024</v>
      </c>
      <c r="E790" s="9">
        <v>45581</v>
      </c>
      <c r="F790" t="s">
        <v>814</v>
      </c>
      <c r="G790">
        <v>4733.13</v>
      </c>
      <c r="H790" t="s">
        <v>820</v>
      </c>
      <c r="I790" s="15">
        <f t="shared" si="109"/>
        <v>0</v>
      </c>
      <c r="J790" s="18" t="str">
        <f t="shared" si="110"/>
        <v>N/A</v>
      </c>
      <c r="L790" s="54" t="str">
        <f t="shared" si="111"/>
        <v/>
      </c>
      <c r="M790" s="9" t="str">
        <f t="shared" si="112"/>
        <v/>
      </c>
      <c r="N790" t="s">
        <v>822</v>
      </c>
      <c r="O790" s="17">
        <f t="shared" si="113"/>
        <v>45868</v>
      </c>
      <c r="P790" s="25">
        <f t="shared" si="114"/>
        <v>287</v>
      </c>
      <c r="Q790" t="str">
        <f t="shared" si="115"/>
        <v>90+</v>
      </c>
      <c r="R790" t="str">
        <f t="shared" si="116"/>
        <v>Due</v>
      </c>
    </row>
    <row r="791" spans="1:18" x14ac:dyDescent="0.35">
      <c r="A791" t="s">
        <v>798</v>
      </c>
      <c r="B791" t="s">
        <v>810</v>
      </c>
      <c r="C791" s="9">
        <v>44975</v>
      </c>
      <c r="D791" s="28" t="str">
        <f t="shared" si="108"/>
        <v>Feb 2023</v>
      </c>
      <c r="E791" s="9">
        <v>45005</v>
      </c>
      <c r="F791" t="s">
        <v>817</v>
      </c>
      <c r="G791">
        <v>4071.09</v>
      </c>
      <c r="H791" t="s">
        <v>820</v>
      </c>
      <c r="I791" s="15">
        <f t="shared" si="109"/>
        <v>0</v>
      </c>
      <c r="J791" s="18" t="str">
        <f t="shared" si="110"/>
        <v>N/A</v>
      </c>
      <c r="L791" s="54" t="str">
        <f t="shared" si="111"/>
        <v/>
      </c>
      <c r="M791" s="9" t="str">
        <f t="shared" si="112"/>
        <v/>
      </c>
      <c r="N791" t="s">
        <v>822</v>
      </c>
      <c r="O791" s="17">
        <f t="shared" si="113"/>
        <v>45868</v>
      </c>
      <c r="P791" s="25">
        <f t="shared" si="114"/>
        <v>863</v>
      </c>
      <c r="Q791" t="str">
        <f t="shared" si="115"/>
        <v>90+</v>
      </c>
      <c r="R791" t="str">
        <f t="shared" si="116"/>
        <v>Due</v>
      </c>
    </row>
    <row r="792" spans="1:18" x14ac:dyDescent="0.35">
      <c r="A792" t="s">
        <v>799</v>
      </c>
      <c r="B792" t="s">
        <v>809</v>
      </c>
      <c r="C792" s="9">
        <v>45682</v>
      </c>
      <c r="D792" s="28" t="str">
        <f t="shared" si="108"/>
        <v>Jan 2025</v>
      </c>
      <c r="E792" s="9">
        <v>45712</v>
      </c>
      <c r="F792" t="s">
        <v>816</v>
      </c>
      <c r="G792">
        <v>423.29</v>
      </c>
      <c r="H792" t="s">
        <v>819</v>
      </c>
      <c r="I792" s="15">
        <f t="shared" si="109"/>
        <v>0</v>
      </c>
      <c r="J792" s="18">
        <f t="shared" si="110"/>
        <v>423.29</v>
      </c>
      <c r="L792" s="54" t="str">
        <f t="shared" si="111"/>
        <v/>
      </c>
      <c r="M792" s="9" t="str">
        <f t="shared" si="112"/>
        <v/>
      </c>
      <c r="N792" t="s">
        <v>822</v>
      </c>
      <c r="O792" s="17">
        <f t="shared" si="113"/>
        <v>45868</v>
      </c>
      <c r="P792" s="25">
        <f t="shared" si="114"/>
        <v>156</v>
      </c>
      <c r="Q792" t="str">
        <f t="shared" si="115"/>
        <v>90+</v>
      </c>
      <c r="R792" t="str">
        <f t="shared" si="116"/>
        <v>Due</v>
      </c>
    </row>
    <row r="793" spans="1:18" x14ac:dyDescent="0.35">
      <c r="A793" t="s">
        <v>800</v>
      </c>
      <c r="B793" t="s">
        <v>810</v>
      </c>
      <c r="C793" s="9">
        <v>45467</v>
      </c>
      <c r="D793" s="28" t="str">
        <f t="shared" si="108"/>
        <v>Jun 2024</v>
      </c>
      <c r="E793" s="9">
        <v>45497</v>
      </c>
      <c r="F793" t="s">
        <v>818</v>
      </c>
      <c r="G793">
        <v>3131.99</v>
      </c>
      <c r="H793" t="s">
        <v>821</v>
      </c>
      <c r="I793" s="15">
        <f t="shared" si="109"/>
        <v>3131.99</v>
      </c>
      <c r="J793" s="18">
        <f t="shared" si="110"/>
        <v>0</v>
      </c>
      <c r="K793" s="9">
        <v>45497</v>
      </c>
      <c r="L793" s="54">
        <f t="shared" si="111"/>
        <v>30</v>
      </c>
      <c r="M793" s="9" t="str">
        <f t="shared" si="112"/>
        <v>2024-Jul</v>
      </c>
      <c r="N793" t="s">
        <v>822</v>
      </c>
      <c r="O793" s="17">
        <f t="shared" si="113"/>
        <v>45868</v>
      </c>
      <c r="P793" s="25">
        <f t="shared" si="114"/>
        <v>0</v>
      </c>
      <c r="Q793" t="str">
        <f t="shared" si="115"/>
        <v>Paid</v>
      </c>
      <c r="R793" t="str">
        <f t="shared" si="116"/>
        <v>Not Due</v>
      </c>
    </row>
    <row r="794" spans="1:18" x14ac:dyDescent="0.35">
      <c r="A794" t="s">
        <v>801</v>
      </c>
      <c r="B794" t="s">
        <v>809</v>
      </c>
      <c r="C794" s="9">
        <v>45354</v>
      </c>
      <c r="D794" s="28" t="str">
        <f t="shared" si="108"/>
        <v>Mar 2024</v>
      </c>
      <c r="E794" s="9">
        <v>45384</v>
      </c>
      <c r="F794" t="s">
        <v>816</v>
      </c>
      <c r="G794">
        <v>4789.1000000000004</v>
      </c>
      <c r="H794" t="s">
        <v>819</v>
      </c>
      <c r="I794" s="15">
        <f t="shared" si="109"/>
        <v>0</v>
      </c>
      <c r="J794" s="18">
        <f t="shared" si="110"/>
        <v>4789.1000000000004</v>
      </c>
      <c r="L794" s="54" t="str">
        <f t="shared" si="111"/>
        <v/>
      </c>
      <c r="M794" s="9" t="str">
        <f t="shared" si="112"/>
        <v/>
      </c>
      <c r="N794" t="s">
        <v>822</v>
      </c>
      <c r="O794" s="17">
        <f t="shared" si="113"/>
        <v>45868</v>
      </c>
      <c r="P794" s="25">
        <f t="shared" si="114"/>
        <v>484</v>
      </c>
      <c r="Q794" t="str">
        <f t="shared" si="115"/>
        <v>90+</v>
      </c>
      <c r="R794" t="str">
        <f t="shared" si="116"/>
        <v>Due</v>
      </c>
    </row>
    <row r="795" spans="1:18" x14ac:dyDescent="0.35">
      <c r="A795" t="s">
        <v>802</v>
      </c>
      <c r="B795" t="s">
        <v>809</v>
      </c>
      <c r="C795" s="9">
        <v>44978</v>
      </c>
      <c r="D795" s="28" t="str">
        <f t="shared" si="108"/>
        <v>Feb 2023</v>
      </c>
      <c r="E795" s="9">
        <v>45008</v>
      </c>
      <c r="F795" t="s">
        <v>818</v>
      </c>
      <c r="G795">
        <v>2158.5500000000002</v>
      </c>
      <c r="H795" t="s">
        <v>821</v>
      </c>
      <c r="I795" s="15">
        <f t="shared" si="109"/>
        <v>2158.5500000000002</v>
      </c>
      <c r="J795" s="18">
        <f t="shared" si="110"/>
        <v>0</v>
      </c>
      <c r="K795" s="9">
        <v>45008</v>
      </c>
      <c r="L795" s="54">
        <f t="shared" si="111"/>
        <v>30</v>
      </c>
      <c r="M795" s="9" t="str">
        <f t="shared" si="112"/>
        <v>2023-Mar</v>
      </c>
      <c r="N795" t="s">
        <v>822</v>
      </c>
      <c r="O795" s="17">
        <f t="shared" si="113"/>
        <v>45868</v>
      </c>
      <c r="P795" s="25">
        <f t="shared" si="114"/>
        <v>0</v>
      </c>
      <c r="Q795" t="str">
        <f t="shared" si="115"/>
        <v>Paid</v>
      </c>
      <c r="R795" t="str">
        <f t="shared" si="116"/>
        <v>Not Due</v>
      </c>
    </row>
    <row r="796" spans="1:18" x14ac:dyDescent="0.35">
      <c r="A796" t="s">
        <v>803</v>
      </c>
      <c r="B796" t="s">
        <v>810</v>
      </c>
      <c r="C796" s="9">
        <v>45543</v>
      </c>
      <c r="D796" s="28" t="str">
        <f t="shared" si="108"/>
        <v>Sep 2024</v>
      </c>
      <c r="E796" s="9">
        <v>45573</v>
      </c>
      <c r="F796" t="s">
        <v>814</v>
      </c>
      <c r="G796">
        <v>878.03</v>
      </c>
      <c r="H796" t="s">
        <v>820</v>
      </c>
      <c r="I796" s="15">
        <f t="shared" si="109"/>
        <v>0</v>
      </c>
      <c r="J796" s="18" t="str">
        <f t="shared" si="110"/>
        <v>N/A</v>
      </c>
      <c r="L796" s="54" t="str">
        <f t="shared" si="111"/>
        <v/>
      </c>
      <c r="M796" s="9" t="str">
        <f t="shared" si="112"/>
        <v/>
      </c>
      <c r="N796" t="s">
        <v>822</v>
      </c>
      <c r="O796" s="17">
        <f t="shared" si="113"/>
        <v>45868</v>
      </c>
      <c r="P796" s="25">
        <f t="shared" si="114"/>
        <v>295</v>
      </c>
      <c r="Q796" t="str">
        <f t="shared" si="115"/>
        <v>90+</v>
      </c>
      <c r="R796" t="str">
        <f t="shared" si="116"/>
        <v>Due</v>
      </c>
    </row>
    <row r="797" spans="1:18" x14ac:dyDescent="0.35">
      <c r="A797" t="s">
        <v>804</v>
      </c>
      <c r="B797" t="s">
        <v>810</v>
      </c>
      <c r="C797" s="9">
        <v>44961</v>
      </c>
      <c r="D797" s="28" t="str">
        <f t="shared" si="108"/>
        <v>Feb 2023</v>
      </c>
      <c r="E797" s="9">
        <v>44991</v>
      </c>
      <c r="F797" t="s">
        <v>818</v>
      </c>
      <c r="G797">
        <v>3059.23</v>
      </c>
      <c r="H797" t="s">
        <v>821</v>
      </c>
      <c r="I797" s="15">
        <f t="shared" si="109"/>
        <v>3059.23</v>
      </c>
      <c r="J797" s="18">
        <f t="shared" si="110"/>
        <v>0</v>
      </c>
      <c r="K797" s="9">
        <v>44991</v>
      </c>
      <c r="L797" s="54">
        <f t="shared" si="111"/>
        <v>30</v>
      </c>
      <c r="M797" s="9" t="str">
        <f t="shared" si="112"/>
        <v>2023-Mar</v>
      </c>
      <c r="N797" t="s">
        <v>822</v>
      </c>
      <c r="O797" s="17">
        <f t="shared" si="113"/>
        <v>45868</v>
      </c>
      <c r="P797" s="25">
        <f t="shared" si="114"/>
        <v>0</v>
      </c>
      <c r="Q797" t="str">
        <f t="shared" si="115"/>
        <v>Paid</v>
      </c>
      <c r="R797" t="str">
        <f t="shared" si="116"/>
        <v>Not Due</v>
      </c>
    </row>
    <row r="798" spans="1:18" x14ac:dyDescent="0.35">
      <c r="A798" t="s">
        <v>805</v>
      </c>
      <c r="B798" t="s">
        <v>809</v>
      </c>
      <c r="C798" s="9">
        <v>45384</v>
      </c>
      <c r="D798" s="28" t="str">
        <f t="shared" si="108"/>
        <v>Apr 2024</v>
      </c>
      <c r="E798" s="9">
        <v>45414</v>
      </c>
      <c r="F798" t="s">
        <v>816</v>
      </c>
      <c r="G798">
        <v>833.76</v>
      </c>
      <c r="H798" t="s">
        <v>819</v>
      </c>
      <c r="I798" s="15">
        <f t="shared" si="109"/>
        <v>0</v>
      </c>
      <c r="J798" s="18">
        <f t="shared" si="110"/>
        <v>833.76</v>
      </c>
      <c r="L798" s="54" t="str">
        <f t="shared" si="111"/>
        <v/>
      </c>
      <c r="M798" s="9" t="str">
        <f t="shared" si="112"/>
        <v/>
      </c>
      <c r="N798" t="s">
        <v>822</v>
      </c>
      <c r="O798" s="17">
        <f t="shared" si="113"/>
        <v>45868</v>
      </c>
      <c r="P798" s="25">
        <f t="shared" si="114"/>
        <v>454</v>
      </c>
      <c r="Q798" t="str">
        <f t="shared" si="115"/>
        <v>90+</v>
      </c>
      <c r="R798" t="str">
        <f t="shared" si="116"/>
        <v>Due</v>
      </c>
    </row>
    <row r="799" spans="1:18" x14ac:dyDescent="0.35">
      <c r="A799" t="s">
        <v>806</v>
      </c>
      <c r="B799" t="s">
        <v>812</v>
      </c>
      <c r="C799" s="9">
        <v>45732</v>
      </c>
      <c r="D799" s="28" t="str">
        <f t="shared" si="108"/>
        <v>Mar 2025</v>
      </c>
      <c r="E799" s="9">
        <v>45762</v>
      </c>
      <c r="F799" t="s">
        <v>814</v>
      </c>
      <c r="G799">
        <v>1179.4000000000001</v>
      </c>
      <c r="H799" t="s">
        <v>820</v>
      </c>
      <c r="I799" s="15">
        <f t="shared" si="109"/>
        <v>0</v>
      </c>
      <c r="J799" s="18" t="str">
        <f t="shared" si="110"/>
        <v>N/A</v>
      </c>
      <c r="L799" s="54" t="str">
        <f t="shared" si="111"/>
        <v/>
      </c>
      <c r="M799" s="9" t="str">
        <f t="shared" si="112"/>
        <v/>
      </c>
      <c r="N799" t="s">
        <v>822</v>
      </c>
      <c r="O799" s="17">
        <f t="shared" si="113"/>
        <v>45868</v>
      </c>
      <c r="P799" s="25">
        <f t="shared" si="114"/>
        <v>106</v>
      </c>
      <c r="Q799" t="str">
        <f t="shared" si="115"/>
        <v>90+</v>
      </c>
      <c r="R799" t="str">
        <f t="shared" si="116"/>
        <v>Due</v>
      </c>
    </row>
    <row r="800" spans="1:18" x14ac:dyDescent="0.35">
      <c r="A800" t="s">
        <v>807</v>
      </c>
      <c r="B800" t="s">
        <v>811</v>
      </c>
      <c r="C800" s="9">
        <v>45827</v>
      </c>
      <c r="D800" s="28" t="str">
        <f t="shared" si="108"/>
        <v>Jun 2025</v>
      </c>
      <c r="E800" s="9">
        <v>45857</v>
      </c>
      <c r="F800" t="s">
        <v>816</v>
      </c>
      <c r="G800">
        <v>394.42</v>
      </c>
      <c r="H800" t="s">
        <v>820</v>
      </c>
      <c r="I800" s="15">
        <f t="shared" si="109"/>
        <v>0</v>
      </c>
      <c r="J800" s="18" t="str">
        <f t="shared" si="110"/>
        <v>N/A</v>
      </c>
      <c r="L800" s="54" t="str">
        <f t="shared" si="111"/>
        <v/>
      </c>
      <c r="M800" s="9" t="str">
        <f t="shared" si="112"/>
        <v/>
      </c>
      <c r="N800" t="s">
        <v>822</v>
      </c>
      <c r="O800" s="17">
        <f t="shared" si="113"/>
        <v>45868</v>
      </c>
      <c r="P800" s="25">
        <f t="shared" si="114"/>
        <v>11</v>
      </c>
      <c r="Q800" t="str">
        <f t="shared" si="115"/>
        <v>1-30</v>
      </c>
      <c r="R800" t="str">
        <f t="shared" si="116"/>
        <v>Due</v>
      </c>
    </row>
    <row r="801" spans="1:18" x14ac:dyDescent="0.35">
      <c r="A801" t="s">
        <v>808</v>
      </c>
      <c r="B801" t="s">
        <v>812</v>
      </c>
      <c r="C801" s="9">
        <v>45648</v>
      </c>
      <c r="D801" s="28" t="str">
        <f t="shared" si="108"/>
        <v>Dec 2024</v>
      </c>
      <c r="E801" s="9">
        <v>45678</v>
      </c>
      <c r="F801" t="s">
        <v>818</v>
      </c>
      <c r="G801">
        <v>3316.77</v>
      </c>
      <c r="H801" t="s">
        <v>820</v>
      </c>
      <c r="I801" s="15">
        <f t="shared" si="109"/>
        <v>0</v>
      </c>
      <c r="J801" s="18" t="str">
        <f t="shared" si="110"/>
        <v>N/A</v>
      </c>
      <c r="L801" s="54" t="str">
        <f t="shared" si="111"/>
        <v/>
      </c>
      <c r="M801" s="9" t="str">
        <f t="shared" si="112"/>
        <v/>
      </c>
      <c r="N801" t="s">
        <v>822</v>
      </c>
      <c r="O801" s="17">
        <f t="shared" si="113"/>
        <v>45868</v>
      </c>
      <c r="P801" s="25">
        <f t="shared" si="114"/>
        <v>190</v>
      </c>
      <c r="Q801" t="str">
        <f t="shared" si="115"/>
        <v>90+</v>
      </c>
      <c r="R801" t="str">
        <f t="shared" si="116"/>
        <v>Due</v>
      </c>
    </row>
  </sheetData>
  <autoFilter ref="A1:R801" xr:uid="{D98389C1-326B-4A32-9334-052D34607336}"/>
  <pageMargins left="0.7" right="0.7" top="0.75" bottom="0.75" header="0.3" footer="0.3"/>
  <pageSetup orientation="portrait" r:id="rId1"/>
  <ignoredErrors>
    <ignoredError sqref="O1 O802:O1048576"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01"/>
  <sheetViews>
    <sheetView topLeftCell="F1" zoomScaleNormal="100" workbookViewId="0">
      <selection activeCell="G1" sqref="G1:H1048576"/>
    </sheetView>
  </sheetViews>
  <sheetFormatPr defaultRowHeight="14.5" x14ac:dyDescent="0.35"/>
  <cols>
    <col min="1" max="1" width="9.453125" bestFit="1" customWidth="1"/>
    <col min="2" max="2" width="19.453125" customWidth="1"/>
    <col min="3" max="3" width="15.54296875" style="9" customWidth="1"/>
    <col min="4" max="4" width="16" style="9" customWidth="1"/>
    <col min="5" max="5" width="13.26953125" customWidth="1"/>
    <col min="6" max="6" width="14" customWidth="1"/>
    <col min="7" max="7" width="17.6328125" customWidth="1"/>
    <col min="8" max="8" width="23.1796875" style="16" customWidth="1"/>
    <col min="9" max="9" width="16.08984375" style="11" customWidth="1"/>
    <col min="10" max="10" width="26.1796875" style="13" bestFit="1" customWidth="1"/>
    <col min="11" max="11" width="15.26953125" style="4" customWidth="1"/>
    <col min="12" max="12" width="16.7265625" customWidth="1"/>
    <col min="14" max="14" width="9.6328125" bestFit="1" customWidth="1"/>
    <col min="15" max="15" width="12.90625" bestFit="1" customWidth="1"/>
  </cols>
  <sheetData>
    <row r="1" spans="1:15" x14ac:dyDescent="0.35">
      <c r="A1" s="1" t="s">
        <v>0</v>
      </c>
      <c r="B1" s="1" t="s">
        <v>1</v>
      </c>
      <c r="C1" s="8" t="s">
        <v>2</v>
      </c>
      <c r="D1" s="8" t="s">
        <v>3</v>
      </c>
      <c r="E1" s="1" t="s">
        <v>4</v>
      </c>
      <c r="F1" s="1" t="s">
        <v>5</v>
      </c>
      <c r="G1" s="1" t="s">
        <v>830</v>
      </c>
      <c r="H1" s="14" t="s">
        <v>836</v>
      </c>
      <c r="I1" s="10" t="s">
        <v>6</v>
      </c>
      <c r="J1" s="12" t="s">
        <v>834</v>
      </c>
      <c r="K1" s="3" t="s">
        <v>7</v>
      </c>
      <c r="L1" s="1" t="s">
        <v>8</v>
      </c>
    </row>
    <row r="2" spans="1:15" x14ac:dyDescent="0.35">
      <c r="A2" t="s">
        <v>9</v>
      </c>
      <c r="B2" t="s">
        <v>809</v>
      </c>
      <c r="C2" s="9">
        <v>45642</v>
      </c>
      <c r="D2" s="9">
        <v>45672</v>
      </c>
      <c r="E2">
        <v>344.25</v>
      </c>
      <c r="F2" t="s">
        <v>814</v>
      </c>
      <c r="G2" t="str">
        <f>'Raw Data bck'!F2&amp;"/USD"</f>
        <v>EUR/USD</v>
      </c>
      <c r="H2" s="15">
        <v>400.84</v>
      </c>
      <c r="I2" s="11" t="s">
        <v>819</v>
      </c>
      <c r="J2" s="13">
        <f>IF(I2="Open",H2,IF(I2="Paid",0,"N/A"))</f>
        <v>400.84</v>
      </c>
      <c r="L2" t="s">
        <v>822</v>
      </c>
    </row>
    <row r="3" spans="1:15" x14ac:dyDescent="0.35">
      <c r="A3" t="s">
        <v>10</v>
      </c>
      <c r="B3" t="s">
        <v>809</v>
      </c>
      <c r="C3" s="9">
        <v>45430</v>
      </c>
      <c r="D3" s="9">
        <v>45460</v>
      </c>
      <c r="E3">
        <v>3298.38</v>
      </c>
      <c r="F3" t="s">
        <v>815</v>
      </c>
      <c r="G3" t="str">
        <f>'Raw Data bck'!F3&amp;"/USD"</f>
        <v>CAD/USD</v>
      </c>
      <c r="H3" s="16">
        <v>2381.4299999999998</v>
      </c>
      <c r="I3" s="11" t="s">
        <v>820</v>
      </c>
      <c r="J3" s="13" t="str">
        <f>IF(I3="Open",H3,IF(I3="Paid",0,"N/A"))</f>
        <v>N/A</v>
      </c>
      <c r="L3" t="s">
        <v>822</v>
      </c>
    </row>
    <row r="4" spans="1:15" x14ac:dyDescent="0.35">
      <c r="A4" t="s">
        <v>11</v>
      </c>
      <c r="B4" t="s">
        <v>810</v>
      </c>
      <c r="C4" s="9">
        <v>45347</v>
      </c>
      <c r="D4" s="9">
        <v>45377</v>
      </c>
      <c r="E4">
        <v>1023.43</v>
      </c>
      <c r="F4" t="s">
        <v>816</v>
      </c>
      <c r="G4" t="str">
        <f>'Raw Data bck'!F4&amp;"/USD"</f>
        <v>GBP/USD</v>
      </c>
      <c r="H4" s="15">
        <v>1390.64</v>
      </c>
      <c r="I4" s="11" t="s">
        <v>819</v>
      </c>
      <c r="J4" s="13">
        <f>IF(I4="Open",H4,IF(I4="Paid",0,"N/A"))</f>
        <v>1390.64</v>
      </c>
      <c r="L4" t="s">
        <v>822</v>
      </c>
    </row>
    <row r="5" spans="1:15" x14ac:dyDescent="0.35">
      <c r="A5" t="s">
        <v>12</v>
      </c>
      <c r="B5" t="s">
        <v>811</v>
      </c>
      <c r="C5" s="9">
        <v>45299</v>
      </c>
      <c r="D5" s="9">
        <v>45329</v>
      </c>
      <c r="E5">
        <v>4433.05</v>
      </c>
      <c r="F5" t="s">
        <v>817</v>
      </c>
      <c r="G5" t="str">
        <f>'Raw Data bck'!F5&amp;"/USD"</f>
        <v>USD/USD</v>
      </c>
      <c r="H5" s="16">
        <v>4433.05</v>
      </c>
      <c r="I5" s="11" t="s">
        <v>820</v>
      </c>
      <c r="J5" s="13" t="str">
        <f>IF(I5="Open",H5,IF(I5="Paid",0,"N/A"))</f>
        <v>N/A</v>
      </c>
      <c r="L5" t="s">
        <v>822</v>
      </c>
    </row>
    <row r="6" spans="1:15" x14ac:dyDescent="0.35">
      <c r="A6" t="s">
        <v>13</v>
      </c>
      <c r="B6" t="s">
        <v>811</v>
      </c>
      <c r="C6" s="9">
        <v>45435</v>
      </c>
      <c r="D6" s="9">
        <v>45465</v>
      </c>
      <c r="E6">
        <v>4345.1400000000003</v>
      </c>
      <c r="F6" t="s">
        <v>816</v>
      </c>
      <c r="G6" t="str">
        <f>'Raw Data bck'!F6&amp;"/USD"</f>
        <v>GBP/USD</v>
      </c>
      <c r="H6" s="16">
        <v>5904.18</v>
      </c>
      <c r="I6" s="11" t="s">
        <v>820</v>
      </c>
      <c r="J6" s="13" t="str">
        <f>IF(I6="Open",H6,IF(I6="Paid",0,"N/A"))</f>
        <v>N/A</v>
      </c>
      <c r="L6" t="s">
        <v>822</v>
      </c>
      <c r="N6" s="7" t="s">
        <v>824</v>
      </c>
      <c r="O6" s="7" t="s">
        <v>825</v>
      </c>
    </row>
    <row r="7" spans="1:15" x14ac:dyDescent="0.35">
      <c r="A7" t="s">
        <v>14</v>
      </c>
      <c r="B7" t="s">
        <v>810</v>
      </c>
      <c r="C7" s="9">
        <v>45482</v>
      </c>
      <c r="D7" s="9">
        <v>45512</v>
      </c>
      <c r="E7">
        <v>1599.18</v>
      </c>
      <c r="F7" t="s">
        <v>818</v>
      </c>
      <c r="G7" t="str">
        <f>'Raw Data bck'!F7&amp;"/USD"</f>
        <v>AUD/USD</v>
      </c>
      <c r="H7" s="15">
        <v>1150.93</v>
      </c>
      <c r="I7" s="11" t="s">
        <v>819</v>
      </c>
      <c r="J7" s="13">
        <f>IF(I7="Open",H7,IF(I7="Paid",0,"N/A"))</f>
        <v>1150.93</v>
      </c>
      <c r="L7" t="s">
        <v>822</v>
      </c>
      <c r="N7" s="6" t="s">
        <v>826</v>
      </c>
      <c r="O7" s="6">
        <v>1.1599999999999999</v>
      </c>
    </row>
    <row r="8" spans="1:15" x14ac:dyDescent="0.35">
      <c r="A8" t="s">
        <v>15</v>
      </c>
      <c r="B8" t="s">
        <v>809</v>
      </c>
      <c r="C8" s="9">
        <v>45646</v>
      </c>
      <c r="D8" s="9">
        <v>45676</v>
      </c>
      <c r="E8">
        <v>894.13</v>
      </c>
      <c r="F8" t="s">
        <v>817</v>
      </c>
      <c r="G8" t="str">
        <f>'Raw Data bck'!F8&amp;"/USD"</f>
        <v>USD/USD</v>
      </c>
      <c r="H8" s="15">
        <v>894.13</v>
      </c>
      <c r="I8" s="11" t="s">
        <v>819</v>
      </c>
      <c r="J8" s="13">
        <f>IF(I8="Open",H8,IF(I8="Paid",0,"N/A"))</f>
        <v>894.13</v>
      </c>
      <c r="L8" t="s">
        <v>822</v>
      </c>
      <c r="N8" s="6" t="s">
        <v>827</v>
      </c>
      <c r="O8" s="6">
        <v>0.72</v>
      </c>
    </row>
    <row r="9" spans="1:15" x14ac:dyDescent="0.35">
      <c r="A9" t="s">
        <v>16</v>
      </c>
      <c r="B9" t="s">
        <v>810</v>
      </c>
      <c r="C9" s="9">
        <v>45560</v>
      </c>
      <c r="D9" s="9">
        <v>45590</v>
      </c>
      <c r="E9">
        <v>1303.06</v>
      </c>
      <c r="F9" t="s">
        <v>816</v>
      </c>
      <c r="G9" t="str">
        <f>'Raw Data bck'!F9&amp;"/USD"</f>
        <v>GBP/USD</v>
      </c>
      <c r="H9" s="15">
        <v>1770.6</v>
      </c>
      <c r="I9" s="11" t="s">
        <v>821</v>
      </c>
      <c r="J9" s="13">
        <f>IF(I9="Open",H9,IF(I9="Paid",0,"N/A"))</f>
        <v>0</v>
      </c>
      <c r="K9" s="4">
        <v>45590</v>
      </c>
      <c r="L9" t="s">
        <v>822</v>
      </c>
      <c r="N9" s="6" t="s">
        <v>828</v>
      </c>
      <c r="O9" s="6">
        <v>1.36</v>
      </c>
    </row>
    <row r="10" spans="1:15" x14ac:dyDescent="0.35">
      <c r="A10" t="s">
        <v>17</v>
      </c>
      <c r="B10" t="s">
        <v>811</v>
      </c>
      <c r="C10" s="9">
        <v>45334</v>
      </c>
      <c r="D10" s="9">
        <v>45364</v>
      </c>
      <c r="E10">
        <v>3481.8</v>
      </c>
      <c r="F10" t="s">
        <v>815</v>
      </c>
      <c r="G10" t="str">
        <f>'Raw Data bck'!F10&amp;"/USD"</f>
        <v>CAD/USD</v>
      </c>
      <c r="H10" s="15">
        <v>2513.86</v>
      </c>
      <c r="I10" s="11" t="s">
        <v>821</v>
      </c>
      <c r="J10" s="13">
        <f>IF(I10="Open",H10,IF(I10="Paid",0,"N/A"))</f>
        <v>0</v>
      </c>
      <c r="K10" s="4">
        <v>45364</v>
      </c>
      <c r="L10" t="s">
        <v>822</v>
      </c>
      <c r="N10" s="6" t="s">
        <v>829</v>
      </c>
      <c r="O10" s="6">
        <v>0.72</v>
      </c>
    </row>
    <row r="11" spans="1:15" x14ac:dyDescent="0.35">
      <c r="A11" t="s">
        <v>18</v>
      </c>
      <c r="B11" t="s">
        <v>811</v>
      </c>
      <c r="C11" s="9">
        <v>45470</v>
      </c>
      <c r="D11" s="9">
        <v>45500</v>
      </c>
      <c r="E11">
        <v>217.97</v>
      </c>
      <c r="F11" t="s">
        <v>817</v>
      </c>
      <c r="G11" t="str">
        <f>'Raw Data bck'!F11&amp;"/USD"</f>
        <v>USD/USD</v>
      </c>
      <c r="H11" s="15">
        <v>217.97</v>
      </c>
      <c r="I11" s="11" t="s">
        <v>819</v>
      </c>
      <c r="J11" s="13">
        <f>IF(I11="Open",H11,IF(I11="Paid",0,"N/A"))</f>
        <v>217.97</v>
      </c>
      <c r="L11" t="s">
        <v>822</v>
      </c>
    </row>
    <row r="12" spans="1:15" x14ac:dyDescent="0.35">
      <c r="A12" t="s">
        <v>19</v>
      </c>
      <c r="B12" t="s">
        <v>809</v>
      </c>
      <c r="C12" s="9">
        <v>45360</v>
      </c>
      <c r="D12" s="9">
        <v>45390</v>
      </c>
      <c r="E12">
        <v>1809.07</v>
      </c>
      <c r="F12" t="s">
        <v>814</v>
      </c>
      <c r="G12" t="str">
        <f>'Raw Data bck'!F12&amp;"/USD"</f>
        <v>EUR/USD</v>
      </c>
      <c r="H12" s="16">
        <v>2106.48</v>
      </c>
      <c r="I12" s="11" t="s">
        <v>820</v>
      </c>
      <c r="J12" s="13" t="str">
        <f>IF(I12="Open",H12,IF(I12="Paid",0,"N/A"))</f>
        <v>N/A</v>
      </c>
      <c r="L12" t="s">
        <v>822</v>
      </c>
    </row>
    <row r="13" spans="1:15" x14ac:dyDescent="0.35">
      <c r="A13" t="s">
        <v>20</v>
      </c>
      <c r="B13" t="s">
        <v>809</v>
      </c>
      <c r="C13" s="9">
        <v>45575</v>
      </c>
      <c r="D13" s="9">
        <v>45605</v>
      </c>
      <c r="E13">
        <v>884.1</v>
      </c>
      <c r="F13" t="s">
        <v>817</v>
      </c>
      <c r="G13" t="str">
        <f>'Raw Data bck'!F13&amp;"/USD"</f>
        <v>USD/USD</v>
      </c>
      <c r="H13" s="15">
        <v>884.1</v>
      </c>
      <c r="I13" s="11" t="s">
        <v>819</v>
      </c>
      <c r="J13" s="13">
        <f>IF(I13="Open",H13,IF(I13="Paid",0,"N/A"))</f>
        <v>884.1</v>
      </c>
      <c r="L13" t="s">
        <v>822</v>
      </c>
    </row>
    <row r="14" spans="1:15" x14ac:dyDescent="0.35">
      <c r="A14" t="s">
        <v>21</v>
      </c>
      <c r="B14" t="s">
        <v>811</v>
      </c>
      <c r="C14" s="9">
        <v>45065</v>
      </c>
      <c r="D14" s="9">
        <v>45095</v>
      </c>
      <c r="E14">
        <v>1491.7</v>
      </c>
      <c r="F14" t="s">
        <v>816</v>
      </c>
      <c r="G14" t="str">
        <f>'Raw Data bck'!F14&amp;"/USD"</f>
        <v>GBP/USD</v>
      </c>
      <c r="H14" s="15">
        <v>2026.92</v>
      </c>
      <c r="I14" s="11" t="s">
        <v>819</v>
      </c>
      <c r="J14" s="13">
        <f>IF(I14="Open",H14,IF(I14="Paid",0,"N/A"))</f>
        <v>2026.92</v>
      </c>
      <c r="L14" t="s">
        <v>822</v>
      </c>
    </row>
    <row r="15" spans="1:15" x14ac:dyDescent="0.35">
      <c r="A15" t="s">
        <v>22</v>
      </c>
      <c r="B15" t="s">
        <v>811</v>
      </c>
      <c r="C15" s="9">
        <v>45249</v>
      </c>
      <c r="D15" s="9">
        <v>45279</v>
      </c>
      <c r="E15">
        <v>4212.17</v>
      </c>
      <c r="F15" t="s">
        <v>818</v>
      </c>
      <c r="G15" t="str">
        <f>'Raw Data bck'!F15&amp;"/USD"</f>
        <v>AUD/USD</v>
      </c>
      <c r="H15" s="15">
        <v>3031.5</v>
      </c>
      <c r="I15" s="11" t="s">
        <v>821</v>
      </c>
      <c r="J15" s="13">
        <f>IF(I15="Open",H15,IF(I15="Paid",0,"N/A"))</f>
        <v>0</v>
      </c>
      <c r="K15" s="4">
        <v>45279</v>
      </c>
      <c r="L15" t="s">
        <v>822</v>
      </c>
    </row>
    <row r="16" spans="1:15" x14ac:dyDescent="0.35">
      <c r="A16" t="s">
        <v>23</v>
      </c>
      <c r="B16" t="s">
        <v>809</v>
      </c>
      <c r="C16" s="9">
        <v>45417</v>
      </c>
      <c r="D16" s="9">
        <v>45447</v>
      </c>
      <c r="E16">
        <v>1632.82</v>
      </c>
      <c r="F16" t="s">
        <v>816</v>
      </c>
      <c r="G16" t="str">
        <f>'Raw Data bck'!F16&amp;"/USD"</f>
        <v>GBP/USD</v>
      </c>
      <c r="H16" s="15">
        <v>2218.6799999999998</v>
      </c>
      <c r="I16" s="11" t="s">
        <v>819</v>
      </c>
      <c r="J16" s="13">
        <f>IF(I16="Open",H16,IF(I16="Paid",0,"N/A"))</f>
        <v>2218.6799999999998</v>
      </c>
      <c r="L16" t="s">
        <v>822</v>
      </c>
    </row>
    <row r="17" spans="1:12" x14ac:dyDescent="0.35">
      <c r="A17" t="s">
        <v>24</v>
      </c>
      <c r="B17" t="s">
        <v>809</v>
      </c>
      <c r="C17" s="9">
        <v>45081</v>
      </c>
      <c r="D17" s="9">
        <v>45111</v>
      </c>
      <c r="E17">
        <v>1887.67</v>
      </c>
      <c r="F17" t="s">
        <v>814</v>
      </c>
      <c r="G17" t="str">
        <f>'Raw Data bck'!F17&amp;"/USD"</f>
        <v>EUR/USD</v>
      </c>
      <c r="H17" s="15">
        <v>2198</v>
      </c>
      <c r="I17" s="11" t="s">
        <v>821</v>
      </c>
      <c r="J17" s="13">
        <f>IF(I17="Open",H17,IF(I17="Paid",0,"N/A"))</f>
        <v>0</v>
      </c>
      <c r="K17" s="4">
        <v>45111</v>
      </c>
      <c r="L17" t="s">
        <v>822</v>
      </c>
    </row>
    <row r="18" spans="1:12" x14ac:dyDescent="0.35">
      <c r="A18" t="s">
        <v>25</v>
      </c>
      <c r="B18" t="s">
        <v>809</v>
      </c>
      <c r="C18" s="9">
        <v>45270</v>
      </c>
      <c r="D18" s="9">
        <v>45300</v>
      </c>
      <c r="E18">
        <v>1721.41</v>
      </c>
      <c r="F18" t="s">
        <v>816</v>
      </c>
      <c r="G18" t="str">
        <f>'Raw Data bck'!F18&amp;"/USD"</f>
        <v>GBP/USD</v>
      </c>
      <c r="H18" s="15">
        <v>2339.0500000000002</v>
      </c>
      <c r="I18" s="11" t="s">
        <v>819</v>
      </c>
      <c r="J18" s="13">
        <f>IF(I18="Open",H18,IF(I18="Paid",0,"N/A"))</f>
        <v>2339.0500000000002</v>
      </c>
      <c r="L18" t="s">
        <v>822</v>
      </c>
    </row>
    <row r="19" spans="1:12" x14ac:dyDescent="0.35">
      <c r="A19" t="s">
        <v>26</v>
      </c>
      <c r="B19" t="s">
        <v>812</v>
      </c>
      <c r="C19" s="9">
        <v>45656</v>
      </c>
      <c r="D19" s="9">
        <v>45686</v>
      </c>
      <c r="E19">
        <v>2941.63</v>
      </c>
      <c r="F19" t="s">
        <v>817</v>
      </c>
      <c r="G19" t="str">
        <f>'Raw Data bck'!F19&amp;"/USD"</f>
        <v>USD/USD</v>
      </c>
      <c r="H19" s="15">
        <v>2941.63</v>
      </c>
      <c r="I19" s="11" t="s">
        <v>819</v>
      </c>
      <c r="J19" s="13">
        <f>IF(I19="Open",H19,IF(I19="Paid",0,"N/A"))</f>
        <v>2941.63</v>
      </c>
      <c r="L19" t="s">
        <v>822</v>
      </c>
    </row>
    <row r="20" spans="1:12" x14ac:dyDescent="0.35">
      <c r="A20" t="s">
        <v>27</v>
      </c>
      <c r="B20" t="s">
        <v>810</v>
      </c>
      <c r="C20" s="9">
        <v>45470</v>
      </c>
      <c r="D20" s="9">
        <v>45500</v>
      </c>
      <c r="E20">
        <v>889.44</v>
      </c>
      <c r="F20" t="s">
        <v>817</v>
      </c>
      <c r="G20" t="str">
        <f>'Raw Data bck'!F20&amp;"/USD"</f>
        <v>USD/USD</v>
      </c>
      <c r="H20" s="15">
        <v>889.44</v>
      </c>
      <c r="I20" s="11" t="s">
        <v>821</v>
      </c>
      <c r="J20" s="13">
        <f>IF(I20="Open",H20,IF(I20="Paid",0,"N/A"))</f>
        <v>0</v>
      </c>
      <c r="K20" s="4">
        <v>45500</v>
      </c>
      <c r="L20" t="s">
        <v>822</v>
      </c>
    </row>
    <row r="21" spans="1:12" x14ac:dyDescent="0.35">
      <c r="A21" t="s">
        <v>28</v>
      </c>
      <c r="B21" t="s">
        <v>810</v>
      </c>
      <c r="C21" s="9">
        <v>45744</v>
      </c>
      <c r="D21" s="9">
        <v>45774</v>
      </c>
      <c r="E21">
        <v>1539.53</v>
      </c>
      <c r="F21" t="s">
        <v>818</v>
      </c>
      <c r="G21" t="str">
        <f>'Raw Data bck'!F21&amp;"/USD"</f>
        <v>AUD/USD</v>
      </c>
      <c r="H21" s="16">
        <v>1108</v>
      </c>
      <c r="I21" s="11" t="s">
        <v>820</v>
      </c>
      <c r="J21" s="13" t="str">
        <f>IF(I21="Open",H21,IF(I21="Paid",0,"N/A"))</f>
        <v>N/A</v>
      </c>
      <c r="L21" t="s">
        <v>822</v>
      </c>
    </row>
    <row r="22" spans="1:12" x14ac:dyDescent="0.35">
      <c r="A22" t="s">
        <v>29</v>
      </c>
      <c r="B22" t="s">
        <v>813</v>
      </c>
      <c r="C22" s="9">
        <v>45121</v>
      </c>
      <c r="D22" s="9">
        <v>45151</v>
      </c>
      <c r="E22">
        <v>996.27</v>
      </c>
      <c r="F22" t="s">
        <v>818</v>
      </c>
      <c r="G22" t="str">
        <f>'Raw Data bck'!F22&amp;"/USD"</f>
        <v>AUD/USD</v>
      </c>
      <c r="H22" s="15">
        <v>717.02</v>
      </c>
      <c r="I22" s="11" t="s">
        <v>819</v>
      </c>
      <c r="J22" s="13">
        <f>IF(I22="Open",H22,IF(I22="Paid",0,"N/A"))</f>
        <v>717.02</v>
      </c>
      <c r="L22" t="s">
        <v>822</v>
      </c>
    </row>
    <row r="23" spans="1:12" x14ac:dyDescent="0.35">
      <c r="A23" t="s">
        <v>30</v>
      </c>
      <c r="B23" t="s">
        <v>813</v>
      </c>
      <c r="C23" s="9">
        <v>45105</v>
      </c>
      <c r="D23" s="9">
        <v>45135</v>
      </c>
      <c r="E23">
        <v>2450.1</v>
      </c>
      <c r="F23" t="s">
        <v>815</v>
      </c>
      <c r="G23" t="str">
        <f>'Raw Data bck'!F23&amp;"/USD"</f>
        <v>CAD/USD</v>
      </c>
      <c r="H23" s="16">
        <v>1768.97</v>
      </c>
      <c r="I23" s="11" t="s">
        <v>820</v>
      </c>
      <c r="J23" s="13" t="str">
        <f>IF(I23="Open",H23,IF(I23="Paid",0,"N/A"))</f>
        <v>N/A</v>
      </c>
      <c r="L23" t="s">
        <v>822</v>
      </c>
    </row>
    <row r="24" spans="1:12" x14ac:dyDescent="0.35">
      <c r="A24" t="s">
        <v>31</v>
      </c>
      <c r="B24" t="s">
        <v>812</v>
      </c>
      <c r="C24" s="9">
        <v>45653</v>
      </c>
      <c r="D24" s="9">
        <v>45683</v>
      </c>
      <c r="E24">
        <v>797.8</v>
      </c>
      <c r="F24" t="s">
        <v>815</v>
      </c>
      <c r="G24" t="str">
        <f>'Raw Data bck'!F24&amp;"/USD"</f>
        <v>CAD/USD</v>
      </c>
      <c r="H24" s="15">
        <v>576.01</v>
      </c>
      <c r="I24" s="11" t="s">
        <v>819</v>
      </c>
      <c r="J24" s="13">
        <f>IF(I24="Open",H24,IF(I24="Paid",0,"N/A"))</f>
        <v>576.01</v>
      </c>
      <c r="L24" t="s">
        <v>822</v>
      </c>
    </row>
    <row r="25" spans="1:12" x14ac:dyDescent="0.35">
      <c r="A25" t="s">
        <v>32</v>
      </c>
      <c r="B25" t="s">
        <v>809</v>
      </c>
      <c r="C25" s="9">
        <v>45062</v>
      </c>
      <c r="D25" s="9">
        <v>45092</v>
      </c>
      <c r="E25">
        <v>4237.6499999999996</v>
      </c>
      <c r="F25" t="s">
        <v>816</v>
      </c>
      <c r="G25" t="str">
        <f>'Raw Data bck'!F25&amp;"/USD"</f>
        <v>GBP/USD</v>
      </c>
      <c r="H25" s="16">
        <v>5758.12</v>
      </c>
      <c r="I25" s="11" t="s">
        <v>820</v>
      </c>
      <c r="J25" s="13" t="str">
        <f>IF(I25="Open",H25,IF(I25="Paid",0,"N/A"))</f>
        <v>N/A</v>
      </c>
      <c r="L25" t="s">
        <v>822</v>
      </c>
    </row>
    <row r="26" spans="1:12" x14ac:dyDescent="0.35">
      <c r="A26" t="s">
        <v>33</v>
      </c>
      <c r="B26" t="s">
        <v>812</v>
      </c>
      <c r="C26" s="9">
        <v>45199</v>
      </c>
      <c r="D26" s="9">
        <v>45229</v>
      </c>
      <c r="E26">
        <v>665.06</v>
      </c>
      <c r="F26" t="s">
        <v>818</v>
      </c>
      <c r="G26" t="str">
        <f>'Raw Data bck'!F26&amp;"/USD"</f>
        <v>AUD/USD</v>
      </c>
      <c r="H26" s="15">
        <v>478.64</v>
      </c>
      <c r="I26" s="11" t="s">
        <v>819</v>
      </c>
      <c r="J26" s="13">
        <f>IF(I26="Open",H26,IF(I26="Paid",0,"N/A"))</f>
        <v>478.64</v>
      </c>
      <c r="L26" t="s">
        <v>822</v>
      </c>
    </row>
    <row r="27" spans="1:12" x14ac:dyDescent="0.35">
      <c r="A27" t="s">
        <v>34</v>
      </c>
      <c r="B27" t="s">
        <v>812</v>
      </c>
      <c r="C27" s="9">
        <v>45640</v>
      </c>
      <c r="D27" s="9">
        <v>45670</v>
      </c>
      <c r="E27">
        <v>3849.16</v>
      </c>
      <c r="F27" t="s">
        <v>816</v>
      </c>
      <c r="G27" t="str">
        <f>'Raw Data bck'!F27&amp;"/USD"</f>
        <v>GBP/USD</v>
      </c>
      <c r="H27" s="16">
        <v>5230.24</v>
      </c>
      <c r="I27" s="11" t="s">
        <v>820</v>
      </c>
      <c r="J27" s="13" t="str">
        <f>IF(I27="Open",H27,IF(I27="Paid",0,"N/A"))</f>
        <v>N/A</v>
      </c>
      <c r="L27" t="s">
        <v>822</v>
      </c>
    </row>
    <row r="28" spans="1:12" x14ac:dyDescent="0.35">
      <c r="A28" t="s">
        <v>35</v>
      </c>
      <c r="B28" t="s">
        <v>809</v>
      </c>
      <c r="C28" s="9">
        <v>45124</v>
      </c>
      <c r="D28" s="9">
        <v>45154</v>
      </c>
      <c r="E28">
        <v>4411.88</v>
      </c>
      <c r="F28" t="s">
        <v>815</v>
      </c>
      <c r="G28" t="str">
        <f>'Raw Data bck'!F28&amp;"/USD"</f>
        <v>CAD/USD</v>
      </c>
      <c r="H28" s="15">
        <v>3185.38</v>
      </c>
      <c r="I28" s="11" t="s">
        <v>821</v>
      </c>
      <c r="J28" s="13">
        <f>IF(I28="Open",H28,IF(I28="Paid",0,"N/A"))</f>
        <v>0</v>
      </c>
      <c r="K28" s="4">
        <v>45154</v>
      </c>
      <c r="L28" t="s">
        <v>822</v>
      </c>
    </row>
    <row r="29" spans="1:12" x14ac:dyDescent="0.35">
      <c r="A29" t="s">
        <v>36</v>
      </c>
      <c r="B29" t="s">
        <v>810</v>
      </c>
      <c r="C29" s="9">
        <v>45376</v>
      </c>
      <c r="D29" s="9">
        <v>45406</v>
      </c>
      <c r="E29">
        <v>296.64999999999998</v>
      </c>
      <c r="F29" t="s">
        <v>817</v>
      </c>
      <c r="G29" t="str">
        <f>'Raw Data bck'!F29&amp;"/USD"</f>
        <v>USD/USD</v>
      </c>
      <c r="H29" s="15">
        <v>296.64999999999998</v>
      </c>
      <c r="I29" s="11" t="s">
        <v>821</v>
      </c>
      <c r="J29" s="13">
        <f>IF(I29="Open",H29,IF(I29="Paid",0,"N/A"))</f>
        <v>0</v>
      </c>
      <c r="K29" s="4">
        <v>45406</v>
      </c>
      <c r="L29" t="s">
        <v>822</v>
      </c>
    </row>
    <row r="30" spans="1:12" x14ac:dyDescent="0.35">
      <c r="A30" t="s">
        <v>37</v>
      </c>
      <c r="B30" t="s">
        <v>813</v>
      </c>
      <c r="C30" s="9">
        <v>45593</v>
      </c>
      <c r="D30" s="9">
        <v>45623</v>
      </c>
      <c r="E30">
        <v>3099.8</v>
      </c>
      <c r="F30" t="s">
        <v>816</v>
      </c>
      <c r="G30" t="str">
        <f>'Raw Data bck'!F30&amp;"/USD"</f>
        <v>GBP/USD</v>
      </c>
      <c r="H30" s="15">
        <v>4212.01</v>
      </c>
      <c r="I30" s="11" t="s">
        <v>819</v>
      </c>
      <c r="J30" s="13">
        <f>IF(I30="Open",H30,IF(I30="Paid",0,"N/A"))</f>
        <v>4212.01</v>
      </c>
      <c r="L30" t="s">
        <v>822</v>
      </c>
    </row>
    <row r="31" spans="1:12" x14ac:dyDescent="0.35">
      <c r="A31" t="s">
        <v>38</v>
      </c>
      <c r="B31" t="s">
        <v>812</v>
      </c>
      <c r="C31" s="9">
        <v>44991</v>
      </c>
      <c r="D31" s="9">
        <v>45021</v>
      </c>
      <c r="E31">
        <v>4007.29</v>
      </c>
      <c r="F31" t="s">
        <v>815</v>
      </c>
      <c r="G31" t="str">
        <f>'Raw Data bck'!F31&amp;"/USD"</f>
        <v>CAD/USD</v>
      </c>
      <c r="H31" s="15">
        <v>2893.26</v>
      </c>
      <c r="I31" s="11" t="s">
        <v>819</v>
      </c>
      <c r="J31" s="13">
        <f>IF(I31="Open",H31,IF(I31="Paid",0,"N/A"))</f>
        <v>2893.26</v>
      </c>
      <c r="L31" t="s">
        <v>822</v>
      </c>
    </row>
    <row r="32" spans="1:12" x14ac:dyDescent="0.35">
      <c r="A32" t="s">
        <v>39</v>
      </c>
      <c r="B32" t="s">
        <v>810</v>
      </c>
      <c r="C32" s="9">
        <v>45335</v>
      </c>
      <c r="D32" s="9">
        <v>45365</v>
      </c>
      <c r="E32">
        <v>2884.32</v>
      </c>
      <c r="F32" t="s">
        <v>815</v>
      </c>
      <c r="G32" t="str">
        <f>'Raw Data bck'!F32&amp;"/USD"</f>
        <v>CAD/USD</v>
      </c>
      <c r="H32" s="16">
        <v>2082.48</v>
      </c>
      <c r="I32" s="11" t="s">
        <v>820</v>
      </c>
      <c r="J32" s="13" t="str">
        <f>IF(I32="Open",H32,IF(I32="Paid",0,"N/A"))</f>
        <v>N/A</v>
      </c>
      <c r="L32" t="s">
        <v>822</v>
      </c>
    </row>
    <row r="33" spans="1:12" x14ac:dyDescent="0.35">
      <c r="A33" t="s">
        <v>40</v>
      </c>
      <c r="B33" t="s">
        <v>810</v>
      </c>
      <c r="C33" s="9">
        <v>45000</v>
      </c>
      <c r="D33" s="9">
        <v>45030</v>
      </c>
      <c r="E33">
        <v>4830.24</v>
      </c>
      <c r="F33" t="s">
        <v>814</v>
      </c>
      <c r="G33" t="str">
        <f>'Raw Data bck'!F33&amp;"/USD"</f>
        <v>EUR/USD</v>
      </c>
      <c r="H33" s="15">
        <v>5624.33</v>
      </c>
      <c r="I33" s="11" t="s">
        <v>821</v>
      </c>
      <c r="J33" s="13">
        <f>IF(I33="Open",H33,IF(I33="Paid",0,"N/A"))</f>
        <v>0</v>
      </c>
      <c r="K33" s="4">
        <v>45030</v>
      </c>
      <c r="L33" t="s">
        <v>822</v>
      </c>
    </row>
    <row r="34" spans="1:12" x14ac:dyDescent="0.35">
      <c r="A34" t="s">
        <v>41</v>
      </c>
      <c r="B34" t="s">
        <v>812</v>
      </c>
      <c r="C34" s="9">
        <v>45210</v>
      </c>
      <c r="D34" s="9">
        <v>45240</v>
      </c>
      <c r="E34">
        <v>4841.22</v>
      </c>
      <c r="F34" t="s">
        <v>817</v>
      </c>
      <c r="G34" t="str">
        <f>'Raw Data bck'!F34&amp;"/USD"</f>
        <v>USD/USD</v>
      </c>
      <c r="H34" s="15">
        <v>4841.22</v>
      </c>
      <c r="I34" s="11" t="s">
        <v>821</v>
      </c>
      <c r="J34" s="13">
        <f>IF(I34="Open",H34,IF(I34="Paid",0,"N/A"))</f>
        <v>0</v>
      </c>
      <c r="K34" s="4">
        <v>45240</v>
      </c>
      <c r="L34" t="s">
        <v>822</v>
      </c>
    </row>
    <row r="35" spans="1:12" x14ac:dyDescent="0.35">
      <c r="A35" t="s">
        <v>42</v>
      </c>
      <c r="B35" t="s">
        <v>811</v>
      </c>
      <c r="C35" s="9">
        <v>45598</v>
      </c>
      <c r="D35" s="9">
        <v>45628</v>
      </c>
      <c r="E35">
        <v>3601.17</v>
      </c>
      <c r="F35" t="s">
        <v>818</v>
      </c>
      <c r="G35" t="str">
        <f>'Raw Data bck'!F35&amp;"/USD"</f>
        <v>AUD/USD</v>
      </c>
      <c r="H35" s="15">
        <v>2591.7600000000002</v>
      </c>
      <c r="I35" s="11" t="s">
        <v>819</v>
      </c>
      <c r="J35" s="13">
        <f>IF(I35="Open",H35,IF(I35="Paid",0,"N/A"))</f>
        <v>2591.7600000000002</v>
      </c>
      <c r="L35" t="s">
        <v>822</v>
      </c>
    </row>
    <row r="36" spans="1:12" x14ac:dyDescent="0.35">
      <c r="A36" t="s">
        <v>43</v>
      </c>
      <c r="B36" t="s">
        <v>810</v>
      </c>
      <c r="C36" s="9">
        <v>45668</v>
      </c>
      <c r="D36" s="9">
        <v>45698</v>
      </c>
      <c r="E36">
        <v>3913.65</v>
      </c>
      <c r="F36" t="s">
        <v>816</v>
      </c>
      <c r="G36" t="str">
        <f>'Raw Data bck'!F36&amp;"/USD"</f>
        <v>GBP/USD</v>
      </c>
      <c r="H36" s="15">
        <v>5317.87</v>
      </c>
      <c r="I36" s="11" t="s">
        <v>821</v>
      </c>
      <c r="J36" s="13">
        <f>IF(I36="Open",H36,IF(I36="Paid",0,"N/A"))</f>
        <v>0</v>
      </c>
      <c r="K36" s="4">
        <v>45698</v>
      </c>
      <c r="L36" t="s">
        <v>822</v>
      </c>
    </row>
    <row r="37" spans="1:12" x14ac:dyDescent="0.35">
      <c r="A37" t="s">
        <v>44</v>
      </c>
      <c r="B37" t="s">
        <v>811</v>
      </c>
      <c r="C37" s="9">
        <v>45025</v>
      </c>
      <c r="D37" s="9">
        <v>45055</v>
      </c>
      <c r="E37">
        <v>1117.52</v>
      </c>
      <c r="F37" t="s">
        <v>815</v>
      </c>
      <c r="G37" t="str">
        <f>'Raw Data bck'!F37&amp;"/USD"</f>
        <v>CAD/USD</v>
      </c>
      <c r="H37" s="15">
        <v>806.85</v>
      </c>
      <c r="I37" s="11" t="s">
        <v>819</v>
      </c>
      <c r="J37" s="13">
        <f>IF(I37="Open",H37,IF(I37="Paid",0,"N/A"))</f>
        <v>806.85</v>
      </c>
      <c r="L37" t="s">
        <v>822</v>
      </c>
    </row>
    <row r="38" spans="1:12" x14ac:dyDescent="0.35">
      <c r="A38" t="s">
        <v>45</v>
      </c>
      <c r="B38" t="s">
        <v>809</v>
      </c>
      <c r="C38" s="9">
        <v>45128</v>
      </c>
      <c r="D38" s="9">
        <v>45158</v>
      </c>
      <c r="E38">
        <v>4178.2</v>
      </c>
      <c r="F38" t="s">
        <v>815</v>
      </c>
      <c r="G38" t="str">
        <f>'Raw Data bck'!F38&amp;"/USD"</f>
        <v>CAD/USD</v>
      </c>
      <c r="H38" s="16">
        <v>3016.66</v>
      </c>
      <c r="I38" s="11" t="s">
        <v>820</v>
      </c>
      <c r="J38" s="13" t="str">
        <f>IF(I38="Open",H38,IF(I38="Paid",0,"N/A"))</f>
        <v>N/A</v>
      </c>
      <c r="L38" t="s">
        <v>822</v>
      </c>
    </row>
    <row r="39" spans="1:12" x14ac:dyDescent="0.35">
      <c r="A39" t="s">
        <v>46</v>
      </c>
      <c r="B39" t="s">
        <v>812</v>
      </c>
      <c r="C39" s="9">
        <v>45504</v>
      </c>
      <c r="D39" s="9">
        <v>45534</v>
      </c>
      <c r="E39">
        <v>504.02</v>
      </c>
      <c r="F39" t="s">
        <v>817</v>
      </c>
      <c r="G39" t="str">
        <f>'Raw Data bck'!F39&amp;"/USD"</f>
        <v>USD/USD</v>
      </c>
      <c r="H39" s="16">
        <v>504.02</v>
      </c>
      <c r="I39" s="11" t="s">
        <v>820</v>
      </c>
      <c r="J39" s="13" t="str">
        <f>IF(I39="Open",H39,IF(I39="Paid",0,"N/A"))</f>
        <v>N/A</v>
      </c>
      <c r="L39" t="s">
        <v>822</v>
      </c>
    </row>
    <row r="40" spans="1:12" x14ac:dyDescent="0.35">
      <c r="A40" t="s">
        <v>47</v>
      </c>
      <c r="B40" t="s">
        <v>809</v>
      </c>
      <c r="C40" s="9">
        <v>44934</v>
      </c>
      <c r="D40" s="9">
        <v>44964</v>
      </c>
      <c r="E40">
        <v>3156.05</v>
      </c>
      <c r="F40" t="s">
        <v>816</v>
      </c>
      <c r="G40" t="str">
        <f>'Raw Data bck'!F40&amp;"/USD"</f>
        <v>GBP/USD</v>
      </c>
      <c r="H40" s="15">
        <v>4288.4399999999996</v>
      </c>
      <c r="I40" s="11" t="s">
        <v>819</v>
      </c>
      <c r="J40" s="13">
        <f>IF(I40="Open",H40,IF(I40="Paid",0,"N/A"))</f>
        <v>4288.4399999999996</v>
      </c>
      <c r="L40" t="s">
        <v>822</v>
      </c>
    </row>
    <row r="41" spans="1:12" x14ac:dyDescent="0.35">
      <c r="A41" t="s">
        <v>48</v>
      </c>
      <c r="B41" t="s">
        <v>812</v>
      </c>
      <c r="C41" s="9">
        <v>45108</v>
      </c>
      <c r="D41" s="9">
        <v>45138</v>
      </c>
      <c r="E41">
        <v>3284.77</v>
      </c>
      <c r="F41" t="s">
        <v>814</v>
      </c>
      <c r="G41" t="str">
        <f>'Raw Data bck'!F41&amp;"/USD"</f>
        <v>EUR/USD</v>
      </c>
      <c r="H41" s="16">
        <v>3824.79</v>
      </c>
      <c r="I41" s="11" t="s">
        <v>820</v>
      </c>
      <c r="J41" s="13" t="str">
        <f>IF(I41="Open",H41,IF(I41="Paid",0,"N/A"))</f>
        <v>N/A</v>
      </c>
      <c r="L41" t="s">
        <v>822</v>
      </c>
    </row>
    <row r="42" spans="1:12" x14ac:dyDescent="0.35">
      <c r="A42" t="s">
        <v>49</v>
      </c>
      <c r="B42" t="s">
        <v>812</v>
      </c>
      <c r="C42" s="9">
        <v>45801</v>
      </c>
      <c r="D42" s="9">
        <v>45831</v>
      </c>
      <c r="E42">
        <v>4519.76</v>
      </c>
      <c r="F42" t="s">
        <v>817</v>
      </c>
      <c r="G42" t="str">
        <f>'Raw Data bck'!F42&amp;"/USD"</f>
        <v>USD/USD</v>
      </c>
      <c r="H42" s="15">
        <v>4519.76</v>
      </c>
      <c r="I42" s="11" t="s">
        <v>819</v>
      </c>
      <c r="J42" s="13">
        <f>IF(I42="Open",H42,IF(I42="Paid",0,"N/A"))</f>
        <v>4519.76</v>
      </c>
      <c r="L42" t="s">
        <v>822</v>
      </c>
    </row>
    <row r="43" spans="1:12" x14ac:dyDescent="0.35">
      <c r="A43" t="s">
        <v>50</v>
      </c>
      <c r="B43" t="s">
        <v>809</v>
      </c>
      <c r="C43" s="9">
        <v>45313</v>
      </c>
      <c r="D43" s="9">
        <v>45343</v>
      </c>
      <c r="E43">
        <v>4094.28</v>
      </c>
      <c r="F43" t="s">
        <v>814</v>
      </c>
      <c r="G43" t="str">
        <f>'Raw Data bck'!F43&amp;"/USD"</f>
        <v>EUR/USD</v>
      </c>
      <c r="H43" s="16">
        <v>4767.38</v>
      </c>
      <c r="I43" s="11" t="s">
        <v>820</v>
      </c>
      <c r="J43" s="13" t="str">
        <f>IF(I43="Open",H43,IF(I43="Paid",0,"N/A"))</f>
        <v>N/A</v>
      </c>
      <c r="L43" t="s">
        <v>822</v>
      </c>
    </row>
    <row r="44" spans="1:12" x14ac:dyDescent="0.35">
      <c r="A44" t="s">
        <v>51</v>
      </c>
      <c r="B44" t="s">
        <v>809</v>
      </c>
      <c r="C44" s="9">
        <v>44967</v>
      </c>
      <c r="D44" s="9">
        <v>44997</v>
      </c>
      <c r="E44">
        <v>3097.79</v>
      </c>
      <c r="F44" t="s">
        <v>814</v>
      </c>
      <c r="G44" t="str">
        <f>'Raw Data bck'!F44&amp;"/USD"</f>
        <v>EUR/USD</v>
      </c>
      <c r="H44" s="15">
        <v>3607.07</v>
      </c>
      <c r="I44" s="11" t="s">
        <v>821</v>
      </c>
      <c r="J44" s="13">
        <f>IF(I44="Open",H44,IF(I44="Paid",0,"N/A"))</f>
        <v>0</v>
      </c>
      <c r="K44" s="4">
        <v>44997</v>
      </c>
      <c r="L44" t="s">
        <v>822</v>
      </c>
    </row>
    <row r="45" spans="1:12" x14ac:dyDescent="0.35">
      <c r="A45" t="s">
        <v>52</v>
      </c>
      <c r="B45" t="s">
        <v>810</v>
      </c>
      <c r="C45" s="9">
        <v>45809</v>
      </c>
      <c r="D45" s="9">
        <v>45839</v>
      </c>
      <c r="E45">
        <v>1415.24</v>
      </c>
      <c r="F45" t="s">
        <v>818</v>
      </c>
      <c r="G45" t="str">
        <f>'Raw Data bck'!F45&amp;"/USD"</f>
        <v>AUD/USD</v>
      </c>
      <c r="H45" s="16">
        <v>1018.55</v>
      </c>
      <c r="I45" s="11" t="s">
        <v>820</v>
      </c>
      <c r="J45" s="13" t="str">
        <f>IF(I45="Open",H45,IF(I45="Paid",0,"N/A"))</f>
        <v>N/A</v>
      </c>
      <c r="L45" t="s">
        <v>822</v>
      </c>
    </row>
    <row r="46" spans="1:12" x14ac:dyDescent="0.35">
      <c r="A46" t="s">
        <v>53</v>
      </c>
      <c r="B46" t="s">
        <v>809</v>
      </c>
      <c r="C46" s="9">
        <v>45102</v>
      </c>
      <c r="D46" s="9">
        <v>45132</v>
      </c>
      <c r="E46">
        <v>3224.33</v>
      </c>
      <c r="F46" t="s">
        <v>816</v>
      </c>
      <c r="G46" t="str">
        <f>'Raw Data bck'!F46&amp;"/USD"</f>
        <v>GBP/USD</v>
      </c>
      <c r="H46" s="16">
        <v>4381.22</v>
      </c>
      <c r="I46" s="11" t="s">
        <v>820</v>
      </c>
      <c r="J46" s="13" t="str">
        <f>IF(I46="Open",H46,IF(I46="Paid",0,"N/A"))</f>
        <v>N/A</v>
      </c>
      <c r="L46" t="s">
        <v>822</v>
      </c>
    </row>
    <row r="47" spans="1:12" x14ac:dyDescent="0.35">
      <c r="A47" t="s">
        <v>54</v>
      </c>
      <c r="B47" t="s">
        <v>813</v>
      </c>
      <c r="C47" s="9">
        <v>45103</v>
      </c>
      <c r="D47" s="9">
        <v>45133</v>
      </c>
      <c r="E47">
        <v>1164.49</v>
      </c>
      <c r="F47" t="s">
        <v>817</v>
      </c>
      <c r="G47" t="str">
        <f>'Raw Data bck'!F47&amp;"/USD"</f>
        <v>USD/USD</v>
      </c>
      <c r="H47" s="16">
        <v>1164.49</v>
      </c>
      <c r="I47" s="11" t="s">
        <v>820</v>
      </c>
      <c r="J47" s="13" t="str">
        <f>IF(I47="Open",H47,IF(I47="Paid",0,"N/A"))</f>
        <v>N/A</v>
      </c>
      <c r="L47" t="s">
        <v>822</v>
      </c>
    </row>
    <row r="48" spans="1:12" x14ac:dyDescent="0.35">
      <c r="A48" t="s">
        <v>55</v>
      </c>
      <c r="B48" t="s">
        <v>813</v>
      </c>
      <c r="C48" s="9">
        <v>45668</v>
      </c>
      <c r="D48" s="9">
        <v>45698</v>
      </c>
      <c r="E48">
        <v>2557.61</v>
      </c>
      <c r="F48" t="s">
        <v>817</v>
      </c>
      <c r="G48" t="str">
        <f>'Raw Data bck'!F48&amp;"/USD"</f>
        <v>USD/USD</v>
      </c>
      <c r="H48" s="15">
        <v>2557.61</v>
      </c>
      <c r="I48" s="11" t="s">
        <v>821</v>
      </c>
      <c r="J48" s="13">
        <f>IF(I48="Open",H48,IF(I48="Paid",0,"N/A"))</f>
        <v>0</v>
      </c>
      <c r="K48" s="4">
        <v>45698</v>
      </c>
      <c r="L48" t="s">
        <v>822</v>
      </c>
    </row>
    <row r="49" spans="1:12" x14ac:dyDescent="0.35">
      <c r="A49" t="s">
        <v>56</v>
      </c>
      <c r="B49" t="s">
        <v>809</v>
      </c>
      <c r="C49" s="9">
        <v>45682</v>
      </c>
      <c r="D49" s="9">
        <v>45712</v>
      </c>
      <c r="E49">
        <v>393.4</v>
      </c>
      <c r="F49" t="s">
        <v>816</v>
      </c>
      <c r="G49" t="str">
        <f>'Raw Data bck'!F49&amp;"/USD"</f>
        <v>GBP/USD</v>
      </c>
      <c r="H49" s="15">
        <v>534.54999999999995</v>
      </c>
      <c r="I49" s="11" t="s">
        <v>819</v>
      </c>
      <c r="J49" s="13">
        <f>IF(I49="Open",H49,IF(I49="Paid",0,"N/A"))</f>
        <v>534.54999999999995</v>
      </c>
      <c r="L49" t="s">
        <v>822</v>
      </c>
    </row>
    <row r="50" spans="1:12" x14ac:dyDescent="0.35">
      <c r="A50" t="s">
        <v>57</v>
      </c>
      <c r="B50" t="s">
        <v>812</v>
      </c>
      <c r="C50" s="9">
        <v>45733</v>
      </c>
      <c r="D50" s="9">
        <v>45763</v>
      </c>
      <c r="E50">
        <v>2307.0500000000002</v>
      </c>
      <c r="F50" t="s">
        <v>815</v>
      </c>
      <c r="G50" t="str">
        <f>'Raw Data bck'!F50&amp;"/USD"</f>
        <v>CAD/USD</v>
      </c>
      <c r="H50" s="15">
        <v>1665.69</v>
      </c>
      <c r="I50" s="11" t="s">
        <v>821</v>
      </c>
      <c r="J50" s="13">
        <f>IF(I50="Open",H50,IF(I50="Paid",0,"N/A"))</f>
        <v>0</v>
      </c>
      <c r="K50" s="4">
        <v>45763</v>
      </c>
      <c r="L50" t="s">
        <v>822</v>
      </c>
    </row>
    <row r="51" spans="1:12" x14ac:dyDescent="0.35">
      <c r="A51" t="s">
        <v>58</v>
      </c>
      <c r="B51" t="s">
        <v>809</v>
      </c>
      <c r="C51" s="9">
        <v>45197</v>
      </c>
      <c r="D51" s="9">
        <v>45227</v>
      </c>
      <c r="E51">
        <v>728.35</v>
      </c>
      <c r="F51" t="s">
        <v>816</v>
      </c>
      <c r="G51" t="str">
        <f>'Raw Data bck'!F51&amp;"/USD"</f>
        <v>GBP/USD</v>
      </c>
      <c r="H51" s="15">
        <v>989.68</v>
      </c>
      <c r="I51" s="11" t="s">
        <v>821</v>
      </c>
      <c r="J51" s="13">
        <f>IF(I51="Open",H51,IF(I51="Paid",0,"N/A"))</f>
        <v>0</v>
      </c>
      <c r="K51" s="4">
        <v>45227</v>
      </c>
      <c r="L51" t="s">
        <v>822</v>
      </c>
    </row>
    <row r="52" spans="1:12" x14ac:dyDescent="0.35">
      <c r="A52" t="s">
        <v>59</v>
      </c>
      <c r="B52" t="s">
        <v>810</v>
      </c>
      <c r="C52" s="9">
        <v>45801</v>
      </c>
      <c r="D52" s="9">
        <v>45831</v>
      </c>
      <c r="E52">
        <v>3580.44</v>
      </c>
      <c r="F52" t="s">
        <v>816</v>
      </c>
      <c r="G52" t="str">
        <f>'Raw Data bck'!F52&amp;"/USD"</f>
        <v>GBP/USD</v>
      </c>
      <c r="H52" s="15">
        <v>4865.1000000000004</v>
      </c>
      <c r="I52" s="11" t="s">
        <v>819</v>
      </c>
      <c r="J52" s="13">
        <f>IF(I52="Open",H52,IF(I52="Paid",0,"N/A"))</f>
        <v>4865.1000000000004</v>
      </c>
      <c r="L52" t="s">
        <v>822</v>
      </c>
    </row>
    <row r="53" spans="1:12" x14ac:dyDescent="0.35">
      <c r="A53" t="s">
        <v>60</v>
      </c>
      <c r="B53" t="s">
        <v>809</v>
      </c>
      <c r="C53" s="9">
        <v>45382</v>
      </c>
      <c r="D53" s="9">
        <v>45412</v>
      </c>
      <c r="E53">
        <v>1527.67</v>
      </c>
      <c r="F53" t="s">
        <v>818</v>
      </c>
      <c r="G53" t="str">
        <f>'Raw Data bck'!F53&amp;"/USD"</f>
        <v>AUD/USD</v>
      </c>
      <c r="H53" s="15">
        <v>1099.46</v>
      </c>
      <c r="I53" s="11" t="s">
        <v>821</v>
      </c>
      <c r="J53" s="13">
        <f>IF(I53="Open",H53,IF(I53="Paid",0,"N/A"))</f>
        <v>0</v>
      </c>
      <c r="K53" s="4">
        <v>45412</v>
      </c>
      <c r="L53" t="s">
        <v>822</v>
      </c>
    </row>
    <row r="54" spans="1:12" x14ac:dyDescent="0.35">
      <c r="A54" t="s">
        <v>61</v>
      </c>
      <c r="B54" t="s">
        <v>809</v>
      </c>
      <c r="C54" s="9">
        <v>45039</v>
      </c>
      <c r="D54" s="9">
        <v>45069</v>
      </c>
      <c r="E54">
        <v>3014.35</v>
      </c>
      <c r="F54" t="s">
        <v>815</v>
      </c>
      <c r="G54" t="str">
        <f>'Raw Data bck'!F54&amp;"/USD"</f>
        <v>CAD/USD</v>
      </c>
      <c r="H54" s="15">
        <v>2176.36</v>
      </c>
      <c r="I54" s="11" t="s">
        <v>821</v>
      </c>
      <c r="J54" s="13">
        <f>IF(I54="Open",H54,IF(I54="Paid",0,"N/A"))</f>
        <v>0</v>
      </c>
      <c r="K54" s="4">
        <v>45069</v>
      </c>
      <c r="L54" t="s">
        <v>822</v>
      </c>
    </row>
    <row r="55" spans="1:12" x14ac:dyDescent="0.35">
      <c r="A55" t="s">
        <v>62</v>
      </c>
      <c r="B55" t="s">
        <v>811</v>
      </c>
      <c r="C55" s="9">
        <v>45162</v>
      </c>
      <c r="D55" s="9">
        <v>45192</v>
      </c>
      <c r="E55">
        <v>3099.88</v>
      </c>
      <c r="F55" t="s">
        <v>815</v>
      </c>
      <c r="G55" t="str">
        <f>'Raw Data bck'!F55&amp;"/USD"</f>
        <v>CAD/USD</v>
      </c>
      <c r="H55" s="16">
        <v>2238.11</v>
      </c>
      <c r="I55" s="11" t="s">
        <v>820</v>
      </c>
      <c r="J55" s="13" t="str">
        <f>IF(I55="Open",H55,IF(I55="Paid",0,"N/A"))</f>
        <v>N/A</v>
      </c>
      <c r="L55" t="s">
        <v>822</v>
      </c>
    </row>
    <row r="56" spans="1:12" x14ac:dyDescent="0.35">
      <c r="A56" t="s">
        <v>63</v>
      </c>
      <c r="B56" t="s">
        <v>809</v>
      </c>
      <c r="C56" s="9">
        <v>45055</v>
      </c>
      <c r="D56" s="9">
        <v>45085</v>
      </c>
      <c r="E56">
        <v>1484.54</v>
      </c>
      <c r="F56" t="s">
        <v>818</v>
      </c>
      <c r="G56" t="str">
        <f>'Raw Data bck'!F56&amp;"/USD"</f>
        <v>AUD/USD</v>
      </c>
      <c r="H56" s="16">
        <v>1068.42</v>
      </c>
      <c r="I56" s="11" t="s">
        <v>820</v>
      </c>
      <c r="J56" s="13" t="str">
        <f>IF(I56="Open",H56,IF(I56="Paid",0,"N/A"))</f>
        <v>N/A</v>
      </c>
      <c r="L56" t="s">
        <v>822</v>
      </c>
    </row>
    <row r="57" spans="1:12" x14ac:dyDescent="0.35">
      <c r="A57" t="s">
        <v>64</v>
      </c>
      <c r="B57" t="s">
        <v>813</v>
      </c>
      <c r="C57" s="9">
        <v>45279</v>
      </c>
      <c r="D57" s="9">
        <v>45309</v>
      </c>
      <c r="E57">
        <v>2922.4</v>
      </c>
      <c r="F57" t="s">
        <v>818</v>
      </c>
      <c r="G57" t="str">
        <f>'Raw Data bck'!F57&amp;"/USD"</f>
        <v>AUD/USD</v>
      </c>
      <c r="H57" s="16">
        <v>2103.25</v>
      </c>
      <c r="I57" s="11" t="s">
        <v>820</v>
      </c>
      <c r="J57" s="13" t="str">
        <f>IF(I57="Open",H57,IF(I57="Paid",0,"N/A"))</f>
        <v>N/A</v>
      </c>
      <c r="L57" t="s">
        <v>822</v>
      </c>
    </row>
    <row r="58" spans="1:12" x14ac:dyDescent="0.35">
      <c r="A58" t="s">
        <v>65</v>
      </c>
      <c r="B58" t="s">
        <v>812</v>
      </c>
      <c r="C58" s="9">
        <v>45238</v>
      </c>
      <c r="D58" s="9">
        <v>45268</v>
      </c>
      <c r="E58">
        <v>422.98</v>
      </c>
      <c r="F58" t="s">
        <v>817</v>
      </c>
      <c r="G58" t="str">
        <f>'Raw Data bck'!F58&amp;"/USD"</f>
        <v>USD/USD</v>
      </c>
      <c r="H58" s="15">
        <v>422.98</v>
      </c>
      <c r="I58" s="11" t="s">
        <v>821</v>
      </c>
      <c r="J58" s="13">
        <f>IF(I58="Open",H58,IF(I58="Paid",0,"N/A"))</f>
        <v>0</v>
      </c>
      <c r="K58" s="4">
        <v>45268</v>
      </c>
      <c r="L58" t="s">
        <v>822</v>
      </c>
    </row>
    <row r="59" spans="1:12" x14ac:dyDescent="0.35">
      <c r="A59" t="s">
        <v>66</v>
      </c>
      <c r="B59" t="s">
        <v>809</v>
      </c>
      <c r="C59" s="9">
        <v>44929</v>
      </c>
      <c r="D59" s="9">
        <v>44959</v>
      </c>
      <c r="E59">
        <v>2784.23</v>
      </c>
      <c r="F59" t="s">
        <v>817</v>
      </c>
      <c r="G59" t="str">
        <f>'Raw Data bck'!F59&amp;"/USD"</f>
        <v>USD/USD</v>
      </c>
      <c r="H59" s="16">
        <v>2784.23</v>
      </c>
      <c r="I59" s="11" t="s">
        <v>820</v>
      </c>
      <c r="J59" s="13" t="str">
        <f>IF(I59="Open",H59,IF(I59="Paid",0,"N/A"))</f>
        <v>N/A</v>
      </c>
      <c r="L59" t="s">
        <v>822</v>
      </c>
    </row>
    <row r="60" spans="1:12" x14ac:dyDescent="0.35">
      <c r="A60" t="s">
        <v>67</v>
      </c>
      <c r="B60" t="s">
        <v>813</v>
      </c>
      <c r="C60" s="9">
        <v>45462</v>
      </c>
      <c r="D60" s="9">
        <v>45492</v>
      </c>
      <c r="E60">
        <v>2946.12</v>
      </c>
      <c r="F60" t="s">
        <v>815</v>
      </c>
      <c r="G60" t="str">
        <f>'Raw Data bck'!F60&amp;"/USD"</f>
        <v>CAD/USD</v>
      </c>
      <c r="H60" s="15">
        <v>2127.1</v>
      </c>
      <c r="I60" s="11" t="s">
        <v>819</v>
      </c>
      <c r="J60" s="13">
        <f>IF(I60="Open",H60,IF(I60="Paid",0,"N/A"))</f>
        <v>2127.1</v>
      </c>
      <c r="L60" t="s">
        <v>822</v>
      </c>
    </row>
    <row r="61" spans="1:12" x14ac:dyDescent="0.35">
      <c r="A61" t="s">
        <v>68</v>
      </c>
      <c r="B61" t="s">
        <v>809</v>
      </c>
      <c r="C61" s="9">
        <v>45725</v>
      </c>
      <c r="D61" s="9">
        <v>45755</v>
      </c>
      <c r="E61">
        <v>578.58000000000004</v>
      </c>
      <c r="F61" t="s">
        <v>816</v>
      </c>
      <c r="G61" t="str">
        <f>'Raw Data bck'!F61&amp;"/USD"</f>
        <v>GBP/USD</v>
      </c>
      <c r="H61" s="16">
        <v>786.17</v>
      </c>
      <c r="I61" s="11" t="s">
        <v>820</v>
      </c>
      <c r="J61" s="13" t="str">
        <f>IF(I61="Open",H61,IF(I61="Paid",0,"N/A"))</f>
        <v>N/A</v>
      </c>
      <c r="L61" t="s">
        <v>822</v>
      </c>
    </row>
    <row r="62" spans="1:12" x14ac:dyDescent="0.35">
      <c r="A62" t="s">
        <v>69</v>
      </c>
      <c r="B62" t="s">
        <v>809</v>
      </c>
      <c r="C62" s="9">
        <v>45440</v>
      </c>
      <c r="D62" s="9">
        <v>45470</v>
      </c>
      <c r="E62">
        <v>3849.56</v>
      </c>
      <c r="F62" t="s">
        <v>816</v>
      </c>
      <c r="G62" t="str">
        <f>'Raw Data bck'!F62&amp;"/USD"</f>
        <v>GBP/USD</v>
      </c>
      <c r="H62" s="15">
        <v>5230.78</v>
      </c>
      <c r="I62" s="11" t="s">
        <v>821</v>
      </c>
      <c r="J62" s="13">
        <f>IF(I62="Open",H62,IF(I62="Paid",0,"N/A"))</f>
        <v>0</v>
      </c>
      <c r="K62" s="4">
        <v>45470</v>
      </c>
      <c r="L62" t="s">
        <v>822</v>
      </c>
    </row>
    <row r="63" spans="1:12" x14ac:dyDescent="0.35">
      <c r="A63" t="s">
        <v>70</v>
      </c>
      <c r="B63" t="s">
        <v>809</v>
      </c>
      <c r="C63" s="9">
        <v>45408</v>
      </c>
      <c r="D63" s="9">
        <v>45438</v>
      </c>
      <c r="E63">
        <v>2055.5300000000002</v>
      </c>
      <c r="F63" t="s">
        <v>815</v>
      </c>
      <c r="G63" t="str">
        <f>'Raw Data bck'!F63&amp;"/USD"</f>
        <v>CAD/USD</v>
      </c>
      <c r="H63" s="16">
        <v>1484.09</v>
      </c>
      <c r="I63" s="11" t="s">
        <v>820</v>
      </c>
      <c r="J63" s="13" t="str">
        <f>IF(I63="Open",H63,IF(I63="Paid",0,"N/A"))</f>
        <v>N/A</v>
      </c>
      <c r="L63" t="s">
        <v>822</v>
      </c>
    </row>
    <row r="64" spans="1:12" x14ac:dyDescent="0.35">
      <c r="A64" t="s">
        <v>71</v>
      </c>
      <c r="B64" t="s">
        <v>811</v>
      </c>
      <c r="C64" s="9">
        <v>44981</v>
      </c>
      <c r="D64" s="9">
        <v>45011</v>
      </c>
      <c r="E64">
        <v>2185.3200000000002</v>
      </c>
      <c r="F64" t="s">
        <v>818</v>
      </c>
      <c r="G64" t="str">
        <f>'Raw Data bck'!F64&amp;"/USD"</f>
        <v>AUD/USD</v>
      </c>
      <c r="H64" s="15">
        <v>1572.77</v>
      </c>
      <c r="I64" s="11" t="s">
        <v>821</v>
      </c>
      <c r="J64" s="13">
        <f>IF(I64="Open",H64,IF(I64="Paid",0,"N/A"))</f>
        <v>0</v>
      </c>
      <c r="K64" s="4">
        <v>45011</v>
      </c>
      <c r="L64" t="s">
        <v>822</v>
      </c>
    </row>
    <row r="65" spans="1:12" x14ac:dyDescent="0.35">
      <c r="A65" t="s">
        <v>72</v>
      </c>
      <c r="B65" t="s">
        <v>809</v>
      </c>
      <c r="C65" s="9">
        <v>45703</v>
      </c>
      <c r="D65" s="9">
        <v>45733</v>
      </c>
      <c r="E65">
        <v>3382.98</v>
      </c>
      <c r="F65" t="s">
        <v>816</v>
      </c>
      <c r="G65" t="str">
        <f>'Raw Data bck'!F65&amp;"/USD"</f>
        <v>GBP/USD</v>
      </c>
      <c r="H65" s="15">
        <v>4596.79</v>
      </c>
      <c r="I65" s="11" t="s">
        <v>821</v>
      </c>
      <c r="J65" s="13">
        <f>IF(I65="Open",H65,IF(I65="Paid",0,"N/A"))</f>
        <v>0</v>
      </c>
      <c r="K65" s="4">
        <v>45733</v>
      </c>
      <c r="L65" t="s">
        <v>822</v>
      </c>
    </row>
    <row r="66" spans="1:12" x14ac:dyDescent="0.35">
      <c r="A66" t="s">
        <v>73</v>
      </c>
      <c r="B66" t="s">
        <v>810</v>
      </c>
      <c r="C66" s="9">
        <v>45404</v>
      </c>
      <c r="D66" s="9">
        <v>45434</v>
      </c>
      <c r="E66">
        <v>3571.55</v>
      </c>
      <c r="F66" t="s">
        <v>816</v>
      </c>
      <c r="G66" t="str">
        <f>'Raw Data bck'!F66&amp;"/USD"</f>
        <v>GBP/USD</v>
      </c>
      <c r="H66" s="16">
        <v>4853.0200000000004</v>
      </c>
      <c r="I66" s="11" t="s">
        <v>820</v>
      </c>
      <c r="J66" s="13" t="str">
        <f>IF(I66="Open",H66,IF(I66="Paid",0,"N/A"))</f>
        <v>N/A</v>
      </c>
      <c r="L66" t="s">
        <v>822</v>
      </c>
    </row>
    <row r="67" spans="1:12" x14ac:dyDescent="0.35">
      <c r="A67" t="s">
        <v>74</v>
      </c>
      <c r="B67" t="s">
        <v>811</v>
      </c>
      <c r="C67" s="9">
        <v>45762</v>
      </c>
      <c r="D67" s="9">
        <v>45792</v>
      </c>
      <c r="E67">
        <v>2137.4499999999998</v>
      </c>
      <c r="F67" t="s">
        <v>817</v>
      </c>
      <c r="G67" t="str">
        <f>'Raw Data bck'!F67&amp;"/USD"</f>
        <v>USD/USD</v>
      </c>
      <c r="H67" s="15">
        <v>2137.4499999999998</v>
      </c>
      <c r="I67" s="11" t="s">
        <v>819</v>
      </c>
      <c r="J67" s="13">
        <f>IF(I67="Open",H67,IF(I67="Paid",0,"N/A"))</f>
        <v>2137.4499999999998</v>
      </c>
      <c r="L67" t="s">
        <v>822</v>
      </c>
    </row>
    <row r="68" spans="1:12" x14ac:dyDescent="0.35">
      <c r="A68" t="s">
        <v>75</v>
      </c>
      <c r="B68" t="s">
        <v>813</v>
      </c>
      <c r="C68" s="9">
        <v>45697</v>
      </c>
      <c r="D68" s="9">
        <v>45727</v>
      </c>
      <c r="E68">
        <v>3793.28</v>
      </c>
      <c r="F68" t="s">
        <v>817</v>
      </c>
      <c r="G68" t="str">
        <f>'Raw Data bck'!F68&amp;"/USD"</f>
        <v>USD/USD</v>
      </c>
      <c r="H68" s="15">
        <v>3793.28</v>
      </c>
      <c r="I68" s="11" t="s">
        <v>821</v>
      </c>
      <c r="J68" s="13">
        <f>IF(I68="Open",H68,IF(I68="Paid",0,"N/A"))</f>
        <v>0</v>
      </c>
      <c r="K68" s="4">
        <v>45727</v>
      </c>
      <c r="L68" t="s">
        <v>822</v>
      </c>
    </row>
    <row r="69" spans="1:12" x14ac:dyDescent="0.35">
      <c r="A69" t="s">
        <v>76</v>
      </c>
      <c r="B69" t="s">
        <v>809</v>
      </c>
      <c r="C69" s="9">
        <v>45660</v>
      </c>
      <c r="D69" s="9">
        <v>45690</v>
      </c>
      <c r="E69">
        <v>2973.27</v>
      </c>
      <c r="F69" t="s">
        <v>815</v>
      </c>
      <c r="G69" t="str">
        <f>'Raw Data bck'!F69&amp;"/USD"</f>
        <v>CAD/USD</v>
      </c>
      <c r="H69" s="15">
        <v>2146.6999999999998</v>
      </c>
      <c r="I69" s="11" t="s">
        <v>821</v>
      </c>
      <c r="J69" s="13">
        <f>IF(I69="Open",H69,IF(I69="Paid",0,"N/A"))</f>
        <v>0</v>
      </c>
      <c r="K69" s="4">
        <v>45690</v>
      </c>
      <c r="L69" t="s">
        <v>822</v>
      </c>
    </row>
    <row r="70" spans="1:12" x14ac:dyDescent="0.35">
      <c r="A70" t="s">
        <v>77</v>
      </c>
      <c r="B70" t="s">
        <v>809</v>
      </c>
      <c r="C70" s="9">
        <v>45497</v>
      </c>
      <c r="D70" s="9">
        <v>45527</v>
      </c>
      <c r="E70">
        <v>4968.32</v>
      </c>
      <c r="F70" t="s">
        <v>817</v>
      </c>
      <c r="G70" t="str">
        <f>'Raw Data bck'!F70&amp;"/USD"</f>
        <v>USD/USD</v>
      </c>
      <c r="H70" s="15">
        <v>4968.32</v>
      </c>
      <c r="I70" s="11" t="s">
        <v>819</v>
      </c>
      <c r="J70" s="13">
        <f>IF(I70="Open",H70,IF(I70="Paid",0,"N/A"))</f>
        <v>4968.32</v>
      </c>
      <c r="L70" t="s">
        <v>822</v>
      </c>
    </row>
    <row r="71" spans="1:12" x14ac:dyDescent="0.35">
      <c r="A71" t="s">
        <v>78</v>
      </c>
      <c r="B71" t="s">
        <v>809</v>
      </c>
      <c r="C71" s="9">
        <v>44958</v>
      </c>
      <c r="D71" s="9">
        <v>44988</v>
      </c>
      <c r="E71">
        <v>4336.91</v>
      </c>
      <c r="F71" t="s">
        <v>817</v>
      </c>
      <c r="G71" t="str">
        <f>'Raw Data bck'!F71&amp;"/USD"</f>
        <v>USD/USD</v>
      </c>
      <c r="H71" s="15">
        <v>4336.91</v>
      </c>
      <c r="I71" s="11" t="s">
        <v>819</v>
      </c>
      <c r="J71" s="13">
        <f>IF(I71="Open",H71,IF(I71="Paid",0,"N/A"))</f>
        <v>4336.91</v>
      </c>
      <c r="L71" t="s">
        <v>822</v>
      </c>
    </row>
    <row r="72" spans="1:12" x14ac:dyDescent="0.35">
      <c r="A72" t="s">
        <v>79</v>
      </c>
      <c r="B72" t="s">
        <v>813</v>
      </c>
      <c r="C72" s="9">
        <v>45629</v>
      </c>
      <c r="D72" s="9">
        <v>45659</v>
      </c>
      <c r="E72">
        <v>2479.9499999999998</v>
      </c>
      <c r="F72" t="s">
        <v>817</v>
      </c>
      <c r="G72" t="str">
        <f>'Raw Data bck'!F72&amp;"/USD"</f>
        <v>USD/USD</v>
      </c>
      <c r="H72" s="15">
        <v>2479.9499999999998</v>
      </c>
      <c r="I72" s="11" t="s">
        <v>821</v>
      </c>
      <c r="J72" s="13">
        <f>IF(I72="Open",H72,IF(I72="Paid",0,"N/A"))</f>
        <v>0</v>
      </c>
      <c r="K72" s="4">
        <v>45659</v>
      </c>
      <c r="L72" t="s">
        <v>822</v>
      </c>
    </row>
    <row r="73" spans="1:12" x14ac:dyDescent="0.35">
      <c r="A73" t="s">
        <v>80</v>
      </c>
      <c r="B73" t="s">
        <v>813</v>
      </c>
      <c r="C73" s="9">
        <v>45821</v>
      </c>
      <c r="D73" s="9">
        <v>45851</v>
      </c>
      <c r="E73">
        <v>2498.69</v>
      </c>
      <c r="F73" t="s">
        <v>817</v>
      </c>
      <c r="G73" t="str">
        <f>'Raw Data bck'!F73&amp;"/USD"</f>
        <v>USD/USD</v>
      </c>
      <c r="H73" s="15">
        <v>2498.69</v>
      </c>
      <c r="I73" s="11" t="s">
        <v>819</v>
      </c>
      <c r="J73" s="13">
        <f>IF(I73="Open",H73,IF(I73="Paid",0,"N/A"))</f>
        <v>2498.69</v>
      </c>
      <c r="L73" t="s">
        <v>822</v>
      </c>
    </row>
    <row r="74" spans="1:12" x14ac:dyDescent="0.35">
      <c r="A74" t="s">
        <v>81</v>
      </c>
      <c r="B74" t="s">
        <v>810</v>
      </c>
      <c r="C74" s="9">
        <v>45597</v>
      </c>
      <c r="D74" s="9">
        <v>45627</v>
      </c>
      <c r="E74">
        <v>2106.66</v>
      </c>
      <c r="F74" t="s">
        <v>815</v>
      </c>
      <c r="G74" t="str">
        <f>'Raw Data bck'!F74&amp;"/USD"</f>
        <v>CAD/USD</v>
      </c>
      <c r="H74" s="15">
        <v>1521.01</v>
      </c>
      <c r="I74" s="11" t="s">
        <v>821</v>
      </c>
      <c r="J74" s="13">
        <f>IF(I74="Open",H74,IF(I74="Paid",0,"N/A"))</f>
        <v>0</v>
      </c>
      <c r="K74" s="4">
        <v>45627</v>
      </c>
      <c r="L74" t="s">
        <v>822</v>
      </c>
    </row>
    <row r="75" spans="1:12" x14ac:dyDescent="0.35">
      <c r="A75" t="s">
        <v>82</v>
      </c>
      <c r="B75" t="s">
        <v>809</v>
      </c>
      <c r="C75" s="9">
        <v>45092</v>
      </c>
      <c r="D75" s="9">
        <v>45122</v>
      </c>
      <c r="E75">
        <v>2082.92</v>
      </c>
      <c r="F75" t="s">
        <v>818</v>
      </c>
      <c r="G75" t="str">
        <f>'Raw Data bck'!F75&amp;"/USD"</f>
        <v>AUD/USD</v>
      </c>
      <c r="H75" s="16">
        <v>1499.08</v>
      </c>
      <c r="I75" s="11" t="s">
        <v>820</v>
      </c>
      <c r="J75" s="13" t="str">
        <f>IF(I75="Open",H75,IF(I75="Paid",0,"N/A"))</f>
        <v>N/A</v>
      </c>
      <c r="L75" t="s">
        <v>822</v>
      </c>
    </row>
    <row r="76" spans="1:12" x14ac:dyDescent="0.35">
      <c r="A76" t="s">
        <v>83</v>
      </c>
      <c r="B76" t="s">
        <v>811</v>
      </c>
      <c r="C76" s="9">
        <v>45187</v>
      </c>
      <c r="D76" s="9">
        <v>45217</v>
      </c>
      <c r="E76">
        <v>3536.09</v>
      </c>
      <c r="F76" t="s">
        <v>817</v>
      </c>
      <c r="G76" t="str">
        <f>'Raw Data bck'!F76&amp;"/USD"</f>
        <v>USD/USD</v>
      </c>
      <c r="H76" s="15">
        <v>3536.09</v>
      </c>
      <c r="I76" s="11" t="s">
        <v>821</v>
      </c>
      <c r="J76" s="13">
        <f>IF(I76="Open",H76,IF(I76="Paid",0,"N/A"))</f>
        <v>0</v>
      </c>
      <c r="K76" s="4">
        <v>45217</v>
      </c>
      <c r="L76" t="s">
        <v>822</v>
      </c>
    </row>
    <row r="77" spans="1:12" x14ac:dyDescent="0.35">
      <c r="A77" t="s">
        <v>84</v>
      </c>
      <c r="B77" t="s">
        <v>809</v>
      </c>
      <c r="C77" s="9">
        <v>45661</v>
      </c>
      <c r="D77" s="9">
        <v>45691</v>
      </c>
      <c r="E77">
        <v>3984.82</v>
      </c>
      <c r="F77" t="s">
        <v>815</v>
      </c>
      <c r="G77" t="str">
        <f>'Raw Data bck'!F77&amp;"/USD"</f>
        <v>CAD/USD</v>
      </c>
      <c r="H77" s="15">
        <v>2877.04</v>
      </c>
      <c r="I77" s="11" t="s">
        <v>819</v>
      </c>
      <c r="J77" s="13">
        <f>IF(I77="Open",H77,IF(I77="Paid",0,"N/A"))</f>
        <v>2877.04</v>
      </c>
      <c r="L77" t="s">
        <v>822</v>
      </c>
    </row>
    <row r="78" spans="1:12" x14ac:dyDescent="0.35">
      <c r="A78" t="s">
        <v>85</v>
      </c>
      <c r="B78" t="s">
        <v>813</v>
      </c>
      <c r="C78" s="9">
        <v>45068</v>
      </c>
      <c r="D78" s="9">
        <v>45098</v>
      </c>
      <c r="E78">
        <v>1175.94</v>
      </c>
      <c r="F78" t="s">
        <v>817</v>
      </c>
      <c r="G78" t="str">
        <f>'Raw Data bck'!F78&amp;"/USD"</f>
        <v>USD/USD</v>
      </c>
      <c r="H78" s="16">
        <v>1175.94</v>
      </c>
      <c r="I78" s="11" t="s">
        <v>820</v>
      </c>
      <c r="J78" s="13" t="str">
        <f>IF(I78="Open",H78,IF(I78="Paid",0,"N/A"))</f>
        <v>N/A</v>
      </c>
      <c r="L78" t="s">
        <v>822</v>
      </c>
    </row>
    <row r="79" spans="1:12" x14ac:dyDescent="0.35">
      <c r="A79" t="s">
        <v>86</v>
      </c>
      <c r="B79" t="s">
        <v>812</v>
      </c>
      <c r="C79" s="9">
        <v>45556</v>
      </c>
      <c r="D79" s="9">
        <v>45586</v>
      </c>
      <c r="E79">
        <v>1596.04</v>
      </c>
      <c r="F79" t="s">
        <v>818</v>
      </c>
      <c r="G79" t="str">
        <f>'Raw Data bck'!F79&amp;"/USD"</f>
        <v>AUD/USD</v>
      </c>
      <c r="H79" s="15">
        <v>1148.67</v>
      </c>
      <c r="I79" s="11" t="s">
        <v>821</v>
      </c>
      <c r="J79" s="13">
        <f>IF(I79="Open",H79,IF(I79="Paid",0,"N/A"))</f>
        <v>0</v>
      </c>
      <c r="K79" s="4">
        <v>45586</v>
      </c>
      <c r="L79" t="s">
        <v>822</v>
      </c>
    </row>
    <row r="80" spans="1:12" x14ac:dyDescent="0.35">
      <c r="A80" t="s">
        <v>87</v>
      </c>
      <c r="B80" t="s">
        <v>812</v>
      </c>
      <c r="C80" s="9">
        <v>45401</v>
      </c>
      <c r="D80" s="9">
        <v>45431</v>
      </c>
      <c r="E80">
        <v>1687.52</v>
      </c>
      <c r="F80" t="s">
        <v>817</v>
      </c>
      <c r="G80" t="str">
        <f>'Raw Data bck'!F80&amp;"/USD"</f>
        <v>USD/USD</v>
      </c>
      <c r="H80" s="15">
        <v>1687.52</v>
      </c>
      <c r="I80" s="11" t="s">
        <v>821</v>
      </c>
      <c r="J80" s="13">
        <f>IF(I80="Open",H80,IF(I80="Paid",0,"N/A"))</f>
        <v>0</v>
      </c>
      <c r="K80" s="4">
        <v>45431</v>
      </c>
      <c r="L80" t="s">
        <v>822</v>
      </c>
    </row>
    <row r="81" spans="1:12" x14ac:dyDescent="0.35">
      <c r="A81" t="s">
        <v>88</v>
      </c>
      <c r="B81" t="s">
        <v>812</v>
      </c>
      <c r="C81" s="9">
        <v>45161</v>
      </c>
      <c r="D81" s="9">
        <v>45191</v>
      </c>
      <c r="E81">
        <v>1247.56</v>
      </c>
      <c r="F81" t="s">
        <v>817</v>
      </c>
      <c r="G81" t="str">
        <f>'Raw Data bck'!F81&amp;"/USD"</f>
        <v>USD/USD</v>
      </c>
      <c r="H81" s="15">
        <v>1247.56</v>
      </c>
      <c r="I81" s="11" t="s">
        <v>821</v>
      </c>
      <c r="J81" s="13">
        <f>IF(I81="Open",H81,IF(I81="Paid",0,"N/A"))</f>
        <v>0</v>
      </c>
      <c r="K81" s="4">
        <v>45191</v>
      </c>
      <c r="L81" t="s">
        <v>822</v>
      </c>
    </row>
    <row r="82" spans="1:12" x14ac:dyDescent="0.35">
      <c r="A82" t="s">
        <v>89</v>
      </c>
      <c r="B82" t="s">
        <v>811</v>
      </c>
      <c r="C82" s="9">
        <v>45811</v>
      </c>
      <c r="D82" s="9">
        <v>45841</v>
      </c>
      <c r="E82">
        <v>3330.96</v>
      </c>
      <c r="F82" t="s">
        <v>818</v>
      </c>
      <c r="G82" t="str">
        <f>'Raw Data bck'!F82&amp;"/USD"</f>
        <v>AUD/USD</v>
      </c>
      <c r="H82" s="16">
        <v>2397.29</v>
      </c>
      <c r="I82" s="11" t="s">
        <v>820</v>
      </c>
      <c r="J82" s="13" t="str">
        <f>IF(I82="Open",H82,IF(I82="Paid",0,"N/A"))</f>
        <v>N/A</v>
      </c>
      <c r="L82" t="s">
        <v>822</v>
      </c>
    </row>
    <row r="83" spans="1:12" x14ac:dyDescent="0.35">
      <c r="A83" t="s">
        <v>90</v>
      </c>
      <c r="B83" t="s">
        <v>813</v>
      </c>
      <c r="C83" s="9">
        <v>45561</v>
      </c>
      <c r="D83" s="9">
        <v>45591</v>
      </c>
      <c r="E83">
        <v>1612.59</v>
      </c>
      <c r="F83" t="s">
        <v>814</v>
      </c>
      <c r="G83" t="str">
        <f>'Raw Data bck'!F83&amp;"/USD"</f>
        <v>EUR/USD</v>
      </c>
      <c r="H83" s="15">
        <v>1877.7</v>
      </c>
      <c r="I83" s="11" t="s">
        <v>819</v>
      </c>
      <c r="J83" s="13">
        <f>IF(I83="Open",H83,IF(I83="Paid",0,"N/A"))</f>
        <v>1877.7</v>
      </c>
      <c r="L83" t="s">
        <v>822</v>
      </c>
    </row>
    <row r="84" spans="1:12" x14ac:dyDescent="0.35">
      <c r="A84" t="s">
        <v>91</v>
      </c>
      <c r="B84" t="s">
        <v>812</v>
      </c>
      <c r="C84" s="9">
        <v>45458</v>
      </c>
      <c r="D84" s="9">
        <v>45488</v>
      </c>
      <c r="E84">
        <v>1096.08</v>
      </c>
      <c r="F84" t="s">
        <v>815</v>
      </c>
      <c r="G84" t="str">
        <f>'Raw Data bck'!F84&amp;"/USD"</f>
        <v>CAD/USD</v>
      </c>
      <c r="H84" s="16">
        <v>791.37</v>
      </c>
      <c r="I84" s="11" t="s">
        <v>820</v>
      </c>
      <c r="J84" s="13" t="str">
        <f>IF(I84="Open",H84,IF(I84="Paid",0,"N/A"))</f>
        <v>N/A</v>
      </c>
      <c r="L84" t="s">
        <v>822</v>
      </c>
    </row>
    <row r="85" spans="1:12" x14ac:dyDescent="0.35">
      <c r="A85" t="s">
        <v>92</v>
      </c>
      <c r="B85" t="s">
        <v>811</v>
      </c>
      <c r="C85" s="9">
        <v>45423</v>
      </c>
      <c r="D85" s="9">
        <v>45453</v>
      </c>
      <c r="E85">
        <v>1927.05</v>
      </c>
      <c r="F85" t="s">
        <v>817</v>
      </c>
      <c r="G85" t="str">
        <f>'Raw Data bck'!F85&amp;"/USD"</f>
        <v>USD/USD</v>
      </c>
      <c r="H85" s="16">
        <v>1927.05</v>
      </c>
      <c r="I85" s="11" t="s">
        <v>820</v>
      </c>
      <c r="J85" s="13" t="str">
        <f>IF(I85="Open",H85,IF(I85="Paid",0,"N/A"))</f>
        <v>N/A</v>
      </c>
      <c r="L85" t="s">
        <v>822</v>
      </c>
    </row>
    <row r="86" spans="1:12" x14ac:dyDescent="0.35">
      <c r="A86" t="s">
        <v>93</v>
      </c>
      <c r="B86" t="s">
        <v>811</v>
      </c>
      <c r="C86" s="9">
        <v>45082</v>
      </c>
      <c r="D86" s="9">
        <v>45112</v>
      </c>
      <c r="E86">
        <v>1169.93</v>
      </c>
      <c r="F86" t="s">
        <v>817</v>
      </c>
      <c r="G86" t="str">
        <f>'Raw Data bck'!F86&amp;"/USD"</f>
        <v>USD/USD</v>
      </c>
      <c r="H86" s="15">
        <v>1169.93</v>
      </c>
      <c r="I86" s="11" t="s">
        <v>819</v>
      </c>
      <c r="J86" s="13">
        <f>IF(I86="Open",H86,IF(I86="Paid",0,"N/A"))</f>
        <v>1169.93</v>
      </c>
      <c r="L86" t="s">
        <v>822</v>
      </c>
    </row>
    <row r="87" spans="1:12" x14ac:dyDescent="0.35">
      <c r="A87" t="s">
        <v>94</v>
      </c>
      <c r="B87" t="s">
        <v>813</v>
      </c>
      <c r="C87" s="9">
        <v>45820</v>
      </c>
      <c r="D87" s="9">
        <v>45850</v>
      </c>
      <c r="E87">
        <v>662.31</v>
      </c>
      <c r="F87" t="s">
        <v>816</v>
      </c>
      <c r="G87" t="str">
        <f>'Raw Data bck'!F87&amp;"/USD"</f>
        <v>GBP/USD</v>
      </c>
      <c r="H87" s="15">
        <v>899.95</v>
      </c>
      <c r="I87" s="11" t="s">
        <v>819</v>
      </c>
      <c r="J87" s="13">
        <f>IF(I87="Open",H87,IF(I87="Paid",0,"N/A"))</f>
        <v>899.95</v>
      </c>
      <c r="L87" t="s">
        <v>822</v>
      </c>
    </row>
    <row r="88" spans="1:12" x14ac:dyDescent="0.35">
      <c r="A88" t="s">
        <v>95</v>
      </c>
      <c r="B88" t="s">
        <v>813</v>
      </c>
      <c r="C88" s="9">
        <v>45111</v>
      </c>
      <c r="D88" s="9">
        <v>45141</v>
      </c>
      <c r="E88">
        <v>3443.5</v>
      </c>
      <c r="F88" t="s">
        <v>815</v>
      </c>
      <c r="G88" t="str">
        <f>'Raw Data bck'!F88&amp;"/USD"</f>
        <v>CAD/USD</v>
      </c>
      <c r="H88" s="15">
        <v>2486.21</v>
      </c>
      <c r="I88" s="11" t="s">
        <v>821</v>
      </c>
      <c r="J88" s="13">
        <f>IF(I88="Open",H88,IF(I88="Paid",0,"N/A"))</f>
        <v>0</v>
      </c>
      <c r="K88" s="4">
        <v>45141</v>
      </c>
      <c r="L88" t="s">
        <v>822</v>
      </c>
    </row>
    <row r="89" spans="1:12" x14ac:dyDescent="0.35">
      <c r="A89" t="s">
        <v>96</v>
      </c>
      <c r="B89" t="s">
        <v>813</v>
      </c>
      <c r="C89" s="9">
        <v>45456</v>
      </c>
      <c r="D89" s="9">
        <v>45486</v>
      </c>
      <c r="E89">
        <v>3290.86</v>
      </c>
      <c r="F89" t="s">
        <v>815</v>
      </c>
      <c r="G89" t="str">
        <f>'Raw Data bck'!F89&amp;"/USD"</f>
        <v>CAD/USD</v>
      </c>
      <c r="H89" s="15">
        <v>2376</v>
      </c>
      <c r="I89" s="11" t="s">
        <v>821</v>
      </c>
      <c r="J89" s="13">
        <f>IF(I89="Open",H89,IF(I89="Paid",0,"N/A"))</f>
        <v>0</v>
      </c>
      <c r="K89" s="4">
        <v>45486</v>
      </c>
      <c r="L89" t="s">
        <v>822</v>
      </c>
    </row>
    <row r="90" spans="1:12" x14ac:dyDescent="0.35">
      <c r="A90" t="s">
        <v>97</v>
      </c>
      <c r="B90" t="s">
        <v>813</v>
      </c>
      <c r="C90" s="9">
        <v>45737</v>
      </c>
      <c r="D90" s="9">
        <v>45767</v>
      </c>
      <c r="E90">
        <v>1872.61</v>
      </c>
      <c r="F90" t="s">
        <v>814</v>
      </c>
      <c r="G90" t="str">
        <f>'Raw Data bck'!F90&amp;"/USD"</f>
        <v>EUR/USD</v>
      </c>
      <c r="H90" s="15">
        <v>2180.4699999999998</v>
      </c>
      <c r="I90" s="11" t="s">
        <v>819</v>
      </c>
      <c r="J90" s="13">
        <f>IF(I90="Open",H90,IF(I90="Paid",0,"N/A"))</f>
        <v>2180.4699999999998</v>
      </c>
      <c r="L90" t="s">
        <v>822</v>
      </c>
    </row>
    <row r="91" spans="1:12" x14ac:dyDescent="0.35">
      <c r="A91" t="s">
        <v>98</v>
      </c>
      <c r="B91" t="s">
        <v>813</v>
      </c>
      <c r="C91" s="9">
        <v>45520</v>
      </c>
      <c r="D91" s="9">
        <v>45550</v>
      </c>
      <c r="E91">
        <v>307.49</v>
      </c>
      <c r="F91" t="s">
        <v>816</v>
      </c>
      <c r="G91" t="str">
        <f>'Raw Data bck'!F91&amp;"/USD"</f>
        <v>GBP/USD</v>
      </c>
      <c r="H91" s="15">
        <v>417.82</v>
      </c>
      <c r="I91" s="11" t="s">
        <v>819</v>
      </c>
      <c r="J91" s="13">
        <f>IF(I91="Open",H91,IF(I91="Paid",0,"N/A"))</f>
        <v>417.82</v>
      </c>
      <c r="L91" t="s">
        <v>822</v>
      </c>
    </row>
    <row r="92" spans="1:12" x14ac:dyDescent="0.35">
      <c r="A92" t="s">
        <v>99</v>
      </c>
      <c r="B92" t="s">
        <v>813</v>
      </c>
      <c r="C92" s="9">
        <v>45403</v>
      </c>
      <c r="D92" s="9">
        <v>45433</v>
      </c>
      <c r="E92">
        <v>211.08</v>
      </c>
      <c r="F92" t="s">
        <v>818</v>
      </c>
      <c r="G92" t="str">
        <f>'Raw Data bck'!F92&amp;"/USD"</f>
        <v>AUD/USD</v>
      </c>
      <c r="H92" s="16">
        <v>151.91</v>
      </c>
      <c r="I92" s="11" t="s">
        <v>820</v>
      </c>
      <c r="J92" s="13" t="str">
        <f>IF(I92="Open",H92,IF(I92="Paid",0,"N/A"))</f>
        <v>N/A</v>
      </c>
      <c r="L92" t="s">
        <v>822</v>
      </c>
    </row>
    <row r="93" spans="1:12" x14ac:dyDescent="0.35">
      <c r="A93" t="s">
        <v>100</v>
      </c>
      <c r="B93" t="s">
        <v>813</v>
      </c>
      <c r="C93" s="9">
        <v>44966</v>
      </c>
      <c r="D93" s="9">
        <v>44996</v>
      </c>
      <c r="E93">
        <v>2052.0100000000002</v>
      </c>
      <c r="F93" t="s">
        <v>814</v>
      </c>
      <c r="G93" t="str">
        <f>'Raw Data bck'!F93&amp;"/USD"</f>
        <v>EUR/USD</v>
      </c>
      <c r="H93" s="15">
        <v>2389.36</v>
      </c>
      <c r="I93" s="11" t="s">
        <v>819</v>
      </c>
      <c r="J93" s="13">
        <f>IF(I93="Open",H93,IF(I93="Paid",0,"N/A"))</f>
        <v>2389.36</v>
      </c>
      <c r="L93" t="s">
        <v>822</v>
      </c>
    </row>
    <row r="94" spans="1:12" x14ac:dyDescent="0.35">
      <c r="A94" t="s">
        <v>101</v>
      </c>
      <c r="B94" t="s">
        <v>813</v>
      </c>
      <c r="C94" s="9">
        <v>45071</v>
      </c>
      <c r="D94" s="9">
        <v>45101</v>
      </c>
      <c r="E94">
        <v>4091.87</v>
      </c>
      <c r="F94" t="s">
        <v>818</v>
      </c>
      <c r="G94" t="str">
        <f>'Raw Data bck'!F94&amp;"/USD"</f>
        <v>AUD/USD</v>
      </c>
      <c r="H94" s="15">
        <v>2944.92</v>
      </c>
      <c r="I94" s="11" t="s">
        <v>819</v>
      </c>
      <c r="J94" s="13">
        <f>IF(I94="Open",H94,IF(I94="Paid",0,"N/A"))</f>
        <v>2944.92</v>
      </c>
      <c r="L94" t="s">
        <v>822</v>
      </c>
    </row>
    <row r="95" spans="1:12" x14ac:dyDescent="0.35">
      <c r="A95" t="s">
        <v>102</v>
      </c>
      <c r="B95" t="s">
        <v>812</v>
      </c>
      <c r="C95" s="9">
        <v>45227</v>
      </c>
      <c r="D95" s="9">
        <v>45257</v>
      </c>
      <c r="E95">
        <v>1321.04</v>
      </c>
      <c r="F95" t="s">
        <v>818</v>
      </c>
      <c r="G95" t="str">
        <f>'Raw Data bck'!F95&amp;"/USD"</f>
        <v>AUD/USD</v>
      </c>
      <c r="H95" s="15">
        <v>950.75</v>
      </c>
      <c r="I95" s="11" t="s">
        <v>819</v>
      </c>
      <c r="J95" s="13">
        <f>IF(I95="Open",H95,IF(I95="Paid",0,"N/A"))</f>
        <v>950.75</v>
      </c>
      <c r="L95" t="s">
        <v>822</v>
      </c>
    </row>
    <row r="96" spans="1:12" x14ac:dyDescent="0.35">
      <c r="A96" t="s">
        <v>103</v>
      </c>
      <c r="B96" t="s">
        <v>809</v>
      </c>
      <c r="C96" s="9">
        <v>45088</v>
      </c>
      <c r="D96" s="9">
        <v>45118</v>
      </c>
      <c r="E96">
        <v>4205.21</v>
      </c>
      <c r="F96" t="s">
        <v>818</v>
      </c>
      <c r="G96" t="str">
        <f>'Raw Data bck'!F96&amp;"/USD"</f>
        <v>AUD/USD</v>
      </c>
      <c r="H96" s="15">
        <v>3026.49</v>
      </c>
      <c r="I96" s="11" t="s">
        <v>821</v>
      </c>
      <c r="J96" s="13">
        <f>IF(I96="Open",H96,IF(I96="Paid",0,"N/A"))</f>
        <v>0</v>
      </c>
      <c r="K96" s="4">
        <v>45118</v>
      </c>
      <c r="L96" t="s">
        <v>822</v>
      </c>
    </row>
    <row r="97" spans="1:12" x14ac:dyDescent="0.35">
      <c r="A97" t="s">
        <v>104</v>
      </c>
      <c r="B97" t="s">
        <v>810</v>
      </c>
      <c r="C97" s="9">
        <v>45426</v>
      </c>
      <c r="D97" s="9">
        <v>45456</v>
      </c>
      <c r="E97">
        <v>4804.12</v>
      </c>
      <c r="F97" t="s">
        <v>815</v>
      </c>
      <c r="G97" t="str">
        <f>'Raw Data bck'!F97&amp;"/USD"</f>
        <v>CAD/USD</v>
      </c>
      <c r="H97" s="15">
        <v>3468.57</v>
      </c>
      <c r="I97" s="11" t="s">
        <v>819</v>
      </c>
      <c r="J97" s="13">
        <f>IF(I97="Open",H97,IF(I97="Paid",0,"N/A"))</f>
        <v>3468.57</v>
      </c>
      <c r="L97" t="s">
        <v>822</v>
      </c>
    </row>
    <row r="98" spans="1:12" x14ac:dyDescent="0.35">
      <c r="A98" t="s">
        <v>105</v>
      </c>
      <c r="B98" t="s">
        <v>810</v>
      </c>
      <c r="C98" s="9">
        <v>45442</v>
      </c>
      <c r="D98" s="9">
        <v>45472</v>
      </c>
      <c r="E98">
        <v>2179.34</v>
      </c>
      <c r="F98" t="s">
        <v>817</v>
      </c>
      <c r="G98" t="str">
        <f>'Raw Data bck'!F98&amp;"/USD"</f>
        <v>USD/USD</v>
      </c>
      <c r="H98" s="15">
        <v>2179.34</v>
      </c>
      <c r="I98" s="11" t="s">
        <v>821</v>
      </c>
      <c r="J98" s="13">
        <f>IF(I98="Open",H98,IF(I98="Paid",0,"N/A"))</f>
        <v>0</v>
      </c>
      <c r="K98" s="4">
        <v>45472</v>
      </c>
      <c r="L98" t="s">
        <v>822</v>
      </c>
    </row>
    <row r="99" spans="1:12" x14ac:dyDescent="0.35">
      <c r="A99" t="s">
        <v>106</v>
      </c>
      <c r="B99" t="s">
        <v>811</v>
      </c>
      <c r="C99" s="9">
        <v>45350</v>
      </c>
      <c r="D99" s="9">
        <v>45380</v>
      </c>
      <c r="E99">
        <v>2918.59</v>
      </c>
      <c r="F99" t="s">
        <v>815</v>
      </c>
      <c r="G99" t="str">
        <f>'Raw Data bck'!F99&amp;"/USD"</f>
        <v>CAD/USD</v>
      </c>
      <c r="H99" s="15">
        <v>2107.2199999999998</v>
      </c>
      <c r="I99" s="11" t="s">
        <v>819</v>
      </c>
      <c r="J99" s="13">
        <f>IF(I99="Open",H99,IF(I99="Paid",0,"N/A"))</f>
        <v>2107.2199999999998</v>
      </c>
      <c r="L99" t="s">
        <v>822</v>
      </c>
    </row>
    <row r="100" spans="1:12" x14ac:dyDescent="0.35">
      <c r="A100" t="s">
        <v>107</v>
      </c>
      <c r="B100" t="s">
        <v>812</v>
      </c>
      <c r="C100" s="9">
        <v>45568</v>
      </c>
      <c r="D100" s="9">
        <v>45598</v>
      </c>
      <c r="E100">
        <v>4508.92</v>
      </c>
      <c r="F100" t="s">
        <v>815</v>
      </c>
      <c r="G100" t="str">
        <f>'Raw Data bck'!F100&amp;"/USD"</f>
        <v>CAD/USD</v>
      </c>
      <c r="H100" s="15">
        <v>3255.44</v>
      </c>
      <c r="I100" s="11" t="s">
        <v>821</v>
      </c>
      <c r="J100" s="13">
        <f>IF(I100="Open",H100,IF(I100="Paid",0,"N/A"))</f>
        <v>0</v>
      </c>
      <c r="K100" s="4">
        <v>45598</v>
      </c>
      <c r="L100" t="s">
        <v>822</v>
      </c>
    </row>
    <row r="101" spans="1:12" x14ac:dyDescent="0.35">
      <c r="A101" t="s">
        <v>108</v>
      </c>
      <c r="B101" t="s">
        <v>809</v>
      </c>
      <c r="C101" s="9">
        <v>45134</v>
      </c>
      <c r="D101" s="9">
        <v>45164</v>
      </c>
      <c r="E101">
        <v>3543.69</v>
      </c>
      <c r="F101" t="s">
        <v>814</v>
      </c>
      <c r="G101" t="str">
        <f>'Raw Data bck'!F101&amp;"/USD"</f>
        <v>EUR/USD</v>
      </c>
      <c r="H101" s="16">
        <v>4126.2700000000004</v>
      </c>
      <c r="I101" s="11" t="s">
        <v>820</v>
      </c>
      <c r="J101" s="13" t="str">
        <f>IF(I101="Open",H101,IF(I101="Paid",0,"N/A"))</f>
        <v>N/A</v>
      </c>
      <c r="L101" t="s">
        <v>822</v>
      </c>
    </row>
    <row r="102" spans="1:12" x14ac:dyDescent="0.35">
      <c r="A102" t="s">
        <v>109</v>
      </c>
      <c r="B102" t="s">
        <v>812</v>
      </c>
      <c r="C102" s="9">
        <v>45554</v>
      </c>
      <c r="D102" s="9">
        <v>45584</v>
      </c>
      <c r="E102">
        <v>3606.75</v>
      </c>
      <c r="F102" t="s">
        <v>818</v>
      </c>
      <c r="G102" t="str">
        <f>'Raw Data bck'!F102&amp;"/USD"</f>
        <v>AUD/USD</v>
      </c>
      <c r="H102" s="15">
        <v>2595.7800000000002</v>
      </c>
      <c r="I102" s="11" t="s">
        <v>819</v>
      </c>
      <c r="J102" s="13">
        <f>IF(I102="Open",H102,IF(I102="Paid",0,"N/A"))</f>
        <v>2595.7800000000002</v>
      </c>
      <c r="L102" t="s">
        <v>822</v>
      </c>
    </row>
    <row r="103" spans="1:12" x14ac:dyDescent="0.35">
      <c r="A103" t="s">
        <v>110</v>
      </c>
      <c r="B103" t="s">
        <v>812</v>
      </c>
      <c r="C103" s="9">
        <v>45838</v>
      </c>
      <c r="D103" s="9">
        <v>45868</v>
      </c>
      <c r="E103">
        <v>3518.19</v>
      </c>
      <c r="F103" t="s">
        <v>817</v>
      </c>
      <c r="G103" t="str">
        <f>'Raw Data bck'!F103&amp;"/USD"</f>
        <v>USD/USD</v>
      </c>
      <c r="H103" s="16">
        <v>3518.19</v>
      </c>
      <c r="I103" s="11" t="s">
        <v>820</v>
      </c>
      <c r="J103" s="13" t="str">
        <f>IF(I103="Open",H103,IF(I103="Paid",0,"N/A"))</f>
        <v>N/A</v>
      </c>
      <c r="L103" t="s">
        <v>822</v>
      </c>
    </row>
    <row r="104" spans="1:12" x14ac:dyDescent="0.35">
      <c r="A104" t="s">
        <v>111</v>
      </c>
      <c r="B104" t="s">
        <v>810</v>
      </c>
      <c r="C104" s="9">
        <v>45653</v>
      </c>
      <c r="D104" s="9">
        <v>45683</v>
      </c>
      <c r="E104">
        <v>4853.53</v>
      </c>
      <c r="F104" t="s">
        <v>815</v>
      </c>
      <c r="G104" t="str">
        <f>'Raw Data bck'!F104&amp;"/USD"</f>
        <v>CAD/USD</v>
      </c>
      <c r="H104" s="15">
        <v>3504.25</v>
      </c>
      <c r="I104" s="11" t="s">
        <v>819</v>
      </c>
      <c r="J104" s="13">
        <f>IF(I104="Open",H104,IF(I104="Paid",0,"N/A"))</f>
        <v>3504.25</v>
      </c>
      <c r="L104" t="s">
        <v>822</v>
      </c>
    </row>
    <row r="105" spans="1:12" x14ac:dyDescent="0.35">
      <c r="A105" t="s">
        <v>112</v>
      </c>
      <c r="B105" t="s">
        <v>809</v>
      </c>
      <c r="C105" s="9">
        <v>45533</v>
      </c>
      <c r="D105" s="9">
        <v>45563</v>
      </c>
      <c r="E105">
        <v>4099.79</v>
      </c>
      <c r="F105" t="s">
        <v>814</v>
      </c>
      <c r="G105" t="str">
        <f>'Raw Data bck'!F105&amp;"/USD"</f>
        <v>EUR/USD</v>
      </c>
      <c r="H105" s="16">
        <v>4773.8</v>
      </c>
      <c r="I105" s="11" t="s">
        <v>820</v>
      </c>
      <c r="J105" s="13" t="str">
        <f>IF(I105="Open",H105,IF(I105="Paid",0,"N/A"))</f>
        <v>N/A</v>
      </c>
      <c r="L105" t="s">
        <v>822</v>
      </c>
    </row>
    <row r="106" spans="1:12" x14ac:dyDescent="0.35">
      <c r="A106" t="s">
        <v>113</v>
      </c>
      <c r="B106" t="s">
        <v>809</v>
      </c>
      <c r="C106" s="9">
        <v>44958</v>
      </c>
      <c r="D106" s="9">
        <v>44988</v>
      </c>
      <c r="E106">
        <v>3167.66</v>
      </c>
      <c r="F106" t="s">
        <v>815</v>
      </c>
      <c r="G106" t="str">
        <f>'Raw Data bck'!F106&amp;"/USD"</f>
        <v>CAD/USD</v>
      </c>
      <c r="H106" s="15">
        <v>2287.0500000000002</v>
      </c>
      <c r="I106" s="11" t="s">
        <v>821</v>
      </c>
      <c r="J106" s="13">
        <f>IF(I106="Open",H106,IF(I106="Paid",0,"N/A"))</f>
        <v>0</v>
      </c>
      <c r="K106" s="4">
        <v>44988</v>
      </c>
      <c r="L106" t="s">
        <v>822</v>
      </c>
    </row>
    <row r="107" spans="1:12" x14ac:dyDescent="0.35">
      <c r="A107" t="s">
        <v>114</v>
      </c>
      <c r="B107" t="s">
        <v>812</v>
      </c>
      <c r="C107" s="9">
        <v>45024</v>
      </c>
      <c r="D107" s="9">
        <v>45054</v>
      </c>
      <c r="E107">
        <v>4646.9799999999996</v>
      </c>
      <c r="F107" t="s">
        <v>814</v>
      </c>
      <c r="G107" t="str">
        <f>'Raw Data bck'!F107&amp;"/USD"</f>
        <v>EUR/USD</v>
      </c>
      <c r="H107" s="16">
        <v>5410.94</v>
      </c>
      <c r="I107" s="11" t="s">
        <v>820</v>
      </c>
      <c r="J107" s="13" t="str">
        <f>IF(I107="Open",H107,IF(I107="Paid",0,"N/A"))</f>
        <v>N/A</v>
      </c>
      <c r="L107" t="s">
        <v>822</v>
      </c>
    </row>
    <row r="108" spans="1:12" x14ac:dyDescent="0.35">
      <c r="A108" t="s">
        <v>115</v>
      </c>
      <c r="B108" t="s">
        <v>813</v>
      </c>
      <c r="C108" s="9">
        <v>45552</v>
      </c>
      <c r="D108" s="9">
        <v>45582</v>
      </c>
      <c r="E108">
        <v>4202.6099999999997</v>
      </c>
      <c r="F108" t="s">
        <v>816</v>
      </c>
      <c r="G108" t="str">
        <f>'Raw Data bck'!F108&amp;"/USD"</f>
        <v>GBP/USD</v>
      </c>
      <c r="H108" s="15">
        <v>5710.51</v>
      </c>
      <c r="I108" s="11" t="s">
        <v>819</v>
      </c>
      <c r="J108" s="13">
        <f>IF(I108="Open",H108,IF(I108="Paid",0,"N/A"))</f>
        <v>5710.51</v>
      </c>
      <c r="L108" t="s">
        <v>822</v>
      </c>
    </row>
    <row r="109" spans="1:12" x14ac:dyDescent="0.35">
      <c r="A109" t="s">
        <v>116</v>
      </c>
      <c r="B109" t="s">
        <v>813</v>
      </c>
      <c r="C109" s="9">
        <v>45250</v>
      </c>
      <c r="D109" s="9">
        <v>45280</v>
      </c>
      <c r="E109">
        <v>1491.57</v>
      </c>
      <c r="F109" t="s">
        <v>814</v>
      </c>
      <c r="G109" t="str">
        <f>'Raw Data bck'!F109&amp;"/USD"</f>
        <v>EUR/USD</v>
      </c>
      <c r="H109" s="15">
        <v>1736.78</v>
      </c>
      <c r="I109" s="11" t="s">
        <v>821</v>
      </c>
      <c r="J109" s="13">
        <f>IF(I109="Open",H109,IF(I109="Paid",0,"N/A"))</f>
        <v>0</v>
      </c>
      <c r="K109" s="4">
        <v>45280</v>
      </c>
      <c r="L109" t="s">
        <v>822</v>
      </c>
    </row>
    <row r="110" spans="1:12" x14ac:dyDescent="0.35">
      <c r="A110" t="s">
        <v>117</v>
      </c>
      <c r="B110" t="s">
        <v>809</v>
      </c>
      <c r="C110" s="9">
        <v>45339</v>
      </c>
      <c r="D110" s="9">
        <v>45369</v>
      </c>
      <c r="E110">
        <v>2302.71</v>
      </c>
      <c r="F110" t="s">
        <v>817</v>
      </c>
      <c r="G110" t="str">
        <f>'Raw Data bck'!F110&amp;"/USD"</f>
        <v>USD/USD</v>
      </c>
      <c r="H110" s="15">
        <v>2302.71</v>
      </c>
      <c r="I110" s="11" t="s">
        <v>821</v>
      </c>
      <c r="J110" s="13">
        <f>IF(I110="Open",H110,IF(I110="Paid",0,"N/A"))</f>
        <v>0</v>
      </c>
      <c r="K110" s="4">
        <v>45369</v>
      </c>
      <c r="L110" t="s">
        <v>822</v>
      </c>
    </row>
    <row r="111" spans="1:12" x14ac:dyDescent="0.35">
      <c r="A111" t="s">
        <v>118</v>
      </c>
      <c r="B111" t="s">
        <v>812</v>
      </c>
      <c r="C111" s="9">
        <v>45787</v>
      </c>
      <c r="D111" s="9">
        <v>45817</v>
      </c>
      <c r="E111">
        <v>222.31</v>
      </c>
      <c r="F111" t="s">
        <v>814</v>
      </c>
      <c r="G111" t="str">
        <f>'Raw Data bck'!F111&amp;"/USD"</f>
        <v>EUR/USD</v>
      </c>
      <c r="H111" s="16">
        <v>258.86</v>
      </c>
      <c r="I111" s="11" t="s">
        <v>820</v>
      </c>
      <c r="J111" s="13" t="str">
        <f>IF(I111="Open",H111,IF(I111="Paid",0,"N/A"))</f>
        <v>N/A</v>
      </c>
      <c r="L111" t="s">
        <v>822</v>
      </c>
    </row>
    <row r="112" spans="1:12" x14ac:dyDescent="0.35">
      <c r="A112" t="s">
        <v>119</v>
      </c>
      <c r="B112" t="s">
        <v>812</v>
      </c>
      <c r="C112" s="9">
        <v>45621</v>
      </c>
      <c r="D112" s="9">
        <v>45651</v>
      </c>
      <c r="E112">
        <v>1191.67</v>
      </c>
      <c r="F112" t="s">
        <v>816</v>
      </c>
      <c r="G112" t="str">
        <f>'Raw Data bck'!F112&amp;"/USD"</f>
        <v>GBP/USD</v>
      </c>
      <c r="H112" s="15">
        <v>1619.24</v>
      </c>
      <c r="I112" s="11" t="s">
        <v>819</v>
      </c>
      <c r="J112" s="13">
        <f>IF(I112="Open",H112,IF(I112="Paid",0,"N/A"))</f>
        <v>1619.24</v>
      </c>
      <c r="L112" t="s">
        <v>822</v>
      </c>
    </row>
    <row r="113" spans="1:12" x14ac:dyDescent="0.35">
      <c r="A113" t="s">
        <v>120</v>
      </c>
      <c r="B113" t="s">
        <v>812</v>
      </c>
      <c r="C113" s="9">
        <v>45273</v>
      </c>
      <c r="D113" s="9">
        <v>45303</v>
      </c>
      <c r="E113">
        <v>3805.91</v>
      </c>
      <c r="F113" t="s">
        <v>815</v>
      </c>
      <c r="G113" t="str">
        <f>'Raw Data bck'!F113&amp;"/USD"</f>
        <v>CAD/USD</v>
      </c>
      <c r="H113" s="15">
        <v>2747.87</v>
      </c>
      <c r="I113" s="11" t="s">
        <v>821</v>
      </c>
      <c r="J113" s="13">
        <f>IF(I113="Open",H113,IF(I113="Paid",0,"N/A"))</f>
        <v>0</v>
      </c>
      <c r="K113" s="4">
        <v>45303</v>
      </c>
      <c r="L113" t="s">
        <v>822</v>
      </c>
    </row>
    <row r="114" spans="1:12" x14ac:dyDescent="0.35">
      <c r="A114" t="s">
        <v>121</v>
      </c>
      <c r="B114" t="s">
        <v>813</v>
      </c>
      <c r="C114" s="9">
        <v>45028</v>
      </c>
      <c r="D114" s="9">
        <v>45058</v>
      </c>
      <c r="E114">
        <v>945.2</v>
      </c>
      <c r="F114" t="s">
        <v>817</v>
      </c>
      <c r="G114" t="str">
        <f>'Raw Data bck'!F114&amp;"/USD"</f>
        <v>USD/USD</v>
      </c>
      <c r="H114" s="16">
        <v>945.2</v>
      </c>
      <c r="I114" s="11" t="s">
        <v>820</v>
      </c>
      <c r="J114" s="13" t="str">
        <f>IF(I114="Open",H114,IF(I114="Paid",0,"N/A"))</f>
        <v>N/A</v>
      </c>
      <c r="L114" t="s">
        <v>822</v>
      </c>
    </row>
    <row r="115" spans="1:12" x14ac:dyDescent="0.35">
      <c r="A115" t="s">
        <v>122</v>
      </c>
      <c r="B115" t="s">
        <v>812</v>
      </c>
      <c r="C115" s="9">
        <v>45311</v>
      </c>
      <c r="D115" s="9">
        <v>45341</v>
      </c>
      <c r="E115">
        <v>2517.4699999999998</v>
      </c>
      <c r="F115" t="s">
        <v>815</v>
      </c>
      <c r="G115" t="str">
        <f>'Raw Data bck'!F115&amp;"/USD"</f>
        <v>CAD/USD</v>
      </c>
      <c r="H115" s="16">
        <v>1817.61</v>
      </c>
      <c r="I115" s="11" t="s">
        <v>820</v>
      </c>
      <c r="J115" s="13" t="str">
        <f>IF(I115="Open",H115,IF(I115="Paid",0,"N/A"))</f>
        <v>N/A</v>
      </c>
      <c r="L115" t="s">
        <v>822</v>
      </c>
    </row>
    <row r="116" spans="1:12" x14ac:dyDescent="0.35">
      <c r="A116" t="s">
        <v>123</v>
      </c>
      <c r="B116" t="s">
        <v>813</v>
      </c>
      <c r="C116" s="9">
        <v>45625</v>
      </c>
      <c r="D116" s="9">
        <v>45655</v>
      </c>
      <c r="E116">
        <v>4131.71</v>
      </c>
      <c r="F116" t="s">
        <v>817</v>
      </c>
      <c r="G116" t="str">
        <f>'Raw Data bck'!F116&amp;"/USD"</f>
        <v>USD/USD</v>
      </c>
      <c r="H116" s="16">
        <v>4131.71</v>
      </c>
      <c r="I116" s="11" t="s">
        <v>820</v>
      </c>
      <c r="J116" s="13" t="str">
        <f>IF(I116="Open",H116,IF(I116="Paid",0,"N/A"))</f>
        <v>N/A</v>
      </c>
      <c r="L116" t="s">
        <v>822</v>
      </c>
    </row>
    <row r="117" spans="1:12" x14ac:dyDescent="0.35">
      <c r="A117" t="s">
        <v>124</v>
      </c>
      <c r="B117" t="s">
        <v>813</v>
      </c>
      <c r="C117" s="9">
        <v>45370</v>
      </c>
      <c r="D117" s="9">
        <v>45400</v>
      </c>
      <c r="E117">
        <v>1116.42</v>
      </c>
      <c r="F117" t="s">
        <v>815</v>
      </c>
      <c r="G117" t="str">
        <f>'Raw Data bck'!F117&amp;"/USD"</f>
        <v>CAD/USD</v>
      </c>
      <c r="H117" s="15">
        <v>806.06</v>
      </c>
      <c r="I117" s="11" t="s">
        <v>819</v>
      </c>
      <c r="J117" s="13">
        <f>IF(I117="Open",H117,IF(I117="Paid",0,"N/A"))</f>
        <v>806.06</v>
      </c>
      <c r="L117" t="s">
        <v>822</v>
      </c>
    </row>
    <row r="118" spans="1:12" x14ac:dyDescent="0.35">
      <c r="A118" t="s">
        <v>125</v>
      </c>
      <c r="B118" t="s">
        <v>813</v>
      </c>
      <c r="C118" s="9">
        <v>45193</v>
      </c>
      <c r="D118" s="9">
        <v>45223</v>
      </c>
      <c r="E118">
        <v>4575.2700000000004</v>
      </c>
      <c r="F118" t="s">
        <v>815</v>
      </c>
      <c r="G118" t="str">
        <f>'Raw Data bck'!F118&amp;"/USD"</f>
        <v>CAD/USD</v>
      </c>
      <c r="H118" s="15">
        <v>3303.34</v>
      </c>
      <c r="I118" s="11" t="s">
        <v>819</v>
      </c>
      <c r="J118" s="13">
        <f>IF(I118="Open",H118,IF(I118="Paid",0,"N/A"))</f>
        <v>3303.34</v>
      </c>
      <c r="L118" t="s">
        <v>822</v>
      </c>
    </row>
    <row r="119" spans="1:12" x14ac:dyDescent="0.35">
      <c r="A119" t="s">
        <v>126</v>
      </c>
      <c r="B119" t="s">
        <v>813</v>
      </c>
      <c r="C119" s="9">
        <v>44973</v>
      </c>
      <c r="D119" s="9">
        <v>45003</v>
      </c>
      <c r="E119">
        <v>1514.17</v>
      </c>
      <c r="F119" t="s">
        <v>815</v>
      </c>
      <c r="G119" t="str">
        <f>'Raw Data bck'!F119&amp;"/USD"</f>
        <v>CAD/USD</v>
      </c>
      <c r="H119" s="15">
        <v>1093.23</v>
      </c>
      <c r="I119" s="11" t="s">
        <v>819</v>
      </c>
      <c r="J119" s="13">
        <f>IF(I119="Open",H119,IF(I119="Paid",0,"N/A"))</f>
        <v>1093.23</v>
      </c>
      <c r="L119" t="s">
        <v>822</v>
      </c>
    </row>
    <row r="120" spans="1:12" x14ac:dyDescent="0.35">
      <c r="A120" t="s">
        <v>127</v>
      </c>
      <c r="B120" t="s">
        <v>809</v>
      </c>
      <c r="C120" s="9">
        <v>45152</v>
      </c>
      <c r="D120" s="9">
        <v>45182</v>
      </c>
      <c r="E120">
        <v>4267.03</v>
      </c>
      <c r="F120" t="s">
        <v>815</v>
      </c>
      <c r="G120" t="str">
        <f>'Raw Data bck'!F120&amp;"/USD"</f>
        <v>CAD/USD</v>
      </c>
      <c r="H120" s="15">
        <v>3080.8</v>
      </c>
      <c r="I120" s="11" t="s">
        <v>819</v>
      </c>
      <c r="J120" s="13">
        <f>IF(I120="Open",H120,IF(I120="Paid",0,"N/A"))</f>
        <v>3080.8</v>
      </c>
      <c r="L120" t="s">
        <v>822</v>
      </c>
    </row>
    <row r="121" spans="1:12" x14ac:dyDescent="0.35">
      <c r="A121" t="s">
        <v>128</v>
      </c>
      <c r="B121" t="s">
        <v>810</v>
      </c>
      <c r="C121" s="9">
        <v>45685</v>
      </c>
      <c r="D121" s="9">
        <v>45715</v>
      </c>
      <c r="E121">
        <v>4482.04</v>
      </c>
      <c r="F121" t="s">
        <v>816</v>
      </c>
      <c r="G121" t="str">
        <f>'Raw Data bck'!F121&amp;"/USD"</f>
        <v>GBP/USD</v>
      </c>
      <c r="H121" s="16">
        <v>6090.2</v>
      </c>
      <c r="I121" s="11" t="s">
        <v>820</v>
      </c>
      <c r="J121" s="13" t="str">
        <f>IF(I121="Open",H121,IF(I121="Paid",0,"N/A"))</f>
        <v>N/A</v>
      </c>
      <c r="L121" t="s">
        <v>822</v>
      </c>
    </row>
    <row r="122" spans="1:12" x14ac:dyDescent="0.35">
      <c r="A122" t="s">
        <v>129</v>
      </c>
      <c r="B122" t="s">
        <v>813</v>
      </c>
      <c r="C122" s="9">
        <v>45412</v>
      </c>
      <c r="D122" s="9">
        <v>45442</v>
      </c>
      <c r="E122">
        <v>1407.76</v>
      </c>
      <c r="F122" t="s">
        <v>816</v>
      </c>
      <c r="G122" t="str">
        <f>'Raw Data bck'!F122&amp;"/USD"</f>
        <v>GBP/USD</v>
      </c>
      <c r="H122" s="15">
        <v>1912.86</v>
      </c>
      <c r="I122" s="11" t="s">
        <v>821</v>
      </c>
      <c r="J122" s="13">
        <f>IF(I122="Open",H122,IF(I122="Paid",0,"N/A"))</f>
        <v>0</v>
      </c>
      <c r="K122" s="4">
        <v>45442</v>
      </c>
      <c r="L122" t="s">
        <v>822</v>
      </c>
    </row>
    <row r="123" spans="1:12" x14ac:dyDescent="0.35">
      <c r="A123" t="s">
        <v>130</v>
      </c>
      <c r="B123" t="s">
        <v>811</v>
      </c>
      <c r="C123" s="9">
        <v>45253</v>
      </c>
      <c r="D123" s="9">
        <v>45283</v>
      </c>
      <c r="E123">
        <v>2739.91</v>
      </c>
      <c r="F123" t="s">
        <v>814</v>
      </c>
      <c r="G123" t="str">
        <f>'Raw Data bck'!F123&amp;"/USD"</f>
        <v>EUR/USD</v>
      </c>
      <c r="H123" s="15">
        <v>3190.35</v>
      </c>
      <c r="I123" s="11" t="s">
        <v>819</v>
      </c>
      <c r="J123" s="13">
        <f>IF(I123="Open",H123,IF(I123="Paid",0,"N/A"))</f>
        <v>3190.35</v>
      </c>
      <c r="L123" t="s">
        <v>822</v>
      </c>
    </row>
    <row r="124" spans="1:12" x14ac:dyDescent="0.35">
      <c r="A124" t="s">
        <v>131</v>
      </c>
      <c r="B124" t="s">
        <v>809</v>
      </c>
      <c r="C124" s="9">
        <v>45729</v>
      </c>
      <c r="D124" s="9">
        <v>45759</v>
      </c>
      <c r="E124">
        <v>2094.14</v>
      </c>
      <c r="F124" t="s">
        <v>816</v>
      </c>
      <c r="G124" t="str">
        <f>'Raw Data bck'!F124&amp;"/USD"</f>
        <v>GBP/USD</v>
      </c>
      <c r="H124" s="16">
        <v>2845.52</v>
      </c>
      <c r="I124" s="11" t="s">
        <v>820</v>
      </c>
      <c r="J124" s="13" t="str">
        <f>IF(I124="Open",H124,IF(I124="Paid",0,"N/A"))</f>
        <v>N/A</v>
      </c>
      <c r="L124" t="s">
        <v>822</v>
      </c>
    </row>
    <row r="125" spans="1:12" x14ac:dyDescent="0.35">
      <c r="A125" t="s">
        <v>132</v>
      </c>
      <c r="B125" t="s">
        <v>813</v>
      </c>
      <c r="C125" s="9">
        <v>45647</v>
      </c>
      <c r="D125" s="9">
        <v>45677</v>
      </c>
      <c r="E125">
        <v>1636.17</v>
      </c>
      <c r="F125" t="s">
        <v>816</v>
      </c>
      <c r="G125" t="str">
        <f>'Raw Data bck'!F125&amp;"/USD"</f>
        <v>GBP/USD</v>
      </c>
      <c r="H125" s="15">
        <v>2223.23</v>
      </c>
      <c r="I125" s="11" t="s">
        <v>819</v>
      </c>
      <c r="J125" s="13">
        <f>IF(I125="Open",H125,IF(I125="Paid",0,"N/A"))</f>
        <v>2223.23</v>
      </c>
      <c r="L125" t="s">
        <v>822</v>
      </c>
    </row>
    <row r="126" spans="1:12" x14ac:dyDescent="0.35">
      <c r="A126" t="s">
        <v>133</v>
      </c>
      <c r="B126" t="s">
        <v>810</v>
      </c>
      <c r="C126" s="9">
        <v>45204</v>
      </c>
      <c r="D126" s="9">
        <v>45234</v>
      </c>
      <c r="E126">
        <v>1052.47</v>
      </c>
      <c r="F126" t="s">
        <v>818</v>
      </c>
      <c r="G126" t="str">
        <f>'Raw Data bck'!F126&amp;"/USD"</f>
        <v>AUD/USD</v>
      </c>
      <c r="H126" s="16">
        <v>757.46</v>
      </c>
      <c r="I126" s="11" t="s">
        <v>820</v>
      </c>
      <c r="J126" s="13" t="str">
        <f>IF(I126="Open",H126,IF(I126="Paid",0,"N/A"))</f>
        <v>N/A</v>
      </c>
      <c r="L126" t="s">
        <v>822</v>
      </c>
    </row>
    <row r="127" spans="1:12" x14ac:dyDescent="0.35">
      <c r="A127" t="s">
        <v>134</v>
      </c>
      <c r="B127" t="s">
        <v>810</v>
      </c>
      <c r="C127" s="9">
        <v>45186</v>
      </c>
      <c r="D127" s="9">
        <v>45216</v>
      </c>
      <c r="E127">
        <v>4195.09</v>
      </c>
      <c r="F127" t="s">
        <v>818</v>
      </c>
      <c r="G127" t="str">
        <f>'Raw Data bck'!F127&amp;"/USD"</f>
        <v>AUD/USD</v>
      </c>
      <c r="H127" s="15">
        <v>3019.21</v>
      </c>
      <c r="I127" s="11" t="s">
        <v>819</v>
      </c>
      <c r="J127" s="13">
        <f>IF(I127="Open",H127,IF(I127="Paid",0,"N/A"))</f>
        <v>3019.21</v>
      </c>
      <c r="L127" t="s">
        <v>822</v>
      </c>
    </row>
    <row r="128" spans="1:12" x14ac:dyDescent="0.35">
      <c r="A128" t="s">
        <v>135</v>
      </c>
      <c r="B128" t="s">
        <v>811</v>
      </c>
      <c r="C128" s="9">
        <v>44940</v>
      </c>
      <c r="D128" s="9">
        <v>44970</v>
      </c>
      <c r="E128">
        <v>2545.81</v>
      </c>
      <c r="F128" t="s">
        <v>817</v>
      </c>
      <c r="G128" t="str">
        <f>'Raw Data bck'!F128&amp;"/USD"</f>
        <v>USD/USD</v>
      </c>
      <c r="H128" s="16">
        <v>2545.81</v>
      </c>
      <c r="I128" s="11" t="s">
        <v>820</v>
      </c>
      <c r="J128" s="13" t="str">
        <f>IF(I128="Open",H128,IF(I128="Paid",0,"N/A"))</f>
        <v>N/A</v>
      </c>
      <c r="L128" t="s">
        <v>822</v>
      </c>
    </row>
    <row r="129" spans="1:12" x14ac:dyDescent="0.35">
      <c r="A129" t="s">
        <v>136</v>
      </c>
      <c r="B129" t="s">
        <v>812</v>
      </c>
      <c r="C129" s="9">
        <v>45396</v>
      </c>
      <c r="D129" s="9">
        <v>45426</v>
      </c>
      <c r="E129">
        <v>993.34</v>
      </c>
      <c r="F129" t="s">
        <v>818</v>
      </c>
      <c r="G129" t="str">
        <f>'Raw Data bck'!F129&amp;"/USD"</f>
        <v>AUD/USD</v>
      </c>
      <c r="H129" s="16">
        <v>714.91</v>
      </c>
      <c r="I129" s="11" t="s">
        <v>820</v>
      </c>
      <c r="J129" s="13" t="str">
        <f>IF(I129="Open",H129,IF(I129="Paid",0,"N/A"))</f>
        <v>N/A</v>
      </c>
      <c r="L129" t="s">
        <v>822</v>
      </c>
    </row>
    <row r="130" spans="1:12" x14ac:dyDescent="0.35">
      <c r="A130" t="s">
        <v>137</v>
      </c>
      <c r="B130" t="s">
        <v>812</v>
      </c>
      <c r="C130" s="9">
        <v>45091</v>
      </c>
      <c r="D130" s="9">
        <v>45121</v>
      </c>
      <c r="E130">
        <v>834.51</v>
      </c>
      <c r="F130" t="s">
        <v>816</v>
      </c>
      <c r="G130" t="str">
        <f>'Raw Data bck'!F130&amp;"/USD"</f>
        <v>GBP/USD</v>
      </c>
      <c r="H130" s="16">
        <v>1133.93</v>
      </c>
      <c r="I130" s="11" t="s">
        <v>820</v>
      </c>
      <c r="J130" s="13" t="str">
        <f>IF(I130="Open",H130,IF(I130="Paid",0,"N/A"))</f>
        <v>N/A</v>
      </c>
      <c r="L130" t="s">
        <v>822</v>
      </c>
    </row>
    <row r="131" spans="1:12" x14ac:dyDescent="0.35">
      <c r="A131" t="s">
        <v>138</v>
      </c>
      <c r="B131" t="s">
        <v>812</v>
      </c>
      <c r="C131" s="9">
        <v>45286</v>
      </c>
      <c r="D131" s="9">
        <v>45316</v>
      </c>
      <c r="E131">
        <v>2107.58</v>
      </c>
      <c r="F131" t="s">
        <v>817</v>
      </c>
      <c r="G131" t="str">
        <f>'Raw Data bck'!F131&amp;"/USD"</f>
        <v>USD/USD</v>
      </c>
      <c r="H131" s="16">
        <v>2107.58</v>
      </c>
      <c r="I131" s="11" t="s">
        <v>820</v>
      </c>
      <c r="J131" s="13" t="str">
        <f>IF(I131="Open",H131,IF(I131="Paid",0,"N/A"))</f>
        <v>N/A</v>
      </c>
      <c r="L131" t="s">
        <v>822</v>
      </c>
    </row>
    <row r="132" spans="1:12" x14ac:dyDescent="0.35">
      <c r="A132" t="s">
        <v>139</v>
      </c>
      <c r="B132" t="s">
        <v>813</v>
      </c>
      <c r="C132" s="9">
        <v>45782</v>
      </c>
      <c r="D132" s="9">
        <v>45812</v>
      </c>
      <c r="E132">
        <v>1874.69</v>
      </c>
      <c r="F132" t="s">
        <v>817</v>
      </c>
      <c r="G132" t="str">
        <f>'Raw Data bck'!F132&amp;"/USD"</f>
        <v>USD/USD</v>
      </c>
      <c r="H132" s="15">
        <v>1874.69</v>
      </c>
      <c r="I132" s="11" t="s">
        <v>819</v>
      </c>
      <c r="J132" s="13">
        <f>IF(I132="Open",H132,IF(I132="Paid",0,"N/A"))</f>
        <v>1874.69</v>
      </c>
      <c r="L132" t="s">
        <v>822</v>
      </c>
    </row>
    <row r="133" spans="1:12" x14ac:dyDescent="0.35">
      <c r="A133" t="s">
        <v>140</v>
      </c>
      <c r="B133" t="s">
        <v>812</v>
      </c>
      <c r="C133" s="9">
        <v>45471</v>
      </c>
      <c r="D133" s="9">
        <v>45501</v>
      </c>
      <c r="E133">
        <v>4388.51</v>
      </c>
      <c r="F133" t="s">
        <v>814</v>
      </c>
      <c r="G133" t="str">
        <f>'Raw Data bck'!F133&amp;"/USD"</f>
        <v>EUR/USD</v>
      </c>
      <c r="H133" s="15">
        <v>5109.9799999999996</v>
      </c>
      <c r="I133" s="11" t="s">
        <v>821</v>
      </c>
      <c r="J133" s="13">
        <f>IF(I133="Open",H133,IF(I133="Paid",0,"N/A"))</f>
        <v>0</v>
      </c>
      <c r="K133" s="4">
        <v>45501</v>
      </c>
      <c r="L133" t="s">
        <v>822</v>
      </c>
    </row>
    <row r="134" spans="1:12" x14ac:dyDescent="0.35">
      <c r="A134" t="s">
        <v>141</v>
      </c>
      <c r="B134" t="s">
        <v>810</v>
      </c>
      <c r="C134" s="9">
        <v>45365</v>
      </c>
      <c r="D134" s="9">
        <v>45395</v>
      </c>
      <c r="E134">
        <v>125.24</v>
      </c>
      <c r="F134" t="s">
        <v>815</v>
      </c>
      <c r="G134" t="str">
        <f>'Raw Data bck'!F134&amp;"/USD"</f>
        <v>CAD/USD</v>
      </c>
      <c r="H134" s="16">
        <v>90.42</v>
      </c>
      <c r="I134" s="11" t="s">
        <v>820</v>
      </c>
      <c r="J134" s="13" t="str">
        <f>IF(I134="Open",H134,IF(I134="Paid",0,"N/A"))</f>
        <v>N/A</v>
      </c>
      <c r="L134" t="s">
        <v>822</v>
      </c>
    </row>
    <row r="135" spans="1:12" x14ac:dyDescent="0.35">
      <c r="A135" t="s">
        <v>142</v>
      </c>
      <c r="B135" t="s">
        <v>811</v>
      </c>
      <c r="C135" s="9">
        <v>45392</v>
      </c>
      <c r="D135" s="9">
        <v>45422</v>
      </c>
      <c r="E135">
        <v>1249.8900000000001</v>
      </c>
      <c r="F135" t="s">
        <v>818</v>
      </c>
      <c r="G135" t="str">
        <f>'Raw Data bck'!F135&amp;"/USD"</f>
        <v>AUD/USD</v>
      </c>
      <c r="H135" s="15">
        <v>899.55</v>
      </c>
      <c r="I135" s="11" t="s">
        <v>819</v>
      </c>
      <c r="J135" s="13">
        <f>IF(I135="Open",H135,IF(I135="Paid",0,"N/A"))</f>
        <v>899.55</v>
      </c>
      <c r="L135" t="s">
        <v>822</v>
      </c>
    </row>
    <row r="136" spans="1:12" x14ac:dyDescent="0.35">
      <c r="A136" t="s">
        <v>143</v>
      </c>
      <c r="B136" t="s">
        <v>811</v>
      </c>
      <c r="C136" s="9">
        <v>45631</v>
      </c>
      <c r="D136" s="9">
        <v>45661</v>
      </c>
      <c r="E136">
        <v>4937.78</v>
      </c>
      <c r="F136" t="s">
        <v>814</v>
      </c>
      <c r="G136" t="str">
        <f>'Raw Data bck'!F136&amp;"/USD"</f>
        <v>EUR/USD</v>
      </c>
      <c r="H136" s="15">
        <v>5749.55</v>
      </c>
      <c r="I136" s="11" t="s">
        <v>819</v>
      </c>
      <c r="J136" s="13">
        <f>IF(I136="Open",H136,IF(I136="Paid",0,"N/A"))</f>
        <v>5749.55</v>
      </c>
      <c r="L136" t="s">
        <v>822</v>
      </c>
    </row>
    <row r="137" spans="1:12" x14ac:dyDescent="0.35">
      <c r="A137" t="s">
        <v>144</v>
      </c>
      <c r="B137" t="s">
        <v>809</v>
      </c>
      <c r="C137" s="9">
        <v>45381</v>
      </c>
      <c r="D137" s="9">
        <v>45411</v>
      </c>
      <c r="E137">
        <v>2379.1799999999998</v>
      </c>
      <c r="F137" t="s">
        <v>818</v>
      </c>
      <c r="G137" t="str">
        <f>'Raw Data bck'!F137&amp;"/USD"</f>
        <v>AUD/USD</v>
      </c>
      <c r="H137" s="15">
        <v>1712.3</v>
      </c>
      <c r="I137" s="11" t="s">
        <v>821</v>
      </c>
      <c r="J137" s="13">
        <f>IF(I137="Open",H137,IF(I137="Paid",0,"N/A"))</f>
        <v>0</v>
      </c>
      <c r="K137" s="4">
        <v>45411</v>
      </c>
      <c r="L137" t="s">
        <v>822</v>
      </c>
    </row>
    <row r="138" spans="1:12" x14ac:dyDescent="0.35">
      <c r="A138" t="s">
        <v>145</v>
      </c>
      <c r="B138" t="s">
        <v>809</v>
      </c>
      <c r="C138" s="9">
        <v>45265</v>
      </c>
      <c r="D138" s="9">
        <v>45295</v>
      </c>
      <c r="E138">
        <v>4032.55</v>
      </c>
      <c r="F138" t="s">
        <v>815</v>
      </c>
      <c r="G138" t="str">
        <f>'Raw Data bck'!F138&amp;"/USD"</f>
        <v>CAD/USD</v>
      </c>
      <c r="H138" s="15">
        <v>2911.5</v>
      </c>
      <c r="I138" s="11" t="s">
        <v>821</v>
      </c>
      <c r="J138" s="13">
        <f>IF(I138="Open",H138,IF(I138="Paid",0,"N/A"))</f>
        <v>0</v>
      </c>
      <c r="K138" s="4">
        <v>45295</v>
      </c>
      <c r="L138" t="s">
        <v>822</v>
      </c>
    </row>
    <row r="139" spans="1:12" x14ac:dyDescent="0.35">
      <c r="A139" t="s">
        <v>146</v>
      </c>
      <c r="B139" t="s">
        <v>813</v>
      </c>
      <c r="C139" s="9">
        <v>45494</v>
      </c>
      <c r="D139" s="9">
        <v>45524</v>
      </c>
      <c r="E139">
        <v>3922.59</v>
      </c>
      <c r="F139" t="s">
        <v>818</v>
      </c>
      <c r="G139" t="str">
        <f>'Raw Data bck'!F139&amp;"/USD"</f>
        <v>AUD/USD</v>
      </c>
      <c r="H139" s="15">
        <v>2823.09</v>
      </c>
      <c r="I139" s="11" t="s">
        <v>821</v>
      </c>
      <c r="J139" s="13">
        <f>IF(I139="Open",H139,IF(I139="Paid",0,"N/A"))</f>
        <v>0</v>
      </c>
      <c r="K139" s="4">
        <v>45524</v>
      </c>
      <c r="L139" t="s">
        <v>822</v>
      </c>
    </row>
    <row r="140" spans="1:12" x14ac:dyDescent="0.35">
      <c r="A140" t="s">
        <v>147</v>
      </c>
      <c r="B140" t="s">
        <v>813</v>
      </c>
      <c r="C140" s="9">
        <v>45174</v>
      </c>
      <c r="D140" s="9">
        <v>45204</v>
      </c>
      <c r="E140">
        <v>3377.42</v>
      </c>
      <c r="F140" t="s">
        <v>816</v>
      </c>
      <c r="G140" t="str">
        <f>'Raw Data bck'!F140&amp;"/USD"</f>
        <v>GBP/USD</v>
      </c>
      <c r="H140" s="15">
        <v>4589.24</v>
      </c>
      <c r="I140" s="11" t="s">
        <v>821</v>
      </c>
      <c r="J140" s="13">
        <f>IF(I140="Open",H140,IF(I140="Paid",0,"N/A"))</f>
        <v>0</v>
      </c>
      <c r="K140" s="4">
        <v>45204</v>
      </c>
      <c r="L140" t="s">
        <v>822</v>
      </c>
    </row>
    <row r="141" spans="1:12" x14ac:dyDescent="0.35">
      <c r="A141" t="s">
        <v>148</v>
      </c>
      <c r="B141" t="s">
        <v>812</v>
      </c>
      <c r="C141" s="9">
        <v>45638</v>
      </c>
      <c r="D141" s="9">
        <v>45668</v>
      </c>
      <c r="E141">
        <v>3927.21</v>
      </c>
      <c r="F141" t="s">
        <v>814</v>
      </c>
      <c r="G141" t="str">
        <f>'Raw Data bck'!F141&amp;"/USD"</f>
        <v>EUR/USD</v>
      </c>
      <c r="H141" s="16">
        <v>4572.84</v>
      </c>
      <c r="I141" s="11" t="s">
        <v>820</v>
      </c>
      <c r="J141" s="13" t="str">
        <f>IF(I141="Open",H141,IF(I141="Paid",0,"N/A"))</f>
        <v>N/A</v>
      </c>
      <c r="L141" t="s">
        <v>822</v>
      </c>
    </row>
    <row r="142" spans="1:12" x14ac:dyDescent="0.35">
      <c r="A142" t="s">
        <v>149</v>
      </c>
      <c r="B142" t="s">
        <v>812</v>
      </c>
      <c r="C142" s="9">
        <v>45400</v>
      </c>
      <c r="D142" s="9">
        <v>45430</v>
      </c>
      <c r="E142">
        <v>4292.3500000000004</v>
      </c>
      <c r="F142" t="s">
        <v>815</v>
      </c>
      <c r="G142" t="str">
        <f>'Raw Data bck'!F142&amp;"/USD"</f>
        <v>CAD/USD</v>
      </c>
      <c r="H142" s="15">
        <v>3099.08</v>
      </c>
      <c r="I142" s="11" t="s">
        <v>819</v>
      </c>
      <c r="J142" s="13">
        <f>IF(I142="Open",H142,IF(I142="Paid",0,"N/A"))</f>
        <v>3099.08</v>
      </c>
      <c r="L142" t="s">
        <v>822</v>
      </c>
    </row>
    <row r="143" spans="1:12" x14ac:dyDescent="0.35">
      <c r="A143" t="s">
        <v>150</v>
      </c>
      <c r="B143" t="s">
        <v>810</v>
      </c>
      <c r="C143" s="9">
        <v>45827</v>
      </c>
      <c r="D143" s="9">
        <v>45857</v>
      </c>
      <c r="E143">
        <v>3350.66</v>
      </c>
      <c r="F143" t="s">
        <v>817</v>
      </c>
      <c r="G143" t="str">
        <f>'Raw Data bck'!F143&amp;"/USD"</f>
        <v>USD/USD</v>
      </c>
      <c r="H143" s="16">
        <v>3350.66</v>
      </c>
      <c r="I143" s="11" t="s">
        <v>820</v>
      </c>
      <c r="J143" s="13" t="str">
        <f>IF(I143="Open",H143,IF(I143="Paid",0,"N/A"))</f>
        <v>N/A</v>
      </c>
      <c r="L143" t="s">
        <v>822</v>
      </c>
    </row>
    <row r="144" spans="1:12" x14ac:dyDescent="0.35">
      <c r="A144" t="s">
        <v>151</v>
      </c>
      <c r="B144" t="s">
        <v>813</v>
      </c>
      <c r="C144" s="9">
        <v>45074</v>
      </c>
      <c r="D144" s="9">
        <v>45104</v>
      </c>
      <c r="E144">
        <v>4762.47</v>
      </c>
      <c r="F144" t="s">
        <v>817</v>
      </c>
      <c r="G144" t="str">
        <f>'Raw Data bck'!F144&amp;"/USD"</f>
        <v>USD/USD</v>
      </c>
      <c r="H144" s="16">
        <v>4762.47</v>
      </c>
      <c r="I144" s="11" t="s">
        <v>820</v>
      </c>
      <c r="J144" s="13" t="str">
        <f>IF(I144="Open",H144,IF(I144="Paid",0,"N/A"))</f>
        <v>N/A</v>
      </c>
      <c r="L144" t="s">
        <v>822</v>
      </c>
    </row>
    <row r="145" spans="1:12" x14ac:dyDescent="0.35">
      <c r="A145" t="s">
        <v>152</v>
      </c>
      <c r="B145" t="s">
        <v>813</v>
      </c>
      <c r="C145" s="9">
        <v>45139</v>
      </c>
      <c r="D145" s="9">
        <v>45169</v>
      </c>
      <c r="E145">
        <v>1589.97</v>
      </c>
      <c r="F145" t="s">
        <v>818</v>
      </c>
      <c r="G145" t="str">
        <f>'Raw Data bck'!F145&amp;"/USD"</f>
        <v>AUD/USD</v>
      </c>
      <c r="H145" s="15">
        <v>1144.3</v>
      </c>
      <c r="I145" s="11" t="s">
        <v>819</v>
      </c>
      <c r="J145" s="13">
        <f>IF(I145="Open",H145,IF(I145="Paid",0,"N/A"))</f>
        <v>1144.3</v>
      </c>
      <c r="L145" t="s">
        <v>822</v>
      </c>
    </row>
    <row r="146" spans="1:12" x14ac:dyDescent="0.35">
      <c r="A146" t="s">
        <v>153</v>
      </c>
      <c r="B146" t="s">
        <v>811</v>
      </c>
      <c r="C146" s="9">
        <v>45467</v>
      </c>
      <c r="D146" s="9">
        <v>45497</v>
      </c>
      <c r="E146">
        <v>2206.4</v>
      </c>
      <c r="F146" t="s">
        <v>816</v>
      </c>
      <c r="G146" t="str">
        <f>'Raw Data bck'!F146&amp;"/USD"</f>
        <v>GBP/USD</v>
      </c>
      <c r="H146" s="16">
        <v>2998.06</v>
      </c>
      <c r="I146" s="11" t="s">
        <v>820</v>
      </c>
      <c r="J146" s="13" t="str">
        <f>IF(I146="Open",H146,IF(I146="Paid",0,"N/A"))</f>
        <v>N/A</v>
      </c>
      <c r="L146" t="s">
        <v>822</v>
      </c>
    </row>
    <row r="147" spans="1:12" x14ac:dyDescent="0.35">
      <c r="A147" t="s">
        <v>154</v>
      </c>
      <c r="B147" t="s">
        <v>812</v>
      </c>
      <c r="C147" s="9">
        <v>45258</v>
      </c>
      <c r="D147" s="9">
        <v>45288</v>
      </c>
      <c r="E147">
        <v>2642.46</v>
      </c>
      <c r="F147" t="s">
        <v>816</v>
      </c>
      <c r="G147" t="str">
        <f>'Raw Data bck'!F147&amp;"/USD"</f>
        <v>GBP/USD</v>
      </c>
      <c r="H147" s="15">
        <v>3590.57</v>
      </c>
      <c r="I147" s="11" t="s">
        <v>821</v>
      </c>
      <c r="J147" s="13">
        <f>IF(I147="Open",H147,IF(I147="Paid",0,"N/A"))</f>
        <v>0</v>
      </c>
      <c r="K147" s="4">
        <v>45288</v>
      </c>
      <c r="L147" t="s">
        <v>822</v>
      </c>
    </row>
    <row r="148" spans="1:12" x14ac:dyDescent="0.35">
      <c r="A148" t="s">
        <v>155</v>
      </c>
      <c r="B148" t="s">
        <v>813</v>
      </c>
      <c r="C148" s="9">
        <v>45392</v>
      </c>
      <c r="D148" s="9">
        <v>45422</v>
      </c>
      <c r="E148">
        <v>2413.9</v>
      </c>
      <c r="F148" t="s">
        <v>815</v>
      </c>
      <c r="G148" t="str">
        <f>'Raw Data bck'!F148&amp;"/USD"</f>
        <v>CAD/USD</v>
      </c>
      <c r="H148" s="16">
        <v>1742.84</v>
      </c>
      <c r="I148" s="11" t="s">
        <v>820</v>
      </c>
      <c r="J148" s="13" t="str">
        <f>IF(I148="Open",H148,IF(I148="Paid",0,"N/A"))</f>
        <v>N/A</v>
      </c>
      <c r="L148" t="s">
        <v>822</v>
      </c>
    </row>
    <row r="149" spans="1:12" x14ac:dyDescent="0.35">
      <c r="A149" t="s">
        <v>156</v>
      </c>
      <c r="B149" t="s">
        <v>812</v>
      </c>
      <c r="C149" s="9">
        <v>45154</v>
      </c>
      <c r="D149" s="9">
        <v>45184</v>
      </c>
      <c r="E149">
        <v>2803.47</v>
      </c>
      <c r="F149" t="s">
        <v>817</v>
      </c>
      <c r="G149" t="str">
        <f>'Raw Data bck'!F149&amp;"/USD"</f>
        <v>USD/USD</v>
      </c>
      <c r="H149" s="16">
        <v>2803.47</v>
      </c>
      <c r="I149" s="11" t="s">
        <v>820</v>
      </c>
      <c r="J149" s="13" t="str">
        <f>IF(I149="Open",H149,IF(I149="Paid",0,"N/A"))</f>
        <v>N/A</v>
      </c>
      <c r="L149" t="s">
        <v>822</v>
      </c>
    </row>
    <row r="150" spans="1:12" x14ac:dyDescent="0.35">
      <c r="A150" t="s">
        <v>157</v>
      </c>
      <c r="B150" t="s">
        <v>810</v>
      </c>
      <c r="C150" s="9">
        <v>45199</v>
      </c>
      <c r="D150" s="9">
        <v>45229</v>
      </c>
      <c r="E150">
        <v>3709.9</v>
      </c>
      <c r="F150" t="s">
        <v>814</v>
      </c>
      <c r="G150" t="str">
        <f>'Raw Data bck'!F150&amp;"/USD"</f>
        <v>EUR/USD</v>
      </c>
      <c r="H150" s="16">
        <v>4319.8100000000004</v>
      </c>
      <c r="I150" s="11" t="s">
        <v>820</v>
      </c>
      <c r="J150" s="13" t="str">
        <f>IF(I150="Open",H150,IF(I150="Paid",0,"N/A"))</f>
        <v>N/A</v>
      </c>
      <c r="L150" t="s">
        <v>822</v>
      </c>
    </row>
    <row r="151" spans="1:12" x14ac:dyDescent="0.35">
      <c r="A151" t="s">
        <v>158</v>
      </c>
      <c r="B151" t="s">
        <v>811</v>
      </c>
      <c r="C151" s="9">
        <v>45456</v>
      </c>
      <c r="D151" s="9">
        <v>45486</v>
      </c>
      <c r="E151">
        <v>4721.1499999999996</v>
      </c>
      <c r="F151" t="s">
        <v>818</v>
      </c>
      <c r="G151" t="str">
        <f>'Raw Data bck'!F151&amp;"/USD"</f>
        <v>AUD/USD</v>
      </c>
      <c r="H151" s="15">
        <v>3397.81</v>
      </c>
      <c r="I151" s="11" t="s">
        <v>821</v>
      </c>
      <c r="J151" s="13">
        <f>IF(I151="Open",H151,IF(I151="Paid",0,"N/A"))</f>
        <v>0</v>
      </c>
      <c r="K151" s="4">
        <v>45486</v>
      </c>
      <c r="L151" t="s">
        <v>822</v>
      </c>
    </row>
    <row r="152" spans="1:12" x14ac:dyDescent="0.35">
      <c r="A152" t="s">
        <v>159</v>
      </c>
      <c r="B152" t="s">
        <v>813</v>
      </c>
      <c r="C152" s="9">
        <v>45144</v>
      </c>
      <c r="D152" s="9">
        <v>45174</v>
      </c>
      <c r="E152">
        <v>1555.44</v>
      </c>
      <c r="F152" t="s">
        <v>817</v>
      </c>
      <c r="G152" t="str">
        <f>'Raw Data bck'!F152&amp;"/USD"</f>
        <v>USD/USD</v>
      </c>
      <c r="H152" s="16">
        <v>1555.44</v>
      </c>
      <c r="I152" s="11" t="s">
        <v>820</v>
      </c>
      <c r="J152" s="13" t="str">
        <f>IF(I152="Open",H152,IF(I152="Paid",0,"N/A"))</f>
        <v>N/A</v>
      </c>
      <c r="L152" t="s">
        <v>822</v>
      </c>
    </row>
    <row r="153" spans="1:12" x14ac:dyDescent="0.35">
      <c r="A153" t="s">
        <v>160</v>
      </c>
      <c r="B153" t="s">
        <v>811</v>
      </c>
      <c r="C153" s="9">
        <v>45390</v>
      </c>
      <c r="D153" s="9">
        <v>45420</v>
      </c>
      <c r="E153">
        <v>2731.15</v>
      </c>
      <c r="F153" t="s">
        <v>817</v>
      </c>
      <c r="G153" t="str">
        <f>'Raw Data bck'!F153&amp;"/USD"</f>
        <v>USD/USD</v>
      </c>
      <c r="H153" s="15">
        <v>2731.15</v>
      </c>
      <c r="I153" s="11" t="s">
        <v>821</v>
      </c>
      <c r="J153" s="13">
        <f>IF(I153="Open",H153,IF(I153="Paid",0,"N/A"))</f>
        <v>0</v>
      </c>
      <c r="K153" s="4">
        <v>45420</v>
      </c>
      <c r="L153" t="s">
        <v>822</v>
      </c>
    </row>
    <row r="154" spans="1:12" x14ac:dyDescent="0.35">
      <c r="A154" t="s">
        <v>161</v>
      </c>
      <c r="B154" t="s">
        <v>809</v>
      </c>
      <c r="C154" s="9">
        <v>45622</v>
      </c>
      <c r="D154" s="9">
        <v>45652</v>
      </c>
      <c r="E154">
        <v>3600.41</v>
      </c>
      <c r="F154" t="s">
        <v>815</v>
      </c>
      <c r="G154" t="str">
        <f>'Raw Data bck'!F154&amp;"/USD"</f>
        <v>CAD/USD</v>
      </c>
      <c r="H154" s="16">
        <v>2599.5</v>
      </c>
      <c r="I154" s="11" t="s">
        <v>820</v>
      </c>
      <c r="J154" s="13" t="str">
        <f>IF(I154="Open",H154,IF(I154="Paid",0,"N/A"))</f>
        <v>N/A</v>
      </c>
      <c r="L154" t="s">
        <v>822</v>
      </c>
    </row>
    <row r="155" spans="1:12" x14ac:dyDescent="0.35">
      <c r="A155" t="s">
        <v>162</v>
      </c>
      <c r="B155" t="s">
        <v>809</v>
      </c>
      <c r="C155" s="9">
        <v>44990</v>
      </c>
      <c r="D155" s="9">
        <v>45020</v>
      </c>
      <c r="E155">
        <v>1532.1</v>
      </c>
      <c r="F155" t="s">
        <v>814</v>
      </c>
      <c r="G155" t="str">
        <f>'Raw Data bck'!F155&amp;"/USD"</f>
        <v>EUR/USD</v>
      </c>
      <c r="H155" s="15">
        <v>1783.98</v>
      </c>
      <c r="I155" s="11" t="s">
        <v>821</v>
      </c>
      <c r="J155" s="13">
        <f>IF(I155="Open",H155,IF(I155="Paid",0,"N/A"))</f>
        <v>0</v>
      </c>
      <c r="K155" s="4">
        <v>45020</v>
      </c>
      <c r="L155" t="s">
        <v>822</v>
      </c>
    </row>
    <row r="156" spans="1:12" x14ac:dyDescent="0.35">
      <c r="A156" t="s">
        <v>163</v>
      </c>
      <c r="B156" t="s">
        <v>810</v>
      </c>
      <c r="C156" s="9">
        <v>45475</v>
      </c>
      <c r="D156" s="9">
        <v>45505</v>
      </c>
      <c r="E156">
        <v>3671.9</v>
      </c>
      <c r="F156" t="s">
        <v>817</v>
      </c>
      <c r="G156" t="str">
        <f>'Raw Data bck'!F156&amp;"/USD"</f>
        <v>USD/USD</v>
      </c>
      <c r="H156" s="15">
        <v>3671.9</v>
      </c>
      <c r="I156" s="11" t="s">
        <v>819</v>
      </c>
      <c r="J156" s="13">
        <f>IF(I156="Open",H156,IF(I156="Paid",0,"N/A"))</f>
        <v>3671.9</v>
      </c>
      <c r="L156" t="s">
        <v>822</v>
      </c>
    </row>
    <row r="157" spans="1:12" x14ac:dyDescent="0.35">
      <c r="A157" t="s">
        <v>164</v>
      </c>
      <c r="B157" t="s">
        <v>811</v>
      </c>
      <c r="C157" s="9">
        <v>45345</v>
      </c>
      <c r="D157" s="9">
        <v>45375</v>
      </c>
      <c r="E157">
        <v>249.12</v>
      </c>
      <c r="F157" t="s">
        <v>817</v>
      </c>
      <c r="G157" t="str">
        <f>'Raw Data bck'!F157&amp;"/USD"</f>
        <v>USD/USD</v>
      </c>
      <c r="H157" s="15">
        <v>249.12</v>
      </c>
      <c r="I157" s="11" t="s">
        <v>819</v>
      </c>
      <c r="J157" s="13">
        <f>IF(I157="Open",H157,IF(I157="Paid",0,"N/A"))</f>
        <v>249.12</v>
      </c>
      <c r="L157" t="s">
        <v>822</v>
      </c>
    </row>
    <row r="158" spans="1:12" x14ac:dyDescent="0.35">
      <c r="A158" t="s">
        <v>165</v>
      </c>
      <c r="B158" t="s">
        <v>812</v>
      </c>
      <c r="C158" s="9">
        <v>45567</v>
      </c>
      <c r="D158" s="9">
        <v>45597</v>
      </c>
      <c r="E158">
        <v>1247.49</v>
      </c>
      <c r="F158" t="s">
        <v>814</v>
      </c>
      <c r="G158" t="str">
        <f>'Raw Data bck'!F158&amp;"/USD"</f>
        <v>EUR/USD</v>
      </c>
      <c r="H158" s="16">
        <v>1452.58</v>
      </c>
      <c r="I158" s="11" t="s">
        <v>820</v>
      </c>
      <c r="J158" s="13" t="str">
        <f>IF(I158="Open",H158,IF(I158="Paid",0,"N/A"))</f>
        <v>N/A</v>
      </c>
      <c r="L158" t="s">
        <v>822</v>
      </c>
    </row>
    <row r="159" spans="1:12" x14ac:dyDescent="0.35">
      <c r="A159" t="s">
        <v>166</v>
      </c>
      <c r="B159" t="s">
        <v>812</v>
      </c>
      <c r="C159" s="9">
        <v>45081</v>
      </c>
      <c r="D159" s="9">
        <v>45111</v>
      </c>
      <c r="E159">
        <v>4374.63</v>
      </c>
      <c r="F159" t="s">
        <v>817</v>
      </c>
      <c r="G159" t="str">
        <f>'Raw Data bck'!F159&amp;"/USD"</f>
        <v>USD/USD</v>
      </c>
      <c r="H159" s="16">
        <v>4374.63</v>
      </c>
      <c r="I159" s="11" t="s">
        <v>820</v>
      </c>
      <c r="J159" s="13" t="str">
        <f>IF(I159="Open",H159,IF(I159="Paid",0,"N/A"))</f>
        <v>N/A</v>
      </c>
      <c r="L159" t="s">
        <v>822</v>
      </c>
    </row>
    <row r="160" spans="1:12" x14ac:dyDescent="0.35">
      <c r="A160" t="s">
        <v>167</v>
      </c>
      <c r="B160" t="s">
        <v>812</v>
      </c>
      <c r="C160" s="9">
        <v>45044</v>
      </c>
      <c r="D160" s="9">
        <v>45074</v>
      </c>
      <c r="E160">
        <v>3691.12</v>
      </c>
      <c r="F160" t="s">
        <v>814</v>
      </c>
      <c r="G160" t="str">
        <f>'Raw Data bck'!F160&amp;"/USD"</f>
        <v>EUR/USD</v>
      </c>
      <c r="H160" s="16">
        <v>4297.9399999999996</v>
      </c>
      <c r="I160" s="11" t="s">
        <v>820</v>
      </c>
      <c r="J160" s="13" t="str">
        <f>IF(I160="Open",H160,IF(I160="Paid",0,"N/A"))</f>
        <v>N/A</v>
      </c>
      <c r="L160" t="s">
        <v>822</v>
      </c>
    </row>
    <row r="161" spans="1:12" x14ac:dyDescent="0.35">
      <c r="A161" t="s">
        <v>168</v>
      </c>
      <c r="B161" t="s">
        <v>812</v>
      </c>
      <c r="C161" s="9">
        <v>45443</v>
      </c>
      <c r="D161" s="9">
        <v>45473</v>
      </c>
      <c r="E161">
        <v>4217.3900000000003</v>
      </c>
      <c r="F161" t="s">
        <v>818</v>
      </c>
      <c r="G161" t="str">
        <f>'Raw Data bck'!F161&amp;"/USD"</f>
        <v>AUD/USD</v>
      </c>
      <c r="H161" s="15">
        <v>3035.26</v>
      </c>
      <c r="I161" s="11" t="s">
        <v>821</v>
      </c>
      <c r="J161" s="13">
        <f>IF(I161="Open",H161,IF(I161="Paid",0,"N/A"))</f>
        <v>0</v>
      </c>
      <c r="K161" s="4">
        <v>45473</v>
      </c>
      <c r="L161" t="s">
        <v>822</v>
      </c>
    </row>
    <row r="162" spans="1:12" x14ac:dyDescent="0.35">
      <c r="A162" t="s">
        <v>169</v>
      </c>
      <c r="B162" t="s">
        <v>810</v>
      </c>
      <c r="C162" s="9">
        <v>45204</v>
      </c>
      <c r="D162" s="9">
        <v>45234</v>
      </c>
      <c r="E162">
        <v>4642.3599999999997</v>
      </c>
      <c r="F162" t="s">
        <v>815</v>
      </c>
      <c r="G162" t="str">
        <f>'Raw Data bck'!F162&amp;"/USD"</f>
        <v>CAD/USD</v>
      </c>
      <c r="H162" s="15">
        <v>3351.78</v>
      </c>
      <c r="I162" s="11" t="s">
        <v>819</v>
      </c>
      <c r="J162" s="13">
        <f>IF(I162="Open",H162,IF(I162="Paid",0,"N/A"))</f>
        <v>3351.78</v>
      </c>
      <c r="L162" t="s">
        <v>822</v>
      </c>
    </row>
    <row r="163" spans="1:12" x14ac:dyDescent="0.35">
      <c r="A163" t="s">
        <v>170</v>
      </c>
      <c r="B163" t="s">
        <v>809</v>
      </c>
      <c r="C163" s="9">
        <v>45734</v>
      </c>
      <c r="D163" s="9">
        <v>45764</v>
      </c>
      <c r="E163">
        <v>3580.35</v>
      </c>
      <c r="F163" t="s">
        <v>818</v>
      </c>
      <c r="G163" t="str">
        <f>'Raw Data bck'!F163&amp;"/USD"</f>
        <v>AUD/USD</v>
      </c>
      <c r="H163" s="16">
        <v>2576.7800000000002</v>
      </c>
      <c r="I163" s="11" t="s">
        <v>820</v>
      </c>
      <c r="J163" s="13" t="str">
        <f>IF(I163="Open",H163,IF(I163="Paid",0,"N/A"))</f>
        <v>N/A</v>
      </c>
      <c r="L163" t="s">
        <v>822</v>
      </c>
    </row>
    <row r="164" spans="1:12" x14ac:dyDescent="0.35">
      <c r="A164" t="s">
        <v>171</v>
      </c>
      <c r="B164" t="s">
        <v>813</v>
      </c>
      <c r="C164" s="9">
        <v>45325</v>
      </c>
      <c r="D164" s="9">
        <v>45355</v>
      </c>
      <c r="E164">
        <v>3588.69</v>
      </c>
      <c r="F164" t="s">
        <v>818</v>
      </c>
      <c r="G164" t="str">
        <f>'Raw Data bck'!F164&amp;"/USD"</f>
        <v>AUD/USD</v>
      </c>
      <c r="H164" s="16">
        <v>2582.7800000000002</v>
      </c>
      <c r="I164" s="11" t="s">
        <v>820</v>
      </c>
      <c r="J164" s="13" t="str">
        <f>IF(I164="Open",H164,IF(I164="Paid",0,"N/A"))</f>
        <v>N/A</v>
      </c>
      <c r="L164" t="s">
        <v>822</v>
      </c>
    </row>
    <row r="165" spans="1:12" x14ac:dyDescent="0.35">
      <c r="A165" t="s">
        <v>172</v>
      </c>
      <c r="B165" t="s">
        <v>813</v>
      </c>
      <c r="C165" s="9">
        <v>45586</v>
      </c>
      <c r="D165" s="9">
        <v>45616</v>
      </c>
      <c r="E165">
        <v>2407.4</v>
      </c>
      <c r="F165" t="s">
        <v>815</v>
      </c>
      <c r="G165" t="str">
        <f>'Raw Data bck'!F165&amp;"/USD"</f>
        <v>CAD/USD</v>
      </c>
      <c r="H165" s="16">
        <v>1738.14</v>
      </c>
      <c r="I165" s="11" t="s">
        <v>820</v>
      </c>
      <c r="J165" s="13" t="str">
        <f>IF(I165="Open",H165,IF(I165="Paid",0,"N/A"))</f>
        <v>N/A</v>
      </c>
      <c r="L165" t="s">
        <v>822</v>
      </c>
    </row>
    <row r="166" spans="1:12" x14ac:dyDescent="0.35">
      <c r="A166" t="s">
        <v>173</v>
      </c>
      <c r="B166" t="s">
        <v>813</v>
      </c>
      <c r="C166" s="9">
        <v>45017</v>
      </c>
      <c r="D166" s="9">
        <v>45047</v>
      </c>
      <c r="E166">
        <v>649.78</v>
      </c>
      <c r="F166" t="s">
        <v>815</v>
      </c>
      <c r="G166" t="str">
        <f>'Raw Data bck'!F166&amp;"/USD"</f>
        <v>CAD/USD</v>
      </c>
      <c r="H166" s="16">
        <v>469.14</v>
      </c>
      <c r="I166" s="11" t="s">
        <v>820</v>
      </c>
      <c r="J166" s="13" t="str">
        <f>IF(I166="Open",H166,IF(I166="Paid",0,"N/A"))</f>
        <v>N/A</v>
      </c>
      <c r="L166" t="s">
        <v>822</v>
      </c>
    </row>
    <row r="167" spans="1:12" x14ac:dyDescent="0.35">
      <c r="A167" t="s">
        <v>174</v>
      </c>
      <c r="B167" t="s">
        <v>811</v>
      </c>
      <c r="C167" s="9">
        <v>45549</v>
      </c>
      <c r="D167" s="9">
        <v>45579</v>
      </c>
      <c r="E167">
        <v>143.83000000000001</v>
      </c>
      <c r="F167" t="s">
        <v>815</v>
      </c>
      <c r="G167" t="str">
        <f>'Raw Data bck'!F167&amp;"/USD"</f>
        <v>CAD/USD</v>
      </c>
      <c r="H167" s="15">
        <v>103.85</v>
      </c>
      <c r="I167" s="11" t="s">
        <v>821</v>
      </c>
      <c r="J167" s="13">
        <f>IF(I167="Open",H167,IF(I167="Paid",0,"N/A"))</f>
        <v>0</v>
      </c>
      <c r="K167" s="4">
        <v>45579</v>
      </c>
      <c r="L167" t="s">
        <v>822</v>
      </c>
    </row>
    <row r="168" spans="1:12" x14ac:dyDescent="0.35">
      <c r="A168" t="s">
        <v>175</v>
      </c>
      <c r="B168" t="s">
        <v>812</v>
      </c>
      <c r="C168" s="9">
        <v>45813</v>
      </c>
      <c r="D168" s="9">
        <v>45843</v>
      </c>
      <c r="E168">
        <v>1041.99</v>
      </c>
      <c r="F168" t="s">
        <v>817</v>
      </c>
      <c r="G168" t="str">
        <f>'Raw Data bck'!F168&amp;"/USD"</f>
        <v>USD/USD</v>
      </c>
      <c r="H168" s="15">
        <v>1041.99</v>
      </c>
      <c r="I168" s="11" t="s">
        <v>819</v>
      </c>
      <c r="J168" s="13">
        <f>IF(I168="Open",H168,IF(I168="Paid",0,"N/A"))</f>
        <v>1041.99</v>
      </c>
      <c r="L168" t="s">
        <v>822</v>
      </c>
    </row>
    <row r="169" spans="1:12" x14ac:dyDescent="0.35">
      <c r="A169" t="s">
        <v>176</v>
      </c>
      <c r="B169" t="s">
        <v>809</v>
      </c>
      <c r="C169" s="9">
        <v>45088</v>
      </c>
      <c r="D169" s="9">
        <v>45118</v>
      </c>
      <c r="E169">
        <v>2826</v>
      </c>
      <c r="F169" t="s">
        <v>815</v>
      </c>
      <c r="G169" t="str">
        <f>'Raw Data bck'!F169&amp;"/USD"</f>
        <v>CAD/USD</v>
      </c>
      <c r="H169" s="15">
        <v>2040.37</v>
      </c>
      <c r="I169" s="11" t="s">
        <v>819</v>
      </c>
      <c r="J169" s="13">
        <f>IF(I169="Open",H169,IF(I169="Paid",0,"N/A"))</f>
        <v>2040.37</v>
      </c>
      <c r="L169" t="s">
        <v>822</v>
      </c>
    </row>
    <row r="170" spans="1:12" x14ac:dyDescent="0.35">
      <c r="A170" t="s">
        <v>177</v>
      </c>
      <c r="B170" t="s">
        <v>809</v>
      </c>
      <c r="C170" s="9">
        <v>45637</v>
      </c>
      <c r="D170" s="9">
        <v>45667</v>
      </c>
      <c r="E170">
        <v>3078.5</v>
      </c>
      <c r="F170" t="s">
        <v>816</v>
      </c>
      <c r="G170" t="str">
        <f>'Raw Data bck'!F170&amp;"/USD"</f>
        <v>GBP/USD</v>
      </c>
      <c r="H170" s="15">
        <v>4183.07</v>
      </c>
      <c r="I170" s="11" t="s">
        <v>821</v>
      </c>
      <c r="J170" s="13">
        <f>IF(I170="Open",H170,IF(I170="Paid",0,"N/A"))</f>
        <v>0</v>
      </c>
      <c r="K170" s="4">
        <v>45667</v>
      </c>
      <c r="L170" t="s">
        <v>822</v>
      </c>
    </row>
    <row r="171" spans="1:12" x14ac:dyDescent="0.35">
      <c r="A171" t="s">
        <v>178</v>
      </c>
      <c r="B171" t="s">
        <v>810</v>
      </c>
      <c r="C171" s="9">
        <v>45748</v>
      </c>
      <c r="D171" s="9">
        <v>45778</v>
      </c>
      <c r="E171">
        <v>3139.88</v>
      </c>
      <c r="F171" t="s">
        <v>818</v>
      </c>
      <c r="G171" t="str">
        <f>'Raw Data bck'!F171&amp;"/USD"</f>
        <v>AUD/USD</v>
      </c>
      <c r="H171" s="16">
        <v>2259.77</v>
      </c>
      <c r="I171" s="11" t="s">
        <v>820</v>
      </c>
      <c r="J171" s="13" t="str">
        <f>IF(I171="Open",H171,IF(I171="Paid",0,"N/A"))</f>
        <v>N/A</v>
      </c>
      <c r="L171" t="s">
        <v>822</v>
      </c>
    </row>
    <row r="172" spans="1:12" x14ac:dyDescent="0.35">
      <c r="A172" t="s">
        <v>179</v>
      </c>
      <c r="B172" t="s">
        <v>813</v>
      </c>
      <c r="C172" s="9">
        <v>45043</v>
      </c>
      <c r="D172" s="9">
        <v>45073</v>
      </c>
      <c r="E172">
        <v>4899.6400000000003</v>
      </c>
      <c r="F172" t="s">
        <v>818</v>
      </c>
      <c r="G172" t="str">
        <f>'Raw Data bck'!F172&amp;"/USD"</f>
        <v>AUD/USD</v>
      </c>
      <c r="H172" s="15">
        <v>3526.27</v>
      </c>
      <c r="I172" s="11" t="s">
        <v>821</v>
      </c>
      <c r="J172" s="13">
        <f>IF(I172="Open",H172,IF(I172="Paid",0,"N/A"))</f>
        <v>0</v>
      </c>
      <c r="K172" s="4">
        <v>45073</v>
      </c>
      <c r="L172" t="s">
        <v>822</v>
      </c>
    </row>
    <row r="173" spans="1:12" x14ac:dyDescent="0.35">
      <c r="A173" t="s">
        <v>180</v>
      </c>
      <c r="B173" t="s">
        <v>809</v>
      </c>
      <c r="C173" s="9">
        <v>45635</v>
      </c>
      <c r="D173" s="9">
        <v>45665</v>
      </c>
      <c r="E173">
        <v>3205.33</v>
      </c>
      <c r="F173" t="s">
        <v>817</v>
      </c>
      <c r="G173" t="str">
        <f>'Raw Data bck'!F173&amp;"/USD"</f>
        <v>USD/USD</v>
      </c>
      <c r="H173" s="16">
        <v>3205.33</v>
      </c>
      <c r="I173" s="11" t="s">
        <v>820</v>
      </c>
      <c r="J173" s="13" t="str">
        <f>IF(I173="Open",H173,IF(I173="Paid",0,"N/A"))</f>
        <v>N/A</v>
      </c>
      <c r="L173" t="s">
        <v>822</v>
      </c>
    </row>
    <row r="174" spans="1:12" x14ac:dyDescent="0.35">
      <c r="A174" t="s">
        <v>181</v>
      </c>
      <c r="B174" t="s">
        <v>811</v>
      </c>
      <c r="C174" s="9">
        <v>45605</v>
      </c>
      <c r="D174" s="9">
        <v>45635</v>
      </c>
      <c r="E174">
        <v>1285.77</v>
      </c>
      <c r="F174" t="s">
        <v>817</v>
      </c>
      <c r="G174" t="str">
        <f>'Raw Data bck'!F174&amp;"/USD"</f>
        <v>USD/USD</v>
      </c>
      <c r="H174" s="16">
        <v>1285.77</v>
      </c>
      <c r="I174" s="11" t="s">
        <v>820</v>
      </c>
      <c r="J174" s="13" t="str">
        <f>IF(I174="Open",H174,IF(I174="Paid",0,"N/A"))</f>
        <v>N/A</v>
      </c>
      <c r="L174" t="s">
        <v>822</v>
      </c>
    </row>
    <row r="175" spans="1:12" x14ac:dyDescent="0.35">
      <c r="A175" t="s">
        <v>182</v>
      </c>
      <c r="B175" t="s">
        <v>809</v>
      </c>
      <c r="C175" s="9">
        <v>45828</v>
      </c>
      <c r="D175" s="9">
        <v>45858</v>
      </c>
      <c r="E175">
        <v>216.78</v>
      </c>
      <c r="F175" t="s">
        <v>817</v>
      </c>
      <c r="G175" t="str">
        <f>'Raw Data bck'!F175&amp;"/USD"</f>
        <v>USD/USD</v>
      </c>
      <c r="H175" s="16">
        <v>216.78</v>
      </c>
      <c r="I175" s="11" t="s">
        <v>820</v>
      </c>
      <c r="J175" s="13" t="str">
        <f>IF(I175="Open",H175,IF(I175="Paid",0,"N/A"))</f>
        <v>N/A</v>
      </c>
      <c r="L175" t="s">
        <v>822</v>
      </c>
    </row>
    <row r="176" spans="1:12" x14ac:dyDescent="0.35">
      <c r="A176" t="s">
        <v>183</v>
      </c>
      <c r="B176" t="s">
        <v>813</v>
      </c>
      <c r="C176" s="9">
        <v>44990</v>
      </c>
      <c r="D176" s="9">
        <v>45020</v>
      </c>
      <c r="E176">
        <v>4512.7700000000004</v>
      </c>
      <c r="F176" t="s">
        <v>815</v>
      </c>
      <c r="G176" t="str">
        <f>'Raw Data bck'!F176&amp;"/USD"</f>
        <v>CAD/USD</v>
      </c>
      <c r="H176" s="16">
        <v>3258.22</v>
      </c>
      <c r="I176" s="11" t="s">
        <v>820</v>
      </c>
      <c r="J176" s="13" t="str">
        <f>IF(I176="Open",H176,IF(I176="Paid",0,"N/A"))</f>
        <v>N/A</v>
      </c>
      <c r="L176" t="s">
        <v>822</v>
      </c>
    </row>
    <row r="177" spans="1:12" x14ac:dyDescent="0.35">
      <c r="A177" t="s">
        <v>184</v>
      </c>
      <c r="B177" t="s">
        <v>810</v>
      </c>
      <c r="C177" s="9">
        <v>45241</v>
      </c>
      <c r="D177" s="9">
        <v>45271</v>
      </c>
      <c r="E177">
        <v>4283.63</v>
      </c>
      <c r="F177" t="s">
        <v>818</v>
      </c>
      <c r="G177" t="str">
        <f>'Raw Data bck'!F177&amp;"/USD"</f>
        <v>AUD/USD</v>
      </c>
      <c r="H177" s="15">
        <v>3082.93</v>
      </c>
      <c r="I177" s="11" t="s">
        <v>821</v>
      </c>
      <c r="J177" s="13">
        <f>IF(I177="Open",H177,IF(I177="Paid",0,"N/A"))</f>
        <v>0</v>
      </c>
      <c r="K177" s="4">
        <v>45271</v>
      </c>
      <c r="L177" t="s">
        <v>822</v>
      </c>
    </row>
    <row r="178" spans="1:12" x14ac:dyDescent="0.35">
      <c r="A178" t="s">
        <v>185</v>
      </c>
      <c r="B178" t="s">
        <v>809</v>
      </c>
      <c r="C178" s="9">
        <v>45564</v>
      </c>
      <c r="D178" s="9">
        <v>45594</v>
      </c>
      <c r="E178">
        <v>370.46</v>
      </c>
      <c r="F178" t="s">
        <v>815</v>
      </c>
      <c r="G178" t="str">
        <f>'Raw Data bck'!F178&amp;"/USD"</f>
        <v>CAD/USD</v>
      </c>
      <c r="H178" s="15">
        <v>267.47000000000003</v>
      </c>
      <c r="I178" s="11" t="s">
        <v>821</v>
      </c>
      <c r="J178" s="13">
        <f>IF(I178="Open",H178,IF(I178="Paid",0,"N/A"))</f>
        <v>0</v>
      </c>
      <c r="K178" s="4">
        <v>45594</v>
      </c>
      <c r="L178" t="s">
        <v>822</v>
      </c>
    </row>
    <row r="179" spans="1:12" x14ac:dyDescent="0.35">
      <c r="A179" t="s">
        <v>186</v>
      </c>
      <c r="B179" t="s">
        <v>812</v>
      </c>
      <c r="C179" s="9">
        <v>45453</v>
      </c>
      <c r="D179" s="9">
        <v>45483</v>
      </c>
      <c r="E179">
        <v>3313.07</v>
      </c>
      <c r="F179" t="s">
        <v>814</v>
      </c>
      <c r="G179" t="str">
        <f>'Raw Data bck'!F179&amp;"/USD"</f>
        <v>EUR/USD</v>
      </c>
      <c r="H179" s="15">
        <v>3857.74</v>
      </c>
      <c r="I179" s="11" t="s">
        <v>819</v>
      </c>
      <c r="J179" s="13">
        <f>IF(I179="Open",H179,IF(I179="Paid",0,"N/A"))</f>
        <v>3857.74</v>
      </c>
      <c r="L179" t="s">
        <v>822</v>
      </c>
    </row>
    <row r="180" spans="1:12" x14ac:dyDescent="0.35">
      <c r="A180" t="s">
        <v>187</v>
      </c>
      <c r="B180" t="s">
        <v>811</v>
      </c>
      <c r="C180" s="9">
        <v>45253</v>
      </c>
      <c r="D180" s="9">
        <v>45283</v>
      </c>
      <c r="E180">
        <v>4616.42</v>
      </c>
      <c r="F180" t="s">
        <v>817</v>
      </c>
      <c r="G180" t="str">
        <f>'Raw Data bck'!F180&amp;"/USD"</f>
        <v>USD/USD</v>
      </c>
      <c r="H180" s="15">
        <v>4616.42</v>
      </c>
      <c r="I180" s="11" t="s">
        <v>821</v>
      </c>
      <c r="J180" s="13">
        <f>IF(I180="Open",H180,IF(I180="Paid",0,"N/A"))</f>
        <v>0</v>
      </c>
      <c r="K180" s="4">
        <v>45283</v>
      </c>
      <c r="L180" t="s">
        <v>822</v>
      </c>
    </row>
    <row r="181" spans="1:12" x14ac:dyDescent="0.35">
      <c r="A181" t="s">
        <v>188</v>
      </c>
      <c r="B181" t="s">
        <v>811</v>
      </c>
      <c r="C181" s="9">
        <v>44998</v>
      </c>
      <c r="D181" s="9">
        <v>45028</v>
      </c>
      <c r="E181">
        <v>1731.08</v>
      </c>
      <c r="F181" t="s">
        <v>817</v>
      </c>
      <c r="G181" t="str">
        <f>'Raw Data bck'!F181&amp;"/USD"</f>
        <v>USD/USD</v>
      </c>
      <c r="H181" s="15">
        <v>1731.08</v>
      </c>
      <c r="I181" s="11" t="s">
        <v>819</v>
      </c>
      <c r="J181" s="13">
        <f>IF(I181="Open",H181,IF(I181="Paid",0,"N/A"))</f>
        <v>1731.08</v>
      </c>
      <c r="L181" t="s">
        <v>822</v>
      </c>
    </row>
    <row r="182" spans="1:12" x14ac:dyDescent="0.35">
      <c r="A182" t="s">
        <v>189</v>
      </c>
      <c r="B182" t="s">
        <v>809</v>
      </c>
      <c r="C182" s="9">
        <v>45693</v>
      </c>
      <c r="D182" s="9">
        <v>45723</v>
      </c>
      <c r="E182">
        <v>4027.83</v>
      </c>
      <c r="F182" t="s">
        <v>815</v>
      </c>
      <c r="G182" t="str">
        <f>'Raw Data bck'!F182&amp;"/USD"</f>
        <v>CAD/USD</v>
      </c>
      <c r="H182" s="16">
        <v>2908.09</v>
      </c>
      <c r="I182" s="11" t="s">
        <v>820</v>
      </c>
      <c r="J182" s="13" t="str">
        <f>IF(I182="Open",H182,IF(I182="Paid",0,"N/A"))</f>
        <v>N/A</v>
      </c>
      <c r="L182" t="s">
        <v>822</v>
      </c>
    </row>
    <row r="183" spans="1:12" x14ac:dyDescent="0.35">
      <c r="A183" t="s">
        <v>190</v>
      </c>
      <c r="B183" t="s">
        <v>813</v>
      </c>
      <c r="C183" s="9">
        <v>45498</v>
      </c>
      <c r="D183" s="9">
        <v>45528</v>
      </c>
      <c r="E183">
        <v>1770.47</v>
      </c>
      <c r="F183" t="s">
        <v>815</v>
      </c>
      <c r="G183" t="str">
        <f>'Raw Data bck'!F183&amp;"/USD"</f>
        <v>CAD/USD</v>
      </c>
      <c r="H183" s="15">
        <v>1278.28</v>
      </c>
      <c r="I183" s="11" t="s">
        <v>821</v>
      </c>
      <c r="J183" s="13">
        <f>IF(I183="Open",H183,IF(I183="Paid",0,"N/A"))</f>
        <v>0</v>
      </c>
      <c r="K183" s="4">
        <v>45528</v>
      </c>
      <c r="L183" t="s">
        <v>822</v>
      </c>
    </row>
    <row r="184" spans="1:12" x14ac:dyDescent="0.35">
      <c r="A184" t="s">
        <v>191</v>
      </c>
      <c r="B184" t="s">
        <v>810</v>
      </c>
      <c r="C184" s="9">
        <v>45646</v>
      </c>
      <c r="D184" s="9">
        <v>45676</v>
      </c>
      <c r="E184">
        <v>4140.83</v>
      </c>
      <c r="F184" t="s">
        <v>814</v>
      </c>
      <c r="G184" t="str">
        <f>'Raw Data bck'!F184&amp;"/USD"</f>
        <v>EUR/USD</v>
      </c>
      <c r="H184" s="15">
        <v>4821.58</v>
      </c>
      <c r="I184" s="11" t="s">
        <v>821</v>
      </c>
      <c r="J184" s="13">
        <f>IF(I184="Open",H184,IF(I184="Paid",0,"N/A"))</f>
        <v>0</v>
      </c>
      <c r="K184" s="4">
        <v>45676</v>
      </c>
      <c r="L184" t="s">
        <v>822</v>
      </c>
    </row>
    <row r="185" spans="1:12" x14ac:dyDescent="0.35">
      <c r="A185" t="s">
        <v>192</v>
      </c>
      <c r="B185" t="s">
        <v>811</v>
      </c>
      <c r="C185" s="9">
        <v>45763</v>
      </c>
      <c r="D185" s="9">
        <v>45793</v>
      </c>
      <c r="E185">
        <v>606.74</v>
      </c>
      <c r="F185" t="s">
        <v>814</v>
      </c>
      <c r="G185" t="str">
        <f>'Raw Data bck'!F185&amp;"/USD"</f>
        <v>EUR/USD</v>
      </c>
      <c r="H185" s="16">
        <v>706.49</v>
      </c>
      <c r="I185" s="11" t="s">
        <v>820</v>
      </c>
      <c r="J185" s="13" t="str">
        <f>IF(I185="Open",H185,IF(I185="Paid",0,"N/A"))</f>
        <v>N/A</v>
      </c>
      <c r="L185" t="s">
        <v>822</v>
      </c>
    </row>
    <row r="186" spans="1:12" x14ac:dyDescent="0.35">
      <c r="A186" t="s">
        <v>193</v>
      </c>
      <c r="B186" t="s">
        <v>813</v>
      </c>
      <c r="C186" s="9">
        <v>44961</v>
      </c>
      <c r="D186" s="9">
        <v>44991</v>
      </c>
      <c r="E186">
        <v>3488.56</v>
      </c>
      <c r="F186" t="s">
        <v>816</v>
      </c>
      <c r="G186" t="str">
        <f>'Raw Data bck'!F186&amp;"/USD"</f>
        <v>GBP/USD</v>
      </c>
      <c r="H186" s="15">
        <v>4740.26</v>
      </c>
      <c r="I186" s="11" t="s">
        <v>819</v>
      </c>
      <c r="J186" s="13">
        <f>IF(I186="Open",H186,IF(I186="Paid",0,"N/A"))</f>
        <v>4740.26</v>
      </c>
      <c r="L186" t="s">
        <v>822</v>
      </c>
    </row>
    <row r="187" spans="1:12" x14ac:dyDescent="0.35">
      <c r="A187" t="s">
        <v>194</v>
      </c>
      <c r="B187" t="s">
        <v>811</v>
      </c>
      <c r="C187" s="9">
        <v>45830</v>
      </c>
      <c r="D187" s="9">
        <v>45860</v>
      </c>
      <c r="E187">
        <v>816.61</v>
      </c>
      <c r="F187" t="s">
        <v>815</v>
      </c>
      <c r="G187" t="str">
        <f>'Raw Data bck'!F187&amp;"/USD"</f>
        <v>CAD/USD</v>
      </c>
      <c r="H187" s="15">
        <v>589.59</v>
      </c>
      <c r="I187" s="11" t="s">
        <v>819</v>
      </c>
      <c r="J187" s="13">
        <f>IF(I187="Open",H187,IF(I187="Paid",0,"N/A"))</f>
        <v>589.59</v>
      </c>
      <c r="L187" t="s">
        <v>822</v>
      </c>
    </row>
    <row r="188" spans="1:12" x14ac:dyDescent="0.35">
      <c r="A188" t="s">
        <v>195</v>
      </c>
      <c r="B188" t="s">
        <v>809</v>
      </c>
      <c r="C188" s="9">
        <v>45414</v>
      </c>
      <c r="D188" s="9">
        <v>45444</v>
      </c>
      <c r="E188">
        <v>2178.88</v>
      </c>
      <c r="F188" t="s">
        <v>816</v>
      </c>
      <c r="G188" t="str">
        <f>'Raw Data bck'!F188&amp;"/USD"</f>
        <v>GBP/USD</v>
      </c>
      <c r="H188" s="15">
        <v>2960.66</v>
      </c>
      <c r="I188" s="11" t="s">
        <v>821</v>
      </c>
      <c r="J188" s="13">
        <f>IF(I188="Open",H188,IF(I188="Paid",0,"N/A"))</f>
        <v>0</v>
      </c>
      <c r="K188" s="4">
        <v>45444</v>
      </c>
      <c r="L188" t="s">
        <v>822</v>
      </c>
    </row>
    <row r="189" spans="1:12" x14ac:dyDescent="0.35">
      <c r="A189" t="s">
        <v>196</v>
      </c>
      <c r="B189" t="s">
        <v>810</v>
      </c>
      <c r="C189" s="9">
        <v>45279</v>
      </c>
      <c r="D189" s="9">
        <v>45309</v>
      </c>
      <c r="E189">
        <v>4356.53</v>
      </c>
      <c r="F189" t="s">
        <v>817</v>
      </c>
      <c r="G189" t="str">
        <f>'Raw Data bck'!F189&amp;"/USD"</f>
        <v>USD/USD</v>
      </c>
      <c r="H189" s="16">
        <v>4356.53</v>
      </c>
      <c r="I189" s="11" t="s">
        <v>820</v>
      </c>
      <c r="J189" s="13" t="str">
        <f>IF(I189="Open",H189,IF(I189="Paid",0,"N/A"))</f>
        <v>N/A</v>
      </c>
      <c r="L189" t="s">
        <v>822</v>
      </c>
    </row>
    <row r="190" spans="1:12" x14ac:dyDescent="0.35">
      <c r="A190" t="s">
        <v>197</v>
      </c>
      <c r="B190" t="s">
        <v>809</v>
      </c>
      <c r="C190" s="9">
        <v>45399</v>
      </c>
      <c r="D190" s="9">
        <v>45429</v>
      </c>
      <c r="E190">
        <v>2905.63</v>
      </c>
      <c r="F190" t="s">
        <v>818</v>
      </c>
      <c r="G190" t="str">
        <f>'Raw Data bck'!F190&amp;"/USD"</f>
        <v>AUD/USD</v>
      </c>
      <c r="H190" s="15">
        <v>2091.1799999999998</v>
      </c>
      <c r="I190" s="11" t="s">
        <v>819</v>
      </c>
      <c r="J190" s="13">
        <f>IF(I190="Open",H190,IF(I190="Paid",0,"N/A"))</f>
        <v>2091.1799999999998</v>
      </c>
      <c r="L190" t="s">
        <v>822</v>
      </c>
    </row>
    <row r="191" spans="1:12" x14ac:dyDescent="0.35">
      <c r="A191" t="s">
        <v>198</v>
      </c>
      <c r="B191" t="s">
        <v>812</v>
      </c>
      <c r="C191" s="9">
        <v>45414</v>
      </c>
      <c r="D191" s="9">
        <v>45444</v>
      </c>
      <c r="E191">
        <v>940.95</v>
      </c>
      <c r="F191" t="s">
        <v>815</v>
      </c>
      <c r="G191" t="str">
        <f>'Raw Data bck'!F191&amp;"/USD"</f>
        <v>CAD/USD</v>
      </c>
      <c r="H191" s="15">
        <v>679.37</v>
      </c>
      <c r="I191" s="11" t="s">
        <v>821</v>
      </c>
      <c r="J191" s="13">
        <f>IF(I191="Open",H191,IF(I191="Paid",0,"N/A"))</f>
        <v>0</v>
      </c>
      <c r="K191" s="4">
        <v>45444</v>
      </c>
      <c r="L191" t="s">
        <v>822</v>
      </c>
    </row>
    <row r="192" spans="1:12" x14ac:dyDescent="0.35">
      <c r="A192" t="s">
        <v>199</v>
      </c>
      <c r="B192" t="s">
        <v>811</v>
      </c>
      <c r="C192" s="9">
        <v>44974</v>
      </c>
      <c r="D192" s="9">
        <v>45004</v>
      </c>
      <c r="E192">
        <v>4744.18</v>
      </c>
      <c r="F192" t="s">
        <v>818</v>
      </c>
      <c r="G192" t="str">
        <f>'Raw Data bck'!F192&amp;"/USD"</f>
        <v>AUD/USD</v>
      </c>
      <c r="H192" s="16">
        <v>3414.39</v>
      </c>
      <c r="I192" s="11" t="s">
        <v>820</v>
      </c>
      <c r="J192" s="13" t="str">
        <f>IF(I192="Open",H192,IF(I192="Paid",0,"N/A"))</f>
        <v>N/A</v>
      </c>
      <c r="L192" t="s">
        <v>822</v>
      </c>
    </row>
    <row r="193" spans="1:12" x14ac:dyDescent="0.35">
      <c r="A193" t="s">
        <v>200</v>
      </c>
      <c r="B193" t="s">
        <v>812</v>
      </c>
      <c r="C193" s="9">
        <v>45710</v>
      </c>
      <c r="D193" s="9">
        <v>45740</v>
      </c>
      <c r="E193">
        <v>147.49</v>
      </c>
      <c r="F193" t="s">
        <v>818</v>
      </c>
      <c r="G193" t="str">
        <f>'Raw Data bck'!F193&amp;"/USD"</f>
        <v>AUD/USD</v>
      </c>
      <c r="H193" s="15">
        <v>106.15</v>
      </c>
      <c r="I193" s="11" t="s">
        <v>821</v>
      </c>
      <c r="J193" s="13">
        <f>IF(I193="Open",H193,IF(I193="Paid",0,"N/A"))</f>
        <v>0</v>
      </c>
      <c r="K193" s="4">
        <v>45740</v>
      </c>
      <c r="L193" t="s">
        <v>822</v>
      </c>
    </row>
    <row r="194" spans="1:12" x14ac:dyDescent="0.35">
      <c r="A194" t="s">
        <v>201</v>
      </c>
      <c r="B194" t="s">
        <v>813</v>
      </c>
      <c r="C194" s="9">
        <v>45817</v>
      </c>
      <c r="D194" s="9">
        <v>45847</v>
      </c>
      <c r="E194">
        <v>495.23</v>
      </c>
      <c r="F194" t="s">
        <v>815</v>
      </c>
      <c r="G194" t="str">
        <f>'Raw Data bck'!F194&amp;"/USD"</f>
        <v>CAD/USD</v>
      </c>
      <c r="H194" s="16">
        <v>357.56</v>
      </c>
      <c r="I194" s="11" t="s">
        <v>820</v>
      </c>
      <c r="J194" s="13" t="str">
        <f>IF(I194="Open",H194,IF(I194="Paid",0,"N/A"))</f>
        <v>N/A</v>
      </c>
      <c r="L194" t="s">
        <v>822</v>
      </c>
    </row>
    <row r="195" spans="1:12" x14ac:dyDescent="0.35">
      <c r="A195" t="s">
        <v>202</v>
      </c>
      <c r="B195" t="s">
        <v>812</v>
      </c>
      <c r="C195" s="9">
        <v>45076</v>
      </c>
      <c r="D195" s="9">
        <v>45106</v>
      </c>
      <c r="E195">
        <v>2497.87</v>
      </c>
      <c r="F195" t="s">
        <v>816</v>
      </c>
      <c r="G195" t="str">
        <f>'Raw Data bck'!F195&amp;"/USD"</f>
        <v>GBP/USD</v>
      </c>
      <c r="H195" s="16">
        <v>3394.11</v>
      </c>
      <c r="I195" s="11" t="s">
        <v>820</v>
      </c>
      <c r="J195" s="13" t="str">
        <f>IF(I195="Open",H195,IF(I195="Paid",0,"N/A"))</f>
        <v>N/A</v>
      </c>
      <c r="L195" t="s">
        <v>822</v>
      </c>
    </row>
    <row r="196" spans="1:12" x14ac:dyDescent="0.35">
      <c r="A196" t="s">
        <v>203</v>
      </c>
      <c r="B196" t="s">
        <v>813</v>
      </c>
      <c r="C196" s="9">
        <v>45454</v>
      </c>
      <c r="D196" s="9">
        <v>45484</v>
      </c>
      <c r="E196">
        <v>1407.52</v>
      </c>
      <c r="F196" t="s">
        <v>815</v>
      </c>
      <c r="G196" t="str">
        <f>'Raw Data bck'!F196&amp;"/USD"</f>
        <v>CAD/USD</v>
      </c>
      <c r="H196" s="15">
        <v>1016.23</v>
      </c>
      <c r="I196" s="11" t="s">
        <v>819</v>
      </c>
      <c r="J196" s="13">
        <f>IF(I196="Open",H196,IF(I196="Paid",0,"N/A"))</f>
        <v>1016.23</v>
      </c>
      <c r="L196" t="s">
        <v>822</v>
      </c>
    </row>
    <row r="197" spans="1:12" x14ac:dyDescent="0.35">
      <c r="A197" t="s">
        <v>204</v>
      </c>
      <c r="B197" t="s">
        <v>813</v>
      </c>
      <c r="C197" s="9">
        <v>45723</v>
      </c>
      <c r="D197" s="9">
        <v>45753</v>
      </c>
      <c r="E197">
        <v>2632.28</v>
      </c>
      <c r="F197" t="s">
        <v>818</v>
      </c>
      <c r="G197" t="str">
        <f>'Raw Data bck'!F197&amp;"/USD"</f>
        <v>AUD/USD</v>
      </c>
      <c r="H197" s="16">
        <v>1894.45</v>
      </c>
      <c r="I197" s="11" t="s">
        <v>820</v>
      </c>
      <c r="J197" s="13" t="str">
        <f>IF(I197="Open",H197,IF(I197="Paid",0,"N/A"))</f>
        <v>N/A</v>
      </c>
      <c r="L197" t="s">
        <v>822</v>
      </c>
    </row>
    <row r="198" spans="1:12" x14ac:dyDescent="0.35">
      <c r="A198" t="s">
        <v>205</v>
      </c>
      <c r="B198" t="s">
        <v>810</v>
      </c>
      <c r="C198" s="9">
        <v>45384</v>
      </c>
      <c r="D198" s="9">
        <v>45414</v>
      </c>
      <c r="E198">
        <v>3255.92</v>
      </c>
      <c r="F198" t="s">
        <v>816</v>
      </c>
      <c r="G198" t="str">
        <f>'Raw Data bck'!F198&amp;"/USD"</f>
        <v>GBP/USD</v>
      </c>
      <c r="H198" s="15">
        <v>4424.1400000000003</v>
      </c>
      <c r="I198" s="11" t="s">
        <v>819</v>
      </c>
      <c r="J198" s="13">
        <f>IF(I198="Open",H198,IF(I198="Paid",0,"N/A"))</f>
        <v>4424.1400000000003</v>
      </c>
      <c r="L198" t="s">
        <v>822</v>
      </c>
    </row>
    <row r="199" spans="1:12" x14ac:dyDescent="0.35">
      <c r="A199" t="s">
        <v>206</v>
      </c>
      <c r="B199" t="s">
        <v>809</v>
      </c>
      <c r="C199" s="9">
        <v>45190</v>
      </c>
      <c r="D199" s="9">
        <v>45220</v>
      </c>
      <c r="E199">
        <v>392.7</v>
      </c>
      <c r="F199" t="s">
        <v>817</v>
      </c>
      <c r="G199" t="str">
        <f>'Raw Data bck'!F199&amp;"/USD"</f>
        <v>USD/USD</v>
      </c>
      <c r="H199" s="15">
        <v>392.7</v>
      </c>
      <c r="I199" s="11" t="s">
        <v>821</v>
      </c>
      <c r="J199" s="13">
        <f>IF(I199="Open",H199,IF(I199="Paid",0,"N/A"))</f>
        <v>0</v>
      </c>
      <c r="K199" s="4">
        <v>45220</v>
      </c>
      <c r="L199" t="s">
        <v>822</v>
      </c>
    </row>
    <row r="200" spans="1:12" x14ac:dyDescent="0.35">
      <c r="A200" t="s">
        <v>207</v>
      </c>
      <c r="B200" t="s">
        <v>810</v>
      </c>
      <c r="C200" s="9">
        <v>45388</v>
      </c>
      <c r="D200" s="9">
        <v>45418</v>
      </c>
      <c r="E200">
        <v>4366.6499999999996</v>
      </c>
      <c r="F200" t="s">
        <v>817</v>
      </c>
      <c r="G200" t="str">
        <f>'Raw Data bck'!F200&amp;"/USD"</f>
        <v>USD/USD</v>
      </c>
      <c r="H200" s="16">
        <v>4366.6499999999996</v>
      </c>
      <c r="I200" s="11" t="s">
        <v>820</v>
      </c>
      <c r="J200" s="13" t="str">
        <f>IF(I200="Open",H200,IF(I200="Paid",0,"N/A"))</f>
        <v>N/A</v>
      </c>
      <c r="L200" t="s">
        <v>822</v>
      </c>
    </row>
    <row r="201" spans="1:12" x14ac:dyDescent="0.35">
      <c r="A201" t="s">
        <v>208</v>
      </c>
      <c r="B201" t="s">
        <v>813</v>
      </c>
      <c r="C201" s="9">
        <v>45372</v>
      </c>
      <c r="D201" s="9">
        <v>45402</v>
      </c>
      <c r="E201">
        <v>1348.94</v>
      </c>
      <c r="F201" t="s">
        <v>814</v>
      </c>
      <c r="G201" t="str">
        <f>'Raw Data bck'!F201&amp;"/USD"</f>
        <v>EUR/USD</v>
      </c>
      <c r="H201" s="15">
        <v>1570.71</v>
      </c>
      <c r="I201" s="11" t="s">
        <v>821</v>
      </c>
      <c r="J201" s="13">
        <f>IF(I201="Open",H201,IF(I201="Paid",0,"N/A"))</f>
        <v>0</v>
      </c>
      <c r="K201" s="4">
        <v>45402</v>
      </c>
      <c r="L201" t="s">
        <v>822</v>
      </c>
    </row>
    <row r="202" spans="1:12" x14ac:dyDescent="0.35">
      <c r="A202" t="s">
        <v>209</v>
      </c>
      <c r="B202" t="s">
        <v>812</v>
      </c>
      <c r="C202" s="9">
        <v>45837</v>
      </c>
      <c r="D202" s="9">
        <v>45867</v>
      </c>
      <c r="E202">
        <v>4373.5200000000004</v>
      </c>
      <c r="F202" t="s">
        <v>816</v>
      </c>
      <c r="G202" t="str">
        <f>'Raw Data bck'!F202&amp;"/USD"</f>
        <v>GBP/USD</v>
      </c>
      <c r="H202" s="15">
        <v>5942.74</v>
      </c>
      <c r="I202" s="11" t="s">
        <v>819</v>
      </c>
      <c r="J202" s="13">
        <f>IF(I202="Open",H202,IF(I202="Paid",0,"N/A"))</f>
        <v>5942.74</v>
      </c>
      <c r="L202" t="s">
        <v>822</v>
      </c>
    </row>
    <row r="203" spans="1:12" x14ac:dyDescent="0.35">
      <c r="A203" t="s">
        <v>210</v>
      </c>
      <c r="B203" t="s">
        <v>812</v>
      </c>
      <c r="C203" s="9">
        <v>45232</v>
      </c>
      <c r="D203" s="9">
        <v>45262</v>
      </c>
      <c r="E203">
        <v>3414.97</v>
      </c>
      <c r="F203" t="s">
        <v>817</v>
      </c>
      <c r="G203" t="str">
        <f>'Raw Data bck'!F203&amp;"/USD"</f>
        <v>USD/USD</v>
      </c>
      <c r="H203" s="15">
        <v>3414.97</v>
      </c>
      <c r="I203" s="11" t="s">
        <v>821</v>
      </c>
      <c r="J203" s="13">
        <f>IF(I203="Open",H203,IF(I203="Paid",0,"N/A"))</f>
        <v>0</v>
      </c>
      <c r="K203" s="4">
        <v>45262</v>
      </c>
      <c r="L203" t="s">
        <v>822</v>
      </c>
    </row>
    <row r="204" spans="1:12" x14ac:dyDescent="0.35">
      <c r="A204" t="s">
        <v>211</v>
      </c>
      <c r="B204" t="s">
        <v>812</v>
      </c>
      <c r="C204" s="9">
        <v>45665</v>
      </c>
      <c r="D204" s="9">
        <v>45695</v>
      </c>
      <c r="E204">
        <v>1646.53</v>
      </c>
      <c r="F204" t="s">
        <v>815</v>
      </c>
      <c r="G204" t="str">
        <f>'Raw Data bck'!F204&amp;"/USD"</f>
        <v>CAD/USD</v>
      </c>
      <c r="H204" s="15">
        <v>1188.79</v>
      </c>
      <c r="I204" s="11" t="s">
        <v>821</v>
      </c>
      <c r="J204" s="13">
        <f>IF(I204="Open",H204,IF(I204="Paid",0,"N/A"))</f>
        <v>0</v>
      </c>
      <c r="K204" s="4">
        <v>45695</v>
      </c>
      <c r="L204" t="s">
        <v>822</v>
      </c>
    </row>
    <row r="205" spans="1:12" x14ac:dyDescent="0.35">
      <c r="A205" t="s">
        <v>212</v>
      </c>
      <c r="B205" t="s">
        <v>810</v>
      </c>
      <c r="C205" s="9">
        <v>45727</v>
      </c>
      <c r="D205" s="9">
        <v>45757</v>
      </c>
      <c r="E205">
        <v>2688.88</v>
      </c>
      <c r="F205" t="s">
        <v>814</v>
      </c>
      <c r="G205" t="str">
        <f>'Raw Data bck'!F205&amp;"/USD"</f>
        <v>EUR/USD</v>
      </c>
      <c r="H205" s="15">
        <v>3130.93</v>
      </c>
      <c r="I205" s="11" t="s">
        <v>819</v>
      </c>
      <c r="J205" s="13">
        <f>IF(I205="Open",H205,IF(I205="Paid",0,"N/A"))</f>
        <v>3130.93</v>
      </c>
      <c r="L205" t="s">
        <v>822</v>
      </c>
    </row>
    <row r="206" spans="1:12" x14ac:dyDescent="0.35">
      <c r="A206" t="s">
        <v>213</v>
      </c>
      <c r="B206" t="s">
        <v>811</v>
      </c>
      <c r="C206" s="9">
        <v>44933</v>
      </c>
      <c r="D206" s="9">
        <v>44963</v>
      </c>
      <c r="E206">
        <v>2187.09</v>
      </c>
      <c r="F206" t="s">
        <v>818</v>
      </c>
      <c r="G206" t="str">
        <f>'Raw Data bck'!F206&amp;"/USD"</f>
        <v>AUD/USD</v>
      </c>
      <c r="H206" s="16">
        <v>1574.05</v>
      </c>
      <c r="I206" s="11" t="s">
        <v>820</v>
      </c>
      <c r="J206" s="13" t="str">
        <f>IF(I206="Open",H206,IF(I206="Paid",0,"N/A"))</f>
        <v>N/A</v>
      </c>
      <c r="L206" t="s">
        <v>822</v>
      </c>
    </row>
    <row r="207" spans="1:12" x14ac:dyDescent="0.35">
      <c r="A207" t="s">
        <v>214</v>
      </c>
      <c r="B207" t="s">
        <v>813</v>
      </c>
      <c r="C207" s="9">
        <v>45805</v>
      </c>
      <c r="D207" s="9">
        <v>45835</v>
      </c>
      <c r="E207">
        <v>3171.13</v>
      </c>
      <c r="F207" t="s">
        <v>817</v>
      </c>
      <c r="G207" t="str">
        <f>'Raw Data bck'!F207&amp;"/USD"</f>
        <v>USD/USD</v>
      </c>
      <c r="H207" s="15">
        <v>3171.13</v>
      </c>
      <c r="I207" s="11" t="s">
        <v>821</v>
      </c>
      <c r="J207" s="13">
        <f>IF(I207="Open",H207,IF(I207="Paid",0,"N/A"))</f>
        <v>0</v>
      </c>
      <c r="K207" s="4">
        <v>45835</v>
      </c>
      <c r="L207" t="s">
        <v>822</v>
      </c>
    </row>
    <row r="208" spans="1:12" x14ac:dyDescent="0.35">
      <c r="A208" t="s">
        <v>215</v>
      </c>
      <c r="B208" t="s">
        <v>809</v>
      </c>
      <c r="C208" s="9">
        <v>45437</v>
      </c>
      <c r="D208" s="9">
        <v>45467</v>
      </c>
      <c r="E208">
        <v>2235.4699999999998</v>
      </c>
      <c r="F208" t="s">
        <v>814</v>
      </c>
      <c r="G208" t="str">
        <f>'Raw Data bck'!F208&amp;"/USD"</f>
        <v>EUR/USD</v>
      </c>
      <c r="H208" s="15">
        <v>2602.98</v>
      </c>
      <c r="I208" s="11" t="s">
        <v>821</v>
      </c>
      <c r="J208" s="13">
        <f>IF(I208="Open",H208,IF(I208="Paid",0,"N/A"))</f>
        <v>0</v>
      </c>
      <c r="K208" s="4">
        <v>45467</v>
      </c>
      <c r="L208" t="s">
        <v>822</v>
      </c>
    </row>
    <row r="209" spans="1:12" x14ac:dyDescent="0.35">
      <c r="A209" t="s">
        <v>216</v>
      </c>
      <c r="B209" t="s">
        <v>809</v>
      </c>
      <c r="C209" s="9">
        <v>45445</v>
      </c>
      <c r="D209" s="9">
        <v>45475</v>
      </c>
      <c r="E209">
        <v>4392.95</v>
      </c>
      <c r="F209" t="s">
        <v>817</v>
      </c>
      <c r="G209" t="str">
        <f>'Raw Data bck'!F209&amp;"/USD"</f>
        <v>USD/USD</v>
      </c>
      <c r="H209" s="15">
        <v>4392.95</v>
      </c>
      <c r="I209" s="11" t="s">
        <v>821</v>
      </c>
      <c r="J209" s="13">
        <f>IF(I209="Open",H209,IF(I209="Paid",0,"N/A"))</f>
        <v>0</v>
      </c>
      <c r="K209" s="4">
        <v>45475</v>
      </c>
      <c r="L209" t="s">
        <v>822</v>
      </c>
    </row>
    <row r="210" spans="1:12" x14ac:dyDescent="0.35">
      <c r="A210" t="s">
        <v>217</v>
      </c>
      <c r="B210" t="s">
        <v>812</v>
      </c>
      <c r="C210" s="9">
        <v>45204</v>
      </c>
      <c r="D210" s="9">
        <v>45234</v>
      </c>
      <c r="E210">
        <v>765.04</v>
      </c>
      <c r="F210" t="s">
        <v>814</v>
      </c>
      <c r="G210" t="str">
        <f>'Raw Data bck'!F210&amp;"/USD"</f>
        <v>EUR/USD</v>
      </c>
      <c r="H210" s="15">
        <v>890.81</v>
      </c>
      <c r="I210" s="11" t="s">
        <v>821</v>
      </c>
      <c r="J210" s="13">
        <f>IF(I210="Open",H210,IF(I210="Paid",0,"N/A"))</f>
        <v>0</v>
      </c>
      <c r="K210" s="4">
        <v>45234</v>
      </c>
      <c r="L210" t="s">
        <v>822</v>
      </c>
    </row>
    <row r="211" spans="1:12" x14ac:dyDescent="0.35">
      <c r="A211" t="s">
        <v>218</v>
      </c>
      <c r="B211" t="s">
        <v>809</v>
      </c>
      <c r="C211" s="9">
        <v>45392</v>
      </c>
      <c r="D211" s="9">
        <v>45422</v>
      </c>
      <c r="E211">
        <v>4435.17</v>
      </c>
      <c r="F211" t="s">
        <v>817</v>
      </c>
      <c r="G211" t="str">
        <f>'Raw Data bck'!F211&amp;"/USD"</f>
        <v>USD/USD</v>
      </c>
      <c r="H211" s="15">
        <v>4435.17</v>
      </c>
      <c r="I211" s="11" t="s">
        <v>819</v>
      </c>
      <c r="J211" s="13">
        <f>IF(I211="Open",H211,IF(I211="Paid",0,"N/A"))</f>
        <v>4435.17</v>
      </c>
      <c r="L211" t="s">
        <v>822</v>
      </c>
    </row>
    <row r="212" spans="1:12" x14ac:dyDescent="0.35">
      <c r="A212" t="s">
        <v>219</v>
      </c>
      <c r="B212" t="s">
        <v>809</v>
      </c>
      <c r="C212" s="9">
        <v>44948</v>
      </c>
      <c r="D212" s="9">
        <v>44978</v>
      </c>
      <c r="E212">
        <v>2626.85</v>
      </c>
      <c r="F212" t="s">
        <v>815</v>
      </c>
      <c r="G212" t="str">
        <f>'Raw Data bck'!F212&amp;"/USD"</f>
        <v>CAD/USD</v>
      </c>
      <c r="H212" s="15">
        <v>1896.59</v>
      </c>
      <c r="I212" s="11" t="s">
        <v>819</v>
      </c>
      <c r="J212" s="13">
        <f>IF(I212="Open",H212,IF(I212="Paid",0,"N/A"))</f>
        <v>1896.59</v>
      </c>
      <c r="L212" t="s">
        <v>822</v>
      </c>
    </row>
    <row r="213" spans="1:12" x14ac:dyDescent="0.35">
      <c r="A213" t="s">
        <v>220</v>
      </c>
      <c r="B213" t="s">
        <v>809</v>
      </c>
      <c r="C213" s="9">
        <v>45460</v>
      </c>
      <c r="D213" s="9">
        <v>45490</v>
      </c>
      <c r="E213">
        <v>4803.24</v>
      </c>
      <c r="F213" t="s">
        <v>817</v>
      </c>
      <c r="G213" t="str">
        <f>'Raw Data bck'!F213&amp;"/USD"</f>
        <v>USD/USD</v>
      </c>
      <c r="H213" s="16">
        <v>4803.24</v>
      </c>
      <c r="I213" s="11" t="s">
        <v>820</v>
      </c>
      <c r="J213" s="13" t="str">
        <f>IF(I213="Open",H213,IF(I213="Paid",0,"N/A"))</f>
        <v>N/A</v>
      </c>
      <c r="L213" t="s">
        <v>822</v>
      </c>
    </row>
    <row r="214" spans="1:12" x14ac:dyDescent="0.35">
      <c r="A214" t="s">
        <v>221</v>
      </c>
      <c r="B214" t="s">
        <v>810</v>
      </c>
      <c r="C214" s="9">
        <v>45496</v>
      </c>
      <c r="D214" s="9">
        <v>45526</v>
      </c>
      <c r="E214">
        <v>3007.22</v>
      </c>
      <c r="F214" t="s">
        <v>817</v>
      </c>
      <c r="G214" t="str">
        <f>'Raw Data bck'!F214&amp;"/USD"</f>
        <v>USD/USD</v>
      </c>
      <c r="H214" s="15">
        <v>3007.22</v>
      </c>
      <c r="I214" s="11" t="s">
        <v>821</v>
      </c>
      <c r="J214" s="13">
        <f>IF(I214="Open",H214,IF(I214="Paid",0,"N/A"))</f>
        <v>0</v>
      </c>
      <c r="K214" s="4">
        <v>45526</v>
      </c>
      <c r="L214" t="s">
        <v>822</v>
      </c>
    </row>
    <row r="215" spans="1:12" x14ac:dyDescent="0.35">
      <c r="A215" t="s">
        <v>222</v>
      </c>
      <c r="B215" t="s">
        <v>809</v>
      </c>
      <c r="C215" s="9">
        <v>45704</v>
      </c>
      <c r="D215" s="9">
        <v>45734</v>
      </c>
      <c r="E215">
        <v>4929.75</v>
      </c>
      <c r="F215" t="s">
        <v>815</v>
      </c>
      <c r="G215" t="str">
        <f>'Raw Data bck'!F215&amp;"/USD"</f>
        <v>CAD/USD</v>
      </c>
      <c r="H215" s="15">
        <v>3559.28</v>
      </c>
      <c r="I215" s="11" t="s">
        <v>819</v>
      </c>
      <c r="J215" s="13">
        <f>IF(I215="Open",H215,IF(I215="Paid",0,"N/A"))</f>
        <v>3559.28</v>
      </c>
      <c r="L215" t="s">
        <v>822</v>
      </c>
    </row>
    <row r="216" spans="1:12" x14ac:dyDescent="0.35">
      <c r="A216" t="s">
        <v>223</v>
      </c>
      <c r="B216" t="s">
        <v>810</v>
      </c>
      <c r="C216" s="9">
        <v>45449</v>
      </c>
      <c r="D216" s="9">
        <v>45479</v>
      </c>
      <c r="E216">
        <v>1536.2</v>
      </c>
      <c r="F216" t="s">
        <v>814</v>
      </c>
      <c r="G216" t="str">
        <f>'Raw Data bck'!F216&amp;"/USD"</f>
        <v>EUR/USD</v>
      </c>
      <c r="H216" s="16">
        <v>1788.75</v>
      </c>
      <c r="I216" s="11" t="s">
        <v>820</v>
      </c>
      <c r="J216" s="13" t="str">
        <f>IF(I216="Open",H216,IF(I216="Paid",0,"N/A"))</f>
        <v>N/A</v>
      </c>
      <c r="L216" t="s">
        <v>822</v>
      </c>
    </row>
    <row r="217" spans="1:12" x14ac:dyDescent="0.35">
      <c r="A217" t="s">
        <v>224</v>
      </c>
      <c r="B217" t="s">
        <v>810</v>
      </c>
      <c r="C217" s="9">
        <v>45491</v>
      </c>
      <c r="D217" s="9">
        <v>45521</v>
      </c>
      <c r="E217">
        <v>2978.71</v>
      </c>
      <c r="F217" t="s">
        <v>816</v>
      </c>
      <c r="G217" t="str">
        <f>'Raw Data bck'!F217&amp;"/USD"</f>
        <v>GBP/USD</v>
      </c>
      <c r="H217" s="16">
        <v>4047.47</v>
      </c>
      <c r="I217" s="11" t="s">
        <v>820</v>
      </c>
      <c r="J217" s="13" t="str">
        <f>IF(I217="Open",H217,IF(I217="Paid",0,"N/A"))</f>
        <v>N/A</v>
      </c>
      <c r="L217" t="s">
        <v>822</v>
      </c>
    </row>
    <row r="218" spans="1:12" x14ac:dyDescent="0.35">
      <c r="A218" t="s">
        <v>225</v>
      </c>
      <c r="B218" t="s">
        <v>812</v>
      </c>
      <c r="C218" s="9">
        <v>45326</v>
      </c>
      <c r="D218" s="9">
        <v>45356</v>
      </c>
      <c r="E218">
        <v>915.17</v>
      </c>
      <c r="F218" t="s">
        <v>816</v>
      </c>
      <c r="G218" t="str">
        <f>'Raw Data bck'!F218&amp;"/USD"</f>
        <v>GBP/USD</v>
      </c>
      <c r="H218" s="15">
        <v>1243.53</v>
      </c>
      <c r="I218" s="11" t="s">
        <v>821</v>
      </c>
      <c r="J218" s="13">
        <f>IF(I218="Open",H218,IF(I218="Paid",0,"N/A"))</f>
        <v>0</v>
      </c>
      <c r="K218" s="4">
        <v>45356</v>
      </c>
      <c r="L218" t="s">
        <v>822</v>
      </c>
    </row>
    <row r="219" spans="1:12" x14ac:dyDescent="0.35">
      <c r="A219" t="s">
        <v>226</v>
      </c>
      <c r="B219" t="s">
        <v>810</v>
      </c>
      <c r="C219" s="9">
        <v>45109</v>
      </c>
      <c r="D219" s="9">
        <v>45139</v>
      </c>
      <c r="E219">
        <v>3188.52</v>
      </c>
      <c r="F219" t="s">
        <v>816</v>
      </c>
      <c r="G219" t="str">
        <f>'Raw Data bck'!F219&amp;"/USD"</f>
        <v>GBP/USD</v>
      </c>
      <c r="H219" s="16">
        <v>4332.5600000000004</v>
      </c>
      <c r="I219" s="11" t="s">
        <v>820</v>
      </c>
      <c r="J219" s="13" t="str">
        <f>IF(I219="Open",H219,IF(I219="Paid",0,"N/A"))</f>
        <v>N/A</v>
      </c>
      <c r="L219" t="s">
        <v>822</v>
      </c>
    </row>
    <row r="220" spans="1:12" x14ac:dyDescent="0.35">
      <c r="A220" t="s">
        <v>227</v>
      </c>
      <c r="B220" t="s">
        <v>811</v>
      </c>
      <c r="C220" s="9">
        <v>45432</v>
      </c>
      <c r="D220" s="9">
        <v>45462</v>
      </c>
      <c r="E220">
        <v>2307.79</v>
      </c>
      <c r="F220" t="s">
        <v>817</v>
      </c>
      <c r="G220" t="str">
        <f>'Raw Data bck'!F220&amp;"/USD"</f>
        <v>USD/USD</v>
      </c>
      <c r="H220" s="16">
        <v>2307.79</v>
      </c>
      <c r="I220" s="11" t="s">
        <v>820</v>
      </c>
      <c r="J220" s="13" t="str">
        <f>IF(I220="Open",H220,IF(I220="Paid",0,"N/A"))</f>
        <v>N/A</v>
      </c>
      <c r="L220" t="s">
        <v>822</v>
      </c>
    </row>
    <row r="221" spans="1:12" x14ac:dyDescent="0.35">
      <c r="A221" t="s">
        <v>228</v>
      </c>
      <c r="B221" t="s">
        <v>811</v>
      </c>
      <c r="C221" s="9">
        <v>45251</v>
      </c>
      <c r="D221" s="9">
        <v>45281</v>
      </c>
      <c r="E221">
        <v>2903.71</v>
      </c>
      <c r="F221" t="s">
        <v>814</v>
      </c>
      <c r="G221" t="str">
        <f>'Raw Data bck'!F221&amp;"/USD"</f>
        <v>EUR/USD</v>
      </c>
      <c r="H221" s="16">
        <v>3381.08</v>
      </c>
      <c r="I221" s="11" t="s">
        <v>820</v>
      </c>
      <c r="J221" s="13" t="str">
        <f>IF(I221="Open",H221,IF(I221="Paid",0,"N/A"))</f>
        <v>N/A</v>
      </c>
      <c r="L221" t="s">
        <v>822</v>
      </c>
    </row>
    <row r="222" spans="1:12" x14ac:dyDescent="0.35">
      <c r="A222" t="s">
        <v>229</v>
      </c>
      <c r="B222" t="s">
        <v>811</v>
      </c>
      <c r="C222" s="9">
        <v>45432</v>
      </c>
      <c r="D222" s="9">
        <v>45462</v>
      </c>
      <c r="E222">
        <v>2565.02</v>
      </c>
      <c r="F222" t="s">
        <v>817</v>
      </c>
      <c r="G222" t="str">
        <f>'Raw Data bck'!F222&amp;"/USD"</f>
        <v>USD/USD</v>
      </c>
      <c r="H222" s="16">
        <v>2565.02</v>
      </c>
      <c r="I222" s="11" t="s">
        <v>820</v>
      </c>
      <c r="J222" s="13" t="str">
        <f>IF(I222="Open",H222,IF(I222="Paid",0,"N/A"))</f>
        <v>N/A</v>
      </c>
      <c r="L222" t="s">
        <v>822</v>
      </c>
    </row>
    <row r="223" spans="1:12" x14ac:dyDescent="0.35">
      <c r="A223" t="s">
        <v>230</v>
      </c>
      <c r="B223" t="s">
        <v>810</v>
      </c>
      <c r="C223" s="9">
        <v>45790</v>
      </c>
      <c r="D223" s="9">
        <v>45820</v>
      </c>
      <c r="E223">
        <v>2121.21</v>
      </c>
      <c r="F223" t="s">
        <v>817</v>
      </c>
      <c r="G223" t="str">
        <f>'Raw Data bck'!F223&amp;"/USD"</f>
        <v>USD/USD</v>
      </c>
      <c r="H223" s="15">
        <v>2121.21</v>
      </c>
      <c r="I223" s="11" t="s">
        <v>819</v>
      </c>
      <c r="J223" s="13">
        <f>IF(I223="Open",H223,IF(I223="Paid",0,"N/A"))</f>
        <v>2121.21</v>
      </c>
      <c r="L223" t="s">
        <v>822</v>
      </c>
    </row>
    <row r="224" spans="1:12" x14ac:dyDescent="0.35">
      <c r="A224" t="s">
        <v>231</v>
      </c>
      <c r="B224" t="s">
        <v>810</v>
      </c>
      <c r="C224" s="9">
        <v>45748</v>
      </c>
      <c r="D224" s="9">
        <v>45778</v>
      </c>
      <c r="E224">
        <v>1273.9000000000001</v>
      </c>
      <c r="F224" t="s">
        <v>814</v>
      </c>
      <c r="G224" t="str">
        <f>'Raw Data bck'!F224&amp;"/USD"</f>
        <v>EUR/USD</v>
      </c>
      <c r="H224" s="15">
        <v>1483.33</v>
      </c>
      <c r="I224" s="11" t="s">
        <v>819</v>
      </c>
      <c r="J224" s="13">
        <f>IF(I224="Open",H224,IF(I224="Paid",0,"N/A"))</f>
        <v>1483.33</v>
      </c>
      <c r="L224" t="s">
        <v>822</v>
      </c>
    </row>
    <row r="225" spans="1:12" x14ac:dyDescent="0.35">
      <c r="A225" t="s">
        <v>232</v>
      </c>
      <c r="B225" t="s">
        <v>810</v>
      </c>
      <c r="C225" s="9">
        <v>45711</v>
      </c>
      <c r="D225" s="9">
        <v>45741</v>
      </c>
      <c r="E225">
        <v>3975.5</v>
      </c>
      <c r="F225" t="s">
        <v>818</v>
      </c>
      <c r="G225" t="str">
        <f>'Raw Data bck'!F225&amp;"/USD"</f>
        <v>AUD/USD</v>
      </c>
      <c r="H225" s="15">
        <v>2861.17</v>
      </c>
      <c r="I225" s="11" t="s">
        <v>819</v>
      </c>
      <c r="J225" s="13">
        <f>IF(I225="Open",H225,IF(I225="Paid",0,"N/A"))</f>
        <v>2861.17</v>
      </c>
      <c r="L225" t="s">
        <v>822</v>
      </c>
    </row>
    <row r="226" spans="1:12" x14ac:dyDescent="0.35">
      <c r="A226" t="s">
        <v>233</v>
      </c>
      <c r="B226" t="s">
        <v>809</v>
      </c>
      <c r="C226" s="9">
        <v>45588</v>
      </c>
      <c r="D226" s="9">
        <v>45618</v>
      </c>
      <c r="E226">
        <v>2421.44</v>
      </c>
      <c r="F226" t="s">
        <v>818</v>
      </c>
      <c r="G226" t="str">
        <f>'Raw Data bck'!F226&amp;"/USD"</f>
        <v>AUD/USD</v>
      </c>
      <c r="H226" s="15">
        <v>1742.71</v>
      </c>
      <c r="I226" s="11" t="s">
        <v>819</v>
      </c>
      <c r="J226" s="13">
        <f>IF(I226="Open",H226,IF(I226="Paid",0,"N/A"))</f>
        <v>1742.71</v>
      </c>
      <c r="L226" t="s">
        <v>822</v>
      </c>
    </row>
    <row r="227" spans="1:12" x14ac:dyDescent="0.35">
      <c r="A227" t="s">
        <v>234</v>
      </c>
      <c r="B227" t="s">
        <v>809</v>
      </c>
      <c r="C227" s="9">
        <v>45688</v>
      </c>
      <c r="D227" s="9">
        <v>45718</v>
      </c>
      <c r="E227">
        <v>2458.0100000000002</v>
      </c>
      <c r="F227" t="s">
        <v>814</v>
      </c>
      <c r="G227" t="str">
        <f>'Raw Data bck'!F227&amp;"/USD"</f>
        <v>EUR/USD</v>
      </c>
      <c r="H227" s="15">
        <v>2862.11</v>
      </c>
      <c r="I227" s="11" t="s">
        <v>819</v>
      </c>
      <c r="J227" s="13">
        <f>IF(I227="Open",H227,IF(I227="Paid",0,"N/A"))</f>
        <v>2862.11</v>
      </c>
      <c r="L227" t="s">
        <v>822</v>
      </c>
    </row>
    <row r="228" spans="1:12" x14ac:dyDescent="0.35">
      <c r="A228" t="s">
        <v>235</v>
      </c>
      <c r="B228" t="s">
        <v>809</v>
      </c>
      <c r="C228" s="9">
        <v>45136</v>
      </c>
      <c r="D228" s="9">
        <v>45166</v>
      </c>
      <c r="E228">
        <v>2854.39</v>
      </c>
      <c r="F228" t="s">
        <v>814</v>
      </c>
      <c r="G228" t="str">
        <f>'Raw Data bck'!F228&amp;"/USD"</f>
        <v>EUR/USD</v>
      </c>
      <c r="H228" s="15">
        <v>3323.65</v>
      </c>
      <c r="I228" s="11" t="s">
        <v>821</v>
      </c>
      <c r="J228" s="13">
        <f>IF(I228="Open",H228,IF(I228="Paid",0,"N/A"))</f>
        <v>0</v>
      </c>
      <c r="K228" s="4">
        <v>45166</v>
      </c>
      <c r="L228" t="s">
        <v>822</v>
      </c>
    </row>
    <row r="229" spans="1:12" x14ac:dyDescent="0.35">
      <c r="A229" t="s">
        <v>236</v>
      </c>
      <c r="B229" t="s">
        <v>810</v>
      </c>
      <c r="C229" s="9">
        <v>45319</v>
      </c>
      <c r="D229" s="9">
        <v>45349</v>
      </c>
      <c r="E229">
        <v>2918.95</v>
      </c>
      <c r="F229" t="s">
        <v>814</v>
      </c>
      <c r="G229" t="str">
        <f>'Raw Data bck'!F229&amp;"/USD"</f>
        <v>EUR/USD</v>
      </c>
      <c r="H229" s="15">
        <v>3398.83</v>
      </c>
      <c r="I229" s="11" t="s">
        <v>819</v>
      </c>
      <c r="J229" s="13">
        <f>IF(I229="Open",H229,IF(I229="Paid",0,"N/A"))</f>
        <v>3398.83</v>
      </c>
      <c r="L229" t="s">
        <v>822</v>
      </c>
    </row>
    <row r="230" spans="1:12" x14ac:dyDescent="0.35">
      <c r="A230" t="s">
        <v>237</v>
      </c>
      <c r="B230" t="s">
        <v>812</v>
      </c>
      <c r="C230" s="9">
        <v>44997</v>
      </c>
      <c r="D230" s="9">
        <v>45027</v>
      </c>
      <c r="E230">
        <v>328.97</v>
      </c>
      <c r="F230" t="s">
        <v>817</v>
      </c>
      <c r="G230" t="str">
        <f>'Raw Data bck'!F230&amp;"/USD"</f>
        <v>USD/USD</v>
      </c>
      <c r="H230" s="15">
        <v>328.97</v>
      </c>
      <c r="I230" s="11" t="s">
        <v>821</v>
      </c>
      <c r="J230" s="13">
        <f>IF(I230="Open",H230,IF(I230="Paid",0,"N/A"))</f>
        <v>0</v>
      </c>
      <c r="K230" s="4">
        <v>45027</v>
      </c>
      <c r="L230" t="s">
        <v>822</v>
      </c>
    </row>
    <row r="231" spans="1:12" x14ac:dyDescent="0.35">
      <c r="A231" t="s">
        <v>238</v>
      </c>
      <c r="B231" t="s">
        <v>812</v>
      </c>
      <c r="C231" s="9">
        <v>45523</v>
      </c>
      <c r="D231" s="9">
        <v>45553</v>
      </c>
      <c r="E231">
        <v>1213.71</v>
      </c>
      <c r="F231" t="s">
        <v>817</v>
      </c>
      <c r="G231" t="str">
        <f>'Raw Data bck'!F231&amp;"/USD"</f>
        <v>USD/USD</v>
      </c>
      <c r="H231" s="15">
        <v>1213.71</v>
      </c>
      <c r="I231" s="11" t="s">
        <v>819</v>
      </c>
      <c r="J231" s="13">
        <f>IF(I231="Open",H231,IF(I231="Paid",0,"N/A"))</f>
        <v>1213.71</v>
      </c>
      <c r="L231" t="s">
        <v>822</v>
      </c>
    </row>
    <row r="232" spans="1:12" x14ac:dyDescent="0.35">
      <c r="A232" t="s">
        <v>239</v>
      </c>
      <c r="B232" t="s">
        <v>811</v>
      </c>
      <c r="C232" s="9">
        <v>45772</v>
      </c>
      <c r="D232" s="9">
        <v>45802</v>
      </c>
      <c r="E232">
        <v>454.59</v>
      </c>
      <c r="F232" t="s">
        <v>817</v>
      </c>
      <c r="G232" t="str">
        <f>'Raw Data bck'!F232&amp;"/USD"</f>
        <v>USD/USD</v>
      </c>
      <c r="H232" s="15">
        <v>454.59</v>
      </c>
      <c r="I232" s="11" t="s">
        <v>819</v>
      </c>
      <c r="J232" s="13">
        <f>IF(I232="Open",H232,IF(I232="Paid",0,"N/A"))</f>
        <v>454.59</v>
      </c>
      <c r="L232" t="s">
        <v>822</v>
      </c>
    </row>
    <row r="233" spans="1:12" x14ac:dyDescent="0.35">
      <c r="A233" t="s">
        <v>240</v>
      </c>
      <c r="B233" t="s">
        <v>811</v>
      </c>
      <c r="C233" s="9">
        <v>45040</v>
      </c>
      <c r="D233" s="9">
        <v>45070</v>
      </c>
      <c r="E233">
        <v>4278.37</v>
      </c>
      <c r="F233" t="s">
        <v>815</v>
      </c>
      <c r="G233" t="str">
        <f>'Raw Data bck'!F233&amp;"/USD"</f>
        <v>CAD/USD</v>
      </c>
      <c r="H233" s="15">
        <v>3088.98</v>
      </c>
      <c r="I233" s="11" t="s">
        <v>821</v>
      </c>
      <c r="J233" s="13">
        <f>IF(I233="Open",H233,IF(I233="Paid",0,"N/A"))</f>
        <v>0</v>
      </c>
      <c r="K233" s="4">
        <v>45070</v>
      </c>
      <c r="L233" t="s">
        <v>822</v>
      </c>
    </row>
    <row r="234" spans="1:12" x14ac:dyDescent="0.35">
      <c r="A234" t="s">
        <v>241</v>
      </c>
      <c r="B234" t="s">
        <v>809</v>
      </c>
      <c r="C234" s="9">
        <v>45524</v>
      </c>
      <c r="D234" s="9">
        <v>45554</v>
      </c>
      <c r="E234">
        <v>3048.16</v>
      </c>
      <c r="F234" t="s">
        <v>817</v>
      </c>
      <c r="G234" t="str">
        <f>'Raw Data bck'!F234&amp;"/USD"</f>
        <v>USD/USD</v>
      </c>
      <c r="H234" s="15">
        <v>3048.16</v>
      </c>
      <c r="I234" s="11" t="s">
        <v>819</v>
      </c>
      <c r="J234" s="13">
        <f>IF(I234="Open",H234,IF(I234="Paid",0,"N/A"))</f>
        <v>3048.16</v>
      </c>
      <c r="L234" t="s">
        <v>822</v>
      </c>
    </row>
    <row r="235" spans="1:12" x14ac:dyDescent="0.35">
      <c r="A235" t="s">
        <v>242</v>
      </c>
      <c r="B235" t="s">
        <v>812</v>
      </c>
      <c r="C235" s="9">
        <v>45065</v>
      </c>
      <c r="D235" s="9">
        <v>45095</v>
      </c>
      <c r="E235">
        <v>4611.88</v>
      </c>
      <c r="F235" t="s">
        <v>818</v>
      </c>
      <c r="G235" t="str">
        <f>'Raw Data bck'!F235&amp;"/USD"</f>
        <v>AUD/USD</v>
      </c>
      <c r="H235" s="16">
        <v>3319.17</v>
      </c>
      <c r="I235" s="11" t="s">
        <v>820</v>
      </c>
      <c r="J235" s="13" t="str">
        <f>IF(I235="Open",H235,IF(I235="Paid",0,"N/A"))</f>
        <v>N/A</v>
      </c>
      <c r="L235" t="s">
        <v>822</v>
      </c>
    </row>
    <row r="236" spans="1:12" x14ac:dyDescent="0.35">
      <c r="A236" t="s">
        <v>243</v>
      </c>
      <c r="B236" t="s">
        <v>809</v>
      </c>
      <c r="C236" s="9">
        <v>45315</v>
      </c>
      <c r="D236" s="9">
        <v>45345</v>
      </c>
      <c r="E236">
        <v>2206.77</v>
      </c>
      <c r="F236" t="s">
        <v>817</v>
      </c>
      <c r="G236" t="str">
        <f>'Raw Data bck'!F236&amp;"/USD"</f>
        <v>USD/USD</v>
      </c>
      <c r="H236" s="15">
        <v>2206.77</v>
      </c>
      <c r="I236" s="11" t="s">
        <v>819</v>
      </c>
      <c r="J236" s="13">
        <f>IF(I236="Open",H236,IF(I236="Paid",0,"N/A"))</f>
        <v>2206.77</v>
      </c>
      <c r="L236" t="s">
        <v>822</v>
      </c>
    </row>
    <row r="237" spans="1:12" x14ac:dyDescent="0.35">
      <c r="A237" t="s">
        <v>244</v>
      </c>
      <c r="B237" t="s">
        <v>809</v>
      </c>
      <c r="C237" s="9">
        <v>45269</v>
      </c>
      <c r="D237" s="9">
        <v>45299</v>
      </c>
      <c r="E237">
        <v>1191.52</v>
      </c>
      <c r="F237" t="s">
        <v>817</v>
      </c>
      <c r="G237" t="str">
        <f>'Raw Data bck'!F237&amp;"/USD"</f>
        <v>USD/USD</v>
      </c>
      <c r="H237" s="15">
        <v>1191.52</v>
      </c>
      <c r="I237" s="11" t="s">
        <v>821</v>
      </c>
      <c r="J237" s="13">
        <f>IF(I237="Open",H237,IF(I237="Paid",0,"N/A"))</f>
        <v>0</v>
      </c>
      <c r="K237" s="4">
        <v>45299</v>
      </c>
      <c r="L237" t="s">
        <v>822</v>
      </c>
    </row>
    <row r="238" spans="1:12" x14ac:dyDescent="0.35">
      <c r="A238" t="s">
        <v>245</v>
      </c>
      <c r="B238" t="s">
        <v>809</v>
      </c>
      <c r="C238" s="9">
        <v>44938</v>
      </c>
      <c r="D238" s="9">
        <v>44968</v>
      </c>
      <c r="E238">
        <v>1715.9</v>
      </c>
      <c r="F238" t="s">
        <v>815</v>
      </c>
      <c r="G238" t="str">
        <f>'Raw Data bck'!F238&amp;"/USD"</f>
        <v>CAD/USD</v>
      </c>
      <c r="H238" s="16">
        <v>1238.8800000000001</v>
      </c>
      <c r="I238" s="11" t="s">
        <v>820</v>
      </c>
      <c r="J238" s="13" t="str">
        <f>IF(I238="Open",H238,IF(I238="Paid",0,"N/A"))</f>
        <v>N/A</v>
      </c>
      <c r="L238" t="s">
        <v>822</v>
      </c>
    </row>
    <row r="239" spans="1:12" x14ac:dyDescent="0.35">
      <c r="A239" t="s">
        <v>246</v>
      </c>
      <c r="B239" t="s">
        <v>810</v>
      </c>
      <c r="C239" s="9">
        <v>44956</v>
      </c>
      <c r="D239" s="9">
        <v>44986</v>
      </c>
      <c r="E239">
        <v>2281.3000000000002</v>
      </c>
      <c r="F239" t="s">
        <v>816</v>
      </c>
      <c r="G239" t="str">
        <f>'Raw Data bck'!F239&amp;"/USD"</f>
        <v>GBP/USD</v>
      </c>
      <c r="H239" s="15">
        <v>3099.83</v>
      </c>
      <c r="I239" s="11" t="s">
        <v>821</v>
      </c>
      <c r="J239" s="13">
        <f>IF(I239="Open",H239,IF(I239="Paid",0,"N/A"))</f>
        <v>0</v>
      </c>
      <c r="K239" s="4">
        <v>44986</v>
      </c>
      <c r="L239" t="s">
        <v>822</v>
      </c>
    </row>
    <row r="240" spans="1:12" x14ac:dyDescent="0.35">
      <c r="A240" t="s">
        <v>247</v>
      </c>
      <c r="B240" t="s">
        <v>811</v>
      </c>
      <c r="C240" s="9">
        <v>45362</v>
      </c>
      <c r="D240" s="9">
        <v>45392</v>
      </c>
      <c r="E240">
        <v>3825.33</v>
      </c>
      <c r="F240" t="s">
        <v>816</v>
      </c>
      <c r="G240" t="str">
        <f>'Raw Data bck'!F240&amp;"/USD"</f>
        <v>GBP/USD</v>
      </c>
      <c r="H240" s="15">
        <v>5197.8599999999997</v>
      </c>
      <c r="I240" s="11" t="s">
        <v>819</v>
      </c>
      <c r="J240" s="13">
        <f>IF(I240="Open",H240,IF(I240="Paid",0,"N/A"))</f>
        <v>5197.8599999999997</v>
      </c>
      <c r="L240" t="s">
        <v>822</v>
      </c>
    </row>
    <row r="241" spans="1:12" x14ac:dyDescent="0.35">
      <c r="A241" t="s">
        <v>248</v>
      </c>
      <c r="B241" t="s">
        <v>811</v>
      </c>
      <c r="C241" s="9">
        <v>45008</v>
      </c>
      <c r="D241" s="9">
        <v>45038</v>
      </c>
      <c r="E241">
        <v>4771.6000000000004</v>
      </c>
      <c r="F241" t="s">
        <v>818</v>
      </c>
      <c r="G241" t="str">
        <f>'Raw Data bck'!F241&amp;"/USD"</f>
        <v>AUD/USD</v>
      </c>
      <c r="H241" s="16">
        <v>3434.12</v>
      </c>
      <c r="I241" s="11" t="s">
        <v>820</v>
      </c>
      <c r="J241" s="13" t="str">
        <f>IF(I241="Open",H241,IF(I241="Paid",0,"N/A"))</f>
        <v>N/A</v>
      </c>
      <c r="L241" t="s">
        <v>822</v>
      </c>
    </row>
    <row r="242" spans="1:12" x14ac:dyDescent="0.35">
      <c r="A242" t="s">
        <v>249</v>
      </c>
      <c r="B242" t="s">
        <v>811</v>
      </c>
      <c r="C242" s="9">
        <v>45474</v>
      </c>
      <c r="D242" s="9">
        <v>45504</v>
      </c>
      <c r="E242">
        <v>3536.61</v>
      </c>
      <c r="F242" t="s">
        <v>817</v>
      </c>
      <c r="G242" t="str">
        <f>'Raw Data bck'!F242&amp;"/USD"</f>
        <v>USD/USD</v>
      </c>
      <c r="H242" s="16">
        <v>3536.61</v>
      </c>
      <c r="I242" s="11" t="s">
        <v>820</v>
      </c>
      <c r="J242" s="13" t="str">
        <f>IF(I242="Open",H242,IF(I242="Paid",0,"N/A"))</f>
        <v>N/A</v>
      </c>
      <c r="L242" t="s">
        <v>822</v>
      </c>
    </row>
    <row r="243" spans="1:12" x14ac:dyDescent="0.35">
      <c r="A243" t="s">
        <v>250</v>
      </c>
      <c r="B243" t="s">
        <v>813</v>
      </c>
      <c r="C243" s="9">
        <v>45087</v>
      </c>
      <c r="D243" s="9">
        <v>45117</v>
      </c>
      <c r="E243">
        <v>4873.4799999999996</v>
      </c>
      <c r="F243" t="s">
        <v>814</v>
      </c>
      <c r="G243" t="str">
        <f>'Raw Data bck'!F243&amp;"/USD"</f>
        <v>EUR/USD</v>
      </c>
      <c r="H243" s="15">
        <v>5674.68</v>
      </c>
      <c r="I243" s="11" t="s">
        <v>821</v>
      </c>
      <c r="J243" s="13">
        <f>IF(I243="Open",H243,IF(I243="Paid",0,"N/A"))</f>
        <v>0</v>
      </c>
      <c r="K243" s="4">
        <v>45117</v>
      </c>
      <c r="L243" t="s">
        <v>822</v>
      </c>
    </row>
    <row r="244" spans="1:12" x14ac:dyDescent="0.35">
      <c r="A244" t="s">
        <v>251</v>
      </c>
      <c r="B244" t="s">
        <v>809</v>
      </c>
      <c r="C244" s="9">
        <v>45618</v>
      </c>
      <c r="D244" s="9">
        <v>45648</v>
      </c>
      <c r="E244">
        <v>3763.83</v>
      </c>
      <c r="F244" t="s">
        <v>818</v>
      </c>
      <c r="G244" t="str">
        <f>'Raw Data bck'!F244&amp;"/USD"</f>
        <v>AUD/USD</v>
      </c>
      <c r="H244" s="16">
        <v>2708.83</v>
      </c>
      <c r="I244" s="11" t="s">
        <v>820</v>
      </c>
      <c r="J244" s="13" t="str">
        <f>IF(I244="Open",H244,IF(I244="Paid",0,"N/A"))</f>
        <v>N/A</v>
      </c>
      <c r="L244" t="s">
        <v>822</v>
      </c>
    </row>
    <row r="245" spans="1:12" x14ac:dyDescent="0.35">
      <c r="A245" t="s">
        <v>252</v>
      </c>
      <c r="B245" t="s">
        <v>809</v>
      </c>
      <c r="C245" s="9">
        <v>45045</v>
      </c>
      <c r="D245" s="9">
        <v>45075</v>
      </c>
      <c r="E245">
        <v>1956.76</v>
      </c>
      <c r="F245" t="s">
        <v>815</v>
      </c>
      <c r="G245" t="str">
        <f>'Raw Data bck'!F245&amp;"/USD"</f>
        <v>CAD/USD</v>
      </c>
      <c r="H245" s="16">
        <v>1412.78</v>
      </c>
      <c r="I245" s="11" t="s">
        <v>820</v>
      </c>
      <c r="J245" s="13" t="str">
        <f>IF(I245="Open",H245,IF(I245="Paid",0,"N/A"))</f>
        <v>N/A</v>
      </c>
      <c r="L245" t="s">
        <v>822</v>
      </c>
    </row>
    <row r="246" spans="1:12" x14ac:dyDescent="0.35">
      <c r="A246" t="s">
        <v>253</v>
      </c>
      <c r="B246" t="s">
        <v>809</v>
      </c>
      <c r="C246" s="9">
        <v>45396</v>
      </c>
      <c r="D246" s="9">
        <v>45426</v>
      </c>
      <c r="E246">
        <v>4541.03</v>
      </c>
      <c r="F246" t="s">
        <v>818</v>
      </c>
      <c r="G246" t="str">
        <f>'Raw Data bck'!F246&amp;"/USD"</f>
        <v>AUD/USD</v>
      </c>
      <c r="H246" s="16">
        <v>3268.18</v>
      </c>
      <c r="I246" s="11" t="s">
        <v>820</v>
      </c>
      <c r="J246" s="13" t="str">
        <f>IF(I246="Open",H246,IF(I246="Paid",0,"N/A"))</f>
        <v>N/A</v>
      </c>
      <c r="L246" t="s">
        <v>822</v>
      </c>
    </row>
    <row r="247" spans="1:12" x14ac:dyDescent="0.35">
      <c r="A247" t="s">
        <v>254</v>
      </c>
      <c r="B247" t="s">
        <v>811</v>
      </c>
      <c r="C247" s="9">
        <v>45203</v>
      </c>
      <c r="D247" s="9">
        <v>45233</v>
      </c>
      <c r="E247">
        <v>3118.33</v>
      </c>
      <c r="F247" t="s">
        <v>817</v>
      </c>
      <c r="G247" t="str">
        <f>'Raw Data bck'!F247&amp;"/USD"</f>
        <v>USD/USD</v>
      </c>
      <c r="H247" s="16">
        <v>3118.33</v>
      </c>
      <c r="I247" s="11" t="s">
        <v>820</v>
      </c>
      <c r="J247" s="13" t="str">
        <f>IF(I247="Open",H247,IF(I247="Paid",0,"N/A"))</f>
        <v>N/A</v>
      </c>
      <c r="L247" t="s">
        <v>822</v>
      </c>
    </row>
    <row r="248" spans="1:12" x14ac:dyDescent="0.35">
      <c r="A248" t="s">
        <v>255</v>
      </c>
      <c r="B248" t="s">
        <v>811</v>
      </c>
      <c r="C248" s="9">
        <v>45503</v>
      </c>
      <c r="D248" s="9">
        <v>45533</v>
      </c>
      <c r="E248">
        <v>4825.22</v>
      </c>
      <c r="F248" t="s">
        <v>815</v>
      </c>
      <c r="G248" t="str">
        <f>'Raw Data bck'!F248&amp;"/USD"</f>
        <v>CAD/USD</v>
      </c>
      <c r="H248" s="15">
        <v>3483.81</v>
      </c>
      <c r="I248" s="11" t="s">
        <v>821</v>
      </c>
      <c r="J248" s="13">
        <f>IF(I248="Open",H248,IF(I248="Paid",0,"N/A"))</f>
        <v>0</v>
      </c>
      <c r="K248" s="4">
        <v>45533</v>
      </c>
      <c r="L248" t="s">
        <v>822</v>
      </c>
    </row>
    <row r="249" spans="1:12" x14ac:dyDescent="0.35">
      <c r="A249" t="s">
        <v>256</v>
      </c>
      <c r="B249" t="s">
        <v>813</v>
      </c>
      <c r="C249" s="9">
        <v>45712</v>
      </c>
      <c r="D249" s="9">
        <v>45742</v>
      </c>
      <c r="E249">
        <v>3534.62</v>
      </c>
      <c r="F249" t="s">
        <v>818</v>
      </c>
      <c r="G249" t="str">
        <f>'Raw Data bck'!F249&amp;"/USD"</f>
        <v>AUD/USD</v>
      </c>
      <c r="H249" s="16">
        <v>2543.87</v>
      </c>
      <c r="I249" s="11" t="s">
        <v>820</v>
      </c>
      <c r="J249" s="13" t="str">
        <f>IF(I249="Open",H249,IF(I249="Paid",0,"N/A"))</f>
        <v>N/A</v>
      </c>
      <c r="L249" t="s">
        <v>822</v>
      </c>
    </row>
    <row r="250" spans="1:12" x14ac:dyDescent="0.35">
      <c r="A250" t="s">
        <v>257</v>
      </c>
      <c r="B250" t="s">
        <v>811</v>
      </c>
      <c r="C250" s="9">
        <v>45075</v>
      </c>
      <c r="D250" s="9">
        <v>45105</v>
      </c>
      <c r="E250">
        <v>2784.2</v>
      </c>
      <c r="F250" t="s">
        <v>816</v>
      </c>
      <c r="G250" t="str">
        <f>'Raw Data bck'!F250&amp;"/USD"</f>
        <v>GBP/USD</v>
      </c>
      <c r="H250" s="15">
        <v>3783.17</v>
      </c>
      <c r="I250" s="11" t="s">
        <v>821</v>
      </c>
      <c r="J250" s="13">
        <f>IF(I250="Open",H250,IF(I250="Paid",0,"N/A"))</f>
        <v>0</v>
      </c>
      <c r="K250" s="4">
        <v>45105</v>
      </c>
      <c r="L250" t="s">
        <v>822</v>
      </c>
    </row>
    <row r="251" spans="1:12" x14ac:dyDescent="0.35">
      <c r="A251" t="s">
        <v>258</v>
      </c>
      <c r="B251" t="s">
        <v>810</v>
      </c>
      <c r="C251" s="9">
        <v>45792</v>
      </c>
      <c r="D251" s="9">
        <v>45822</v>
      </c>
      <c r="E251">
        <v>4703.79</v>
      </c>
      <c r="F251" t="s">
        <v>818</v>
      </c>
      <c r="G251" t="str">
        <f>'Raw Data bck'!F251&amp;"/USD"</f>
        <v>AUD/USD</v>
      </c>
      <c r="H251" s="15">
        <v>3385.32</v>
      </c>
      <c r="I251" s="11" t="s">
        <v>819</v>
      </c>
      <c r="J251" s="13">
        <f>IF(I251="Open",H251,IF(I251="Paid",0,"N/A"))</f>
        <v>3385.32</v>
      </c>
      <c r="L251" t="s">
        <v>822</v>
      </c>
    </row>
    <row r="252" spans="1:12" x14ac:dyDescent="0.35">
      <c r="A252" t="s">
        <v>259</v>
      </c>
      <c r="B252" t="s">
        <v>813</v>
      </c>
      <c r="C252" s="9">
        <v>45423</v>
      </c>
      <c r="D252" s="9">
        <v>45453</v>
      </c>
      <c r="E252">
        <v>3586.26</v>
      </c>
      <c r="F252" t="s">
        <v>818</v>
      </c>
      <c r="G252" t="str">
        <f>'Raw Data bck'!F252&amp;"/USD"</f>
        <v>AUD/USD</v>
      </c>
      <c r="H252" s="15">
        <v>2581.0300000000002</v>
      </c>
      <c r="I252" s="11" t="s">
        <v>819</v>
      </c>
      <c r="J252" s="13">
        <f>IF(I252="Open",H252,IF(I252="Paid",0,"N/A"))</f>
        <v>2581.0300000000002</v>
      </c>
      <c r="L252" t="s">
        <v>822</v>
      </c>
    </row>
    <row r="253" spans="1:12" x14ac:dyDescent="0.35">
      <c r="A253" t="s">
        <v>260</v>
      </c>
      <c r="B253" t="s">
        <v>809</v>
      </c>
      <c r="C253" s="9">
        <v>45373</v>
      </c>
      <c r="D253" s="9">
        <v>45403</v>
      </c>
      <c r="E253">
        <v>2609.4499999999998</v>
      </c>
      <c r="F253" t="s">
        <v>817</v>
      </c>
      <c r="G253" t="str">
        <f>'Raw Data bck'!F253&amp;"/USD"</f>
        <v>USD/USD</v>
      </c>
      <c r="H253" s="15">
        <v>2609.4499999999998</v>
      </c>
      <c r="I253" s="11" t="s">
        <v>821</v>
      </c>
      <c r="J253" s="13">
        <f>IF(I253="Open",H253,IF(I253="Paid",0,"N/A"))</f>
        <v>0</v>
      </c>
      <c r="K253" s="4">
        <v>45403</v>
      </c>
      <c r="L253" t="s">
        <v>822</v>
      </c>
    </row>
    <row r="254" spans="1:12" x14ac:dyDescent="0.35">
      <c r="A254" t="s">
        <v>261</v>
      </c>
      <c r="B254" t="s">
        <v>809</v>
      </c>
      <c r="C254" s="9">
        <v>44999</v>
      </c>
      <c r="D254" s="9">
        <v>45029</v>
      </c>
      <c r="E254">
        <v>527.17999999999995</v>
      </c>
      <c r="F254" t="s">
        <v>816</v>
      </c>
      <c r="G254" t="str">
        <f>'Raw Data bck'!F254&amp;"/USD"</f>
        <v>GBP/USD</v>
      </c>
      <c r="H254" s="15">
        <v>716.33</v>
      </c>
      <c r="I254" s="11" t="s">
        <v>821</v>
      </c>
      <c r="J254" s="13">
        <f>IF(I254="Open",H254,IF(I254="Paid",0,"N/A"))</f>
        <v>0</v>
      </c>
      <c r="K254" s="4">
        <v>45029</v>
      </c>
      <c r="L254" t="s">
        <v>822</v>
      </c>
    </row>
    <row r="255" spans="1:12" x14ac:dyDescent="0.35">
      <c r="A255" t="s">
        <v>262</v>
      </c>
      <c r="B255" t="s">
        <v>812</v>
      </c>
      <c r="C255" s="9">
        <v>45086</v>
      </c>
      <c r="D255" s="9">
        <v>45116</v>
      </c>
      <c r="E255">
        <v>3705.03</v>
      </c>
      <c r="F255" t="s">
        <v>818</v>
      </c>
      <c r="G255" t="str">
        <f>'Raw Data bck'!F255&amp;"/USD"</f>
        <v>AUD/USD</v>
      </c>
      <c r="H255" s="16">
        <v>2666.51</v>
      </c>
      <c r="I255" s="11" t="s">
        <v>820</v>
      </c>
      <c r="J255" s="13" t="str">
        <f>IF(I255="Open",H255,IF(I255="Paid",0,"N/A"))</f>
        <v>N/A</v>
      </c>
      <c r="L255" t="s">
        <v>822</v>
      </c>
    </row>
    <row r="256" spans="1:12" x14ac:dyDescent="0.35">
      <c r="A256" t="s">
        <v>263</v>
      </c>
      <c r="B256" t="s">
        <v>809</v>
      </c>
      <c r="C256" s="9">
        <v>45440</v>
      </c>
      <c r="D256" s="9">
        <v>45470</v>
      </c>
      <c r="E256">
        <v>1274.56</v>
      </c>
      <c r="F256" t="s">
        <v>818</v>
      </c>
      <c r="G256" t="str">
        <f>'Raw Data bck'!F256&amp;"/USD"</f>
        <v>AUD/USD</v>
      </c>
      <c r="H256" s="15">
        <v>917.3</v>
      </c>
      <c r="I256" s="11" t="s">
        <v>819</v>
      </c>
      <c r="J256" s="13">
        <f>IF(I256="Open",H256,IF(I256="Paid",0,"N/A"))</f>
        <v>917.3</v>
      </c>
      <c r="L256" t="s">
        <v>822</v>
      </c>
    </row>
    <row r="257" spans="1:12" x14ac:dyDescent="0.35">
      <c r="A257" t="s">
        <v>264</v>
      </c>
      <c r="B257" t="s">
        <v>810</v>
      </c>
      <c r="C257" s="9">
        <v>45815</v>
      </c>
      <c r="D257" s="9">
        <v>45845</v>
      </c>
      <c r="E257">
        <v>928.12</v>
      </c>
      <c r="F257" t="s">
        <v>814</v>
      </c>
      <c r="G257" t="str">
        <f>'Raw Data bck'!F257&amp;"/USD"</f>
        <v>EUR/USD</v>
      </c>
      <c r="H257" s="15">
        <v>1080.7</v>
      </c>
      <c r="I257" s="11" t="s">
        <v>821</v>
      </c>
      <c r="J257" s="13">
        <f>IF(I257="Open",H257,IF(I257="Paid",0,"N/A"))</f>
        <v>0</v>
      </c>
      <c r="K257" s="4">
        <v>45845</v>
      </c>
      <c r="L257" t="s">
        <v>822</v>
      </c>
    </row>
    <row r="258" spans="1:12" x14ac:dyDescent="0.35">
      <c r="A258" t="s">
        <v>265</v>
      </c>
      <c r="B258" t="s">
        <v>813</v>
      </c>
      <c r="C258" s="9">
        <v>45695</v>
      </c>
      <c r="D258" s="9">
        <v>45725</v>
      </c>
      <c r="E258">
        <v>3380.41</v>
      </c>
      <c r="F258" t="s">
        <v>816</v>
      </c>
      <c r="G258" t="str">
        <f>'Raw Data bck'!F258&amp;"/USD"</f>
        <v>GBP/USD</v>
      </c>
      <c r="H258" s="16">
        <v>4593.3</v>
      </c>
      <c r="I258" s="11" t="s">
        <v>820</v>
      </c>
      <c r="J258" s="13" t="str">
        <f>IF(I258="Open",H258,IF(I258="Paid",0,"N/A"))</f>
        <v>N/A</v>
      </c>
      <c r="L258" t="s">
        <v>822</v>
      </c>
    </row>
    <row r="259" spans="1:12" x14ac:dyDescent="0.35">
      <c r="A259" t="s">
        <v>266</v>
      </c>
      <c r="B259" t="s">
        <v>813</v>
      </c>
      <c r="C259" s="9">
        <v>44949</v>
      </c>
      <c r="D259" s="9">
        <v>44979</v>
      </c>
      <c r="E259">
        <v>489.13</v>
      </c>
      <c r="F259" t="s">
        <v>814</v>
      </c>
      <c r="G259" t="str">
        <f>'Raw Data bck'!F259&amp;"/USD"</f>
        <v>EUR/USD</v>
      </c>
      <c r="H259" s="15">
        <v>569.54</v>
      </c>
      <c r="I259" s="11" t="s">
        <v>819</v>
      </c>
      <c r="J259" s="13">
        <f>IF(I259="Open",H259,IF(I259="Paid",0,"N/A"))</f>
        <v>569.54</v>
      </c>
      <c r="L259" t="s">
        <v>822</v>
      </c>
    </row>
    <row r="260" spans="1:12" x14ac:dyDescent="0.35">
      <c r="A260" t="s">
        <v>267</v>
      </c>
      <c r="B260" t="s">
        <v>810</v>
      </c>
      <c r="C260" s="9">
        <v>45237</v>
      </c>
      <c r="D260" s="9">
        <v>45267</v>
      </c>
      <c r="E260">
        <v>2309.52</v>
      </c>
      <c r="F260" t="s">
        <v>817</v>
      </c>
      <c r="G260" t="str">
        <f>'Raw Data bck'!F260&amp;"/USD"</f>
        <v>USD/USD</v>
      </c>
      <c r="H260" s="16">
        <v>2309.52</v>
      </c>
      <c r="I260" s="11" t="s">
        <v>820</v>
      </c>
      <c r="J260" s="13" t="str">
        <f>IF(I260="Open",H260,IF(I260="Paid",0,"N/A"))</f>
        <v>N/A</v>
      </c>
      <c r="L260" t="s">
        <v>822</v>
      </c>
    </row>
    <row r="261" spans="1:12" x14ac:dyDescent="0.35">
      <c r="A261" t="s">
        <v>268</v>
      </c>
      <c r="B261" t="s">
        <v>809</v>
      </c>
      <c r="C261" s="9">
        <v>45166</v>
      </c>
      <c r="D261" s="9">
        <v>45196</v>
      </c>
      <c r="E261">
        <v>2555.11</v>
      </c>
      <c r="F261" t="s">
        <v>815</v>
      </c>
      <c r="G261" t="str">
        <f>'Raw Data bck'!F261&amp;"/USD"</f>
        <v>CAD/USD</v>
      </c>
      <c r="H261" s="15">
        <v>1844.79</v>
      </c>
      <c r="I261" s="11" t="s">
        <v>819</v>
      </c>
      <c r="J261" s="13">
        <f>IF(I261="Open",H261,IF(I261="Paid",0,"N/A"))</f>
        <v>1844.79</v>
      </c>
      <c r="L261" t="s">
        <v>822</v>
      </c>
    </row>
    <row r="262" spans="1:12" x14ac:dyDescent="0.35">
      <c r="A262" t="s">
        <v>269</v>
      </c>
      <c r="B262" t="s">
        <v>811</v>
      </c>
      <c r="C262" s="9">
        <v>45373</v>
      </c>
      <c r="D262" s="9">
        <v>45403</v>
      </c>
      <c r="E262">
        <v>3084.27</v>
      </c>
      <c r="F262" t="s">
        <v>817</v>
      </c>
      <c r="G262" t="str">
        <f>'Raw Data bck'!F262&amp;"/USD"</f>
        <v>USD/USD</v>
      </c>
      <c r="H262" s="15">
        <v>3084.27</v>
      </c>
      <c r="I262" s="11" t="s">
        <v>821</v>
      </c>
      <c r="J262" s="13">
        <f>IF(I262="Open",H262,IF(I262="Paid",0,"N/A"))</f>
        <v>0</v>
      </c>
      <c r="K262" s="4">
        <v>45403</v>
      </c>
      <c r="L262" t="s">
        <v>822</v>
      </c>
    </row>
    <row r="263" spans="1:12" x14ac:dyDescent="0.35">
      <c r="A263" t="s">
        <v>270</v>
      </c>
      <c r="B263" t="s">
        <v>809</v>
      </c>
      <c r="C263" s="9">
        <v>45693</v>
      </c>
      <c r="D263" s="9">
        <v>45723</v>
      </c>
      <c r="E263">
        <v>2226.56</v>
      </c>
      <c r="F263" t="s">
        <v>814</v>
      </c>
      <c r="G263" t="str">
        <f>'Raw Data bck'!F263&amp;"/USD"</f>
        <v>EUR/USD</v>
      </c>
      <c r="H263" s="15">
        <v>2592.61</v>
      </c>
      <c r="I263" s="11" t="s">
        <v>821</v>
      </c>
      <c r="J263" s="13">
        <f>IF(I263="Open",H263,IF(I263="Paid",0,"N/A"))</f>
        <v>0</v>
      </c>
      <c r="K263" s="4">
        <v>45723</v>
      </c>
      <c r="L263" t="s">
        <v>822</v>
      </c>
    </row>
    <row r="264" spans="1:12" x14ac:dyDescent="0.35">
      <c r="A264" t="s">
        <v>271</v>
      </c>
      <c r="B264" t="s">
        <v>812</v>
      </c>
      <c r="C264" s="9">
        <v>45316</v>
      </c>
      <c r="D264" s="9">
        <v>45346</v>
      </c>
      <c r="E264">
        <v>1081.44</v>
      </c>
      <c r="F264" t="s">
        <v>818</v>
      </c>
      <c r="G264" t="str">
        <f>'Raw Data bck'!F264&amp;"/USD"</f>
        <v>AUD/USD</v>
      </c>
      <c r="H264" s="15">
        <v>778.31</v>
      </c>
      <c r="I264" s="11" t="s">
        <v>821</v>
      </c>
      <c r="J264" s="13">
        <f>IF(I264="Open",H264,IF(I264="Paid",0,"N/A"))</f>
        <v>0</v>
      </c>
      <c r="K264" s="4">
        <v>45346</v>
      </c>
      <c r="L264" t="s">
        <v>822</v>
      </c>
    </row>
    <row r="265" spans="1:12" x14ac:dyDescent="0.35">
      <c r="A265" t="s">
        <v>272</v>
      </c>
      <c r="B265" t="s">
        <v>811</v>
      </c>
      <c r="C265" s="9">
        <v>45089</v>
      </c>
      <c r="D265" s="9">
        <v>45119</v>
      </c>
      <c r="E265">
        <v>985.69</v>
      </c>
      <c r="F265" t="s">
        <v>817</v>
      </c>
      <c r="G265" t="str">
        <f>'Raw Data bck'!F265&amp;"/USD"</f>
        <v>USD/USD</v>
      </c>
      <c r="H265" s="16">
        <v>985.69</v>
      </c>
      <c r="I265" s="11" t="s">
        <v>820</v>
      </c>
      <c r="J265" s="13" t="str">
        <f>IF(I265="Open",H265,IF(I265="Paid",0,"N/A"))</f>
        <v>N/A</v>
      </c>
      <c r="L265" t="s">
        <v>822</v>
      </c>
    </row>
    <row r="266" spans="1:12" x14ac:dyDescent="0.35">
      <c r="A266" t="s">
        <v>273</v>
      </c>
      <c r="B266" t="s">
        <v>809</v>
      </c>
      <c r="C266" s="9">
        <v>45792</v>
      </c>
      <c r="D266" s="9">
        <v>45822</v>
      </c>
      <c r="E266">
        <v>4502.04</v>
      </c>
      <c r="F266" t="s">
        <v>815</v>
      </c>
      <c r="G266" t="str">
        <f>'Raw Data bck'!F266&amp;"/USD"</f>
        <v>CAD/USD</v>
      </c>
      <c r="H266" s="16">
        <v>3250.47</v>
      </c>
      <c r="I266" s="11" t="s">
        <v>820</v>
      </c>
      <c r="J266" s="13" t="str">
        <f>IF(I266="Open",H266,IF(I266="Paid",0,"N/A"))</f>
        <v>N/A</v>
      </c>
      <c r="L266" t="s">
        <v>822</v>
      </c>
    </row>
    <row r="267" spans="1:12" x14ac:dyDescent="0.35">
      <c r="A267" t="s">
        <v>274</v>
      </c>
      <c r="B267" t="s">
        <v>813</v>
      </c>
      <c r="C267" s="9">
        <v>45686</v>
      </c>
      <c r="D267" s="9">
        <v>45716</v>
      </c>
      <c r="E267">
        <v>1415.18</v>
      </c>
      <c r="F267" t="s">
        <v>816</v>
      </c>
      <c r="G267" t="str">
        <f>'Raw Data bck'!F267&amp;"/USD"</f>
        <v>GBP/USD</v>
      </c>
      <c r="H267" s="16">
        <v>1922.95</v>
      </c>
      <c r="I267" s="11" t="s">
        <v>820</v>
      </c>
      <c r="J267" s="13" t="str">
        <f>IF(I267="Open",H267,IF(I267="Paid",0,"N/A"))</f>
        <v>N/A</v>
      </c>
      <c r="L267" t="s">
        <v>822</v>
      </c>
    </row>
    <row r="268" spans="1:12" x14ac:dyDescent="0.35">
      <c r="A268" t="s">
        <v>275</v>
      </c>
      <c r="B268" t="s">
        <v>812</v>
      </c>
      <c r="C268" s="9">
        <v>45209</v>
      </c>
      <c r="D268" s="9">
        <v>45239</v>
      </c>
      <c r="E268">
        <v>3176.41</v>
      </c>
      <c r="F268" t="s">
        <v>814</v>
      </c>
      <c r="G268" t="str">
        <f>'Raw Data bck'!F268&amp;"/USD"</f>
        <v>EUR/USD</v>
      </c>
      <c r="H268" s="15">
        <v>3698.61</v>
      </c>
      <c r="I268" s="11" t="s">
        <v>819</v>
      </c>
      <c r="J268" s="13">
        <f>IF(I268="Open",H268,IF(I268="Paid",0,"N/A"))</f>
        <v>3698.61</v>
      </c>
      <c r="L268" t="s">
        <v>822</v>
      </c>
    </row>
    <row r="269" spans="1:12" x14ac:dyDescent="0.35">
      <c r="A269" t="s">
        <v>276</v>
      </c>
      <c r="B269" t="s">
        <v>811</v>
      </c>
      <c r="C269" s="9">
        <v>45094</v>
      </c>
      <c r="D269" s="9">
        <v>45124</v>
      </c>
      <c r="E269">
        <v>4887.26</v>
      </c>
      <c r="F269" t="s">
        <v>817</v>
      </c>
      <c r="G269" t="str">
        <f>'Raw Data bck'!F269&amp;"/USD"</f>
        <v>USD/USD</v>
      </c>
      <c r="H269" s="15">
        <v>4887.26</v>
      </c>
      <c r="I269" s="11" t="s">
        <v>819</v>
      </c>
      <c r="J269" s="13">
        <f>IF(I269="Open",H269,IF(I269="Paid",0,"N/A"))</f>
        <v>4887.26</v>
      </c>
      <c r="L269" t="s">
        <v>822</v>
      </c>
    </row>
    <row r="270" spans="1:12" x14ac:dyDescent="0.35">
      <c r="A270" t="s">
        <v>277</v>
      </c>
      <c r="B270" t="s">
        <v>812</v>
      </c>
      <c r="C270" s="9">
        <v>45545</v>
      </c>
      <c r="D270" s="9">
        <v>45575</v>
      </c>
      <c r="E270">
        <v>3883.76</v>
      </c>
      <c r="F270" t="s">
        <v>816</v>
      </c>
      <c r="G270" t="str">
        <f>'Raw Data bck'!F270&amp;"/USD"</f>
        <v>GBP/USD</v>
      </c>
      <c r="H270" s="16">
        <v>5277.25</v>
      </c>
      <c r="I270" s="11" t="s">
        <v>820</v>
      </c>
      <c r="J270" s="13" t="str">
        <f>IF(I270="Open",H270,IF(I270="Paid",0,"N/A"))</f>
        <v>N/A</v>
      </c>
      <c r="L270" t="s">
        <v>822</v>
      </c>
    </row>
    <row r="271" spans="1:12" x14ac:dyDescent="0.35">
      <c r="A271" t="s">
        <v>278</v>
      </c>
      <c r="B271" t="s">
        <v>812</v>
      </c>
      <c r="C271" s="9">
        <v>45820</v>
      </c>
      <c r="D271" s="9">
        <v>45850</v>
      </c>
      <c r="E271">
        <v>1284.06</v>
      </c>
      <c r="F271" t="s">
        <v>815</v>
      </c>
      <c r="G271" t="str">
        <f>'Raw Data bck'!F271&amp;"/USD"</f>
        <v>CAD/USD</v>
      </c>
      <c r="H271" s="15">
        <v>927.09</v>
      </c>
      <c r="I271" s="11" t="s">
        <v>819</v>
      </c>
      <c r="J271" s="13">
        <f>IF(I271="Open",H271,IF(I271="Paid",0,"N/A"))</f>
        <v>927.09</v>
      </c>
      <c r="L271" t="s">
        <v>822</v>
      </c>
    </row>
    <row r="272" spans="1:12" x14ac:dyDescent="0.35">
      <c r="A272" t="s">
        <v>279</v>
      </c>
      <c r="B272" t="s">
        <v>812</v>
      </c>
      <c r="C272" s="9">
        <v>45834</v>
      </c>
      <c r="D272" s="9">
        <v>45864</v>
      </c>
      <c r="E272">
        <v>4305.1899999999996</v>
      </c>
      <c r="F272" t="s">
        <v>816</v>
      </c>
      <c r="G272" t="str">
        <f>'Raw Data bck'!F272&amp;"/USD"</f>
        <v>GBP/USD</v>
      </c>
      <c r="H272" s="15">
        <v>5849.89</v>
      </c>
      <c r="I272" s="11" t="s">
        <v>821</v>
      </c>
      <c r="J272" s="13">
        <f>IF(I272="Open",H272,IF(I272="Paid",0,"N/A"))</f>
        <v>0</v>
      </c>
      <c r="K272" s="4">
        <v>45864</v>
      </c>
      <c r="L272" t="s">
        <v>822</v>
      </c>
    </row>
    <row r="273" spans="1:12" x14ac:dyDescent="0.35">
      <c r="A273" t="s">
        <v>280</v>
      </c>
      <c r="B273" t="s">
        <v>812</v>
      </c>
      <c r="C273" s="9">
        <v>45242</v>
      </c>
      <c r="D273" s="9">
        <v>45272</v>
      </c>
      <c r="E273">
        <v>1810.33</v>
      </c>
      <c r="F273" t="s">
        <v>818</v>
      </c>
      <c r="G273" t="str">
        <f>'Raw Data bck'!F273&amp;"/USD"</f>
        <v>AUD/USD</v>
      </c>
      <c r="H273" s="15">
        <v>1302.8900000000001</v>
      </c>
      <c r="I273" s="11" t="s">
        <v>819</v>
      </c>
      <c r="J273" s="13">
        <f>IF(I273="Open",H273,IF(I273="Paid",0,"N/A"))</f>
        <v>1302.8900000000001</v>
      </c>
      <c r="L273" t="s">
        <v>822</v>
      </c>
    </row>
    <row r="274" spans="1:12" x14ac:dyDescent="0.35">
      <c r="A274" t="s">
        <v>281</v>
      </c>
      <c r="B274" t="s">
        <v>809</v>
      </c>
      <c r="C274" s="9">
        <v>45373</v>
      </c>
      <c r="D274" s="9">
        <v>45403</v>
      </c>
      <c r="E274">
        <v>3741.63</v>
      </c>
      <c r="F274" t="s">
        <v>814</v>
      </c>
      <c r="G274" t="str">
        <f>'Raw Data bck'!F274&amp;"/USD"</f>
        <v>EUR/USD</v>
      </c>
      <c r="H274" s="15">
        <v>4356.75</v>
      </c>
      <c r="I274" s="11" t="s">
        <v>819</v>
      </c>
      <c r="J274" s="13">
        <f>IF(I274="Open",H274,IF(I274="Paid",0,"N/A"))</f>
        <v>4356.75</v>
      </c>
      <c r="L274" t="s">
        <v>822</v>
      </c>
    </row>
    <row r="275" spans="1:12" x14ac:dyDescent="0.35">
      <c r="A275" t="s">
        <v>282</v>
      </c>
      <c r="B275" t="s">
        <v>810</v>
      </c>
      <c r="C275" s="9">
        <v>45322</v>
      </c>
      <c r="D275" s="9">
        <v>45352</v>
      </c>
      <c r="E275">
        <v>2037.12</v>
      </c>
      <c r="F275" t="s">
        <v>818</v>
      </c>
      <c r="G275" t="str">
        <f>'Raw Data bck'!F275&amp;"/USD"</f>
        <v>AUD/USD</v>
      </c>
      <c r="H275" s="15">
        <v>1466.12</v>
      </c>
      <c r="I275" s="11" t="s">
        <v>821</v>
      </c>
      <c r="J275" s="13">
        <f>IF(I275="Open",H275,IF(I275="Paid",0,"N/A"))</f>
        <v>0</v>
      </c>
      <c r="K275" s="4">
        <v>45352</v>
      </c>
      <c r="L275" t="s">
        <v>822</v>
      </c>
    </row>
    <row r="276" spans="1:12" x14ac:dyDescent="0.35">
      <c r="A276" t="s">
        <v>283</v>
      </c>
      <c r="B276" t="s">
        <v>810</v>
      </c>
      <c r="C276" s="9">
        <v>45332</v>
      </c>
      <c r="D276" s="9">
        <v>45362</v>
      </c>
      <c r="E276">
        <v>970.98</v>
      </c>
      <c r="F276" t="s">
        <v>817</v>
      </c>
      <c r="G276" t="str">
        <f>'Raw Data bck'!F276&amp;"/USD"</f>
        <v>USD/USD</v>
      </c>
      <c r="H276" s="15">
        <v>970.98</v>
      </c>
      <c r="I276" s="11" t="s">
        <v>819</v>
      </c>
      <c r="J276" s="13">
        <f>IF(I276="Open",H276,IF(I276="Paid",0,"N/A"))</f>
        <v>970.98</v>
      </c>
      <c r="L276" t="s">
        <v>822</v>
      </c>
    </row>
    <row r="277" spans="1:12" x14ac:dyDescent="0.35">
      <c r="A277" t="s">
        <v>284</v>
      </c>
      <c r="B277" t="s">
        <v>812</v>
      </c>
      <c r="C277" s="9">
        <v>44997</v>
      </c>
      <c r="D277" s="9">
        <v>45027</v>
      </c>
      <c r="E277">
        <v>743.53</v>
      </c>
      <c r="F277" t="s">
        <v>818</v>
      </c>
      <c r="G277" t="str">
        <f>'Raw Data bck'!F277&amp;"/USD"</f>
        <v>AUD/USD</v>
      </c>
      <c r="H277" s="15">
        <v>535.12</v>
      </c>
      <c r="I277" s="11" t="s">
        <v>821</v>
      </c>
      <c r="J277" s="13">
        <f>IF(I277="Open",H277,IF(I277="Paid",0,"N/A"))</f>
        <v>0</v>
      </c>
      <c r="K277" s="4">
        <v>45027</v>
      </c>
      <c r="L277" t="s">
        <v>822</v>
      </c>
    </row>
    <row r="278" spans="1:12" x14ac:dyDescent="0.35">
      <c r="A278" t="s">
        <v>285</v>
      </c>
      <c r="B278" t="s">
        <v>811</v>
      </c>
      <c r="C278" s="9">
        <v>45478</v>
      </c>
      <c r="D278" s="9">
        <v>45508</v>
      </c>
      <c r="E278">
        <v>983.96</v>
      </c>
      <c r="F278" t="s">
        <v>816</v>
      </c>
      <c r="G278" t="str">
        <f>'Raw Data bck'!F278&amp;"/USD"</f>
        <v>GBP/USD</v>
      </c>
      <c r="H278" s="15">
        <v>1337</v>
      </c>
      <c r="I278" s="11" t="s">
        <v>819</v>
      </c>
      <c r="J278" s="13">
        <f>IF(I278="Open",H278,IF(I278="Paid",0,"N/A"))</f>
        <v>1337</v>
      </c>
      <c r="L278" t="s">
        <v>822</v>
      </c>
    </row>
    <row r="279" spans="1:12" x14ac:dyDescent="0.35">
      <c r="A279" t="s">
        <v>286</v>
      </c>
      <c r="B279" t="s">
        <v>811</v>
      </c>
      <c r="C279" s="9">
        <v>45513</v>
      </c>
      <c r="D279" s="9">
        <v>45543</v>
      </c>
      <c r="E279">
        <v>1917.71</v>
      </c>
      <c r="F279" t="s">
        <v>816</v>
      </c>
      <c r="G279" t="str">
        <f>'Raw Data bck'!F279&amp;"/USD"</f>
        <v>GBP/USD</v>
      </c>
      <c r="H279" s="15">
        <v>2605.7800000000002</v>
      </c>
      <c r="I279" s="11" t="s">
        <v>819</v>
      </c>
      <c r="J279" s="13">
        <f>IF(I279="Open",H279,IF(I279="Paid",0,"N/A"))</f>
        <v>2605.7800000000002</v>
      </c>
      <c r="L279" t="s">
        <v>822</v>
      </c>
    </row>
    <row r="280" spans="1:12" x14ac:dyDescent="0.35">
      <c r="A280" t="s">
        <v>287</v>
      </c>
      <c r="B280" t="s">
        <v>809</v>
      </c>
      <c r="C280" s="9">
        <v>45487</v>
      </c>
      <c r="D280" s="9">
        <v>45517</v>
      </c>
      <c r="E280">
        <v>1199.03</v>
      </c>
      <c r="F280" t="s">
        <v>817</v>
      </c>
      <c r="G280" t="str">
        <f>'Raw Data bck'!F280&amp;"/USD"</f>
        <v>USD/USD</v>
      </c>
      <c r="H280" s="16">
        <v>1199.03</v>
      </c>
      <c r="I280" s="11" t="s">
        <v>820</v>
      </c>
      <c r="J280" s="13" t="str">
        <f>IF(I280="Open",H280,IF(I280="Paid",0,"N/A"))</f>
        <v>N/A</v>
      </c>
      <c r="L280" t="s">
        <v>822</v>
      </c>
    </row>
    <row r="281" spans="1:12" x14ac:dyDescent="0.35">
      <c r="A281" t="s">
        <v>288</v>
      </c>
      <c r="B281" t="s">
        <v>811</v>
      </c>
      <c r="C281" s="9">
        <v>45057</v>
      </c>
      <c r="D281" s="9">
        <v>45087</v>
      </c>
      <c r="E281">
        <v>317.85000000000002</v>
      </c>
      <c r="F281" t="s">
        <v>817</v>
      </c>
      <c r="G281" t="str">
        <f>'Raw Data bck'!F281&amp;"/USD"</f>
        <v>USD/USD</v>
      </c>
      <c r="H281" s="15">
        <v>317.85000000000002</v>
      </c>
      <c r="I281" s="11" t="s">
        <v>821</v>
      </c>
      <c r="J281" s="13">
        <f>IF(I281="Open",H281,IF(I281="Paid",0,"N/A"))</f>
        <v>0</v>
      </c>
      <c r="K281" s="4">
        <v>45087</v>
      </c>
      <c r="L281" t="s">
        <v>822</v>
      </c>
    </row>
    <row r="282" spans="1:12" x14ac:dyDescent="0.35">
      <c r="A282" t="s">
        <v>289</v>
      </c>
      <c r="B282" t="s">
        <v>810</v>
      </c>
      <c r="C282" s="9">
        <v>45753</v>
      </c>
      <c r="D282" s="9">
        <v>45783</v>
      </c>
      <c r="E282">
        <v>4556.93</v>
      </c>
      <c r="F282" t="s">
        <v>814</v>
      </c>
      <c r="G282" t="str">
        <f>'Raw Data bck'!F282&amp;"/USD"</f>
        <v>EUR/USD</v>
      </c>
      <c r="H282" s="16">
        <v>5306.09</v>
      </c>
      <c r="I282" s="11" t="s">
        <v>820</v>
      </c>
      <c r="J282" s="13" t="str">
        <f>IF(I282="Open",H282,IF(I282="Paid",0,"N/A"))</f>
        <v>N/A</v>
      </c>
      <c r="L282" t="s">
        <v>822</v>
      </c>
    </row>
    <row r="283" spans="1:12" x14ac:dyDescent="0.35">
      <c r="A283" t="s">
        <v>290</v>
      </c>
      <c r="B283" t="s">
        <v>809</v>
      </c>
      <c r="C283" s="9">
        <v>45606</v>
      </c>
      <c r="D283" s="9">
        <v>45636</v>
      </c>
      <c r="E283">
        <v>1600.22</v>
      </c>
      <c r="F283" t="s">
        <v>816</v>
      </c>
      <c r="G283" t="str">
        <f>'Raw Data bck'!F283&amp;"/USD"</f>
        <v>GBP/USD</v>
      </c>
      <c r="H283" s="15">
        <v>2174.38</v>
      </c>
      <c r="I283" s="11" t="s">
        <v>819</v>
      </c>
      <c r="J283" s="13">
        <f>IF(I283="Open",H283,IF(I283="Paid",0,"N/A"))</f>
        <v>2174.38</v>
      </c>
      <c r="L283" t="s">
        <v>822</v>
      </c>
    </row>
    <row r="284" spans="1:12" x14ac:dyDescent="0.35">
      <c r="A284" t="s">
        <v>291</v>
      </c>
      <c r="B284" t="s">
        <v>810</v>
      </c>
      <c r="C284" s="9">
        <v>44974</v>
      </c>
      <c r="D284" s="9">
        <v>45004</v>
      </c>
      <c r="E284">
        <v>2011.23</v>
      </c>
      <c r="F284" t="s">
        <v>816</v>
      </c>
      <c r="G284" t="str">
        <f>'Raw Data bck'!F284&amp;"/USD"</f>
        <v>GBP/USD</v>
      </c>
      <c r="H284" s="15">
        <v>2732.86</v>
      </c>
      <c r="I284" s="11" t="s">
        <v>819</v>
      </c>
      <c r="J284" s="13">
        <f>IF(I284="Open",H284,IF(I284="Paid",0,"N/A"))</f>
        <v>2732.86</v>
      </c>
      <c r="L284" t="s">
        <v>822</v>
      </c>
    </row>
    <row r="285" spans="1:12" x14ac:dyDescent="0.35">
      <c r="A285" t="s">
        <v>292</v>
      </c>
      <c r="B285" t="s">
        <v>810</v>
      </c>
      <c r="C285" s="9">
        <v>45581</v>
      </c>
      <c r="D285" s="9">
        <v>45611</v>
      </c>
      <c r="E285">
        <v>2093.29</v>
      </c>
      <c r="F285" t="s">
        <v>815</v>
      </c>
      <c r="G285" t="str">
        <f>'Raw Data bck'!F285&amp;"/USD"</f>
        <v>CAD/USD</v>
      </c>
      <c r="H285" s="15">
        <v>1511.36</v>
      </c>
      <c r="I285" s="11" t="s">
        <v>819</v>
      </c>
      <c r="J285" s="13">
        <f>IF(I285="Open",H285,IF(I285="Paid",0,"N/A"))</f>
        <v>1511.36</v>
      </c>
      <c r="L285" t="s">
        <v>822</v>
      </c>
    </row>
    <row r="286" spans="1:12" x14ac:dyDescent="0.35">
      <c r="A286" t="s">
        <v>293</v>
      </c>
      <c r="B286" t="s">
        <v>813</v>
      </c>
      <c r="C286" s="9">
        <v>45752</v>
      </c>
      <c r="D286" s="9">
        <v>45782</v>
      </c>
      <c r="E286">
        <v>4095</v>
      </c>
      <c r="F286" t="s">
        <v>815</v>
      </c>
      <c r="G286" t="str">
        <f>'Raw Data bck'!F286&amp;"/USD"</f>
        <v>CAD/USD</v>
      </c>
      <c r="H286" s="16">
        <v>2956.59</v>
      </c>
      <c r="I286" s="11" t="s">
        <v>820</v>
      </c>
      <c r="J286" s="13" t="str">
        <f>IF(I286="Open",H286,IF(I286="Paid",0,"N/A"))</f>
        <v>N/A</v>
      </c>
      <c r="L286" t="s">
        <v>822</v>
      </c>
    </row>
    <row r="287" spans="1:12" x14ac:dyDescent="0.35">
      <c r="A287" t="s">
        <v>294</v>
      </c>
      <c r="B287" t="s">
        <v>809</v>
      </c>
      <c r="C287" s="9">
        <v>45302</v>
      </c>
      <c r="D287" s="9">
        <v>45332</v>
      </c>
      <c r="E287">
        <v>3459.29</v>
      </c>
      <c r="F287" t="s">
        <v>816</v>
      </c>
      <c r="G287" t="str">
        <f>'Raw Data bck'!F287&amp;"/USD"</f>
        <v>GBP/USD</v>
      </c>
      <c r="H287" s="16">
        <v>4700.4799999999996</v>
      </c>
      <c r="I287" s="11" t="s">
        <v>820</v>
      </c>
      <c r="J287" s="13" t="str">
        <f>IF(I287="Open",H287,IF(I287="Paid",0,"N/A"))</f>
        <v>N/A</v>
      </c>
      <c r="L287" t="s">
        <v>822</v>
      </c>
    </row>
    <row r="288" spans="1:12" x14ac:dyDescent="0.35">
      <c r="A288" t="s">
        <v>295</v>
      </c>
      <c r="B288" t="s">
        <v>810</v>
      </c>
      <c r="C288" s="9">
        <v>45225</v>
      </c>
      <c r="D288" s="9">
        <v>45255</v>
      </c>
      <c r="E288">
        <v>310.83999999999997</v>
      </c>
      <c r="F288" t="s">
        <v>817</v>
      </c>
      <c r="G288" t="str">
        <f>'Raw Data bck'!F288&amp;"/USD"</f>
        <v>USD/USD</v>
      </c>
      <c r="H288" s="15">
        <v>310.83999999999997</v>
      </c>
      <c r="I288" s="11" t="s">
        <v>821</v>
      </c>
      <c r="J288" s="13">
        <f>IF(I288="Open",H288,IF(I288="Paid",0,"N/A"))</f>
        <v>0</v>
      </c>
      <c r="K288" s="4">
        <v>45255</v>
      </c>
      <c r="L288" t="s">
        <v>822</v>
      </c>
    </row>
    <row r="289" spans="1:12" x14ac:dyDescent="0.35">
      <c r="A289" t="s">
        <v>296</v>
      </c>
      <c r="B289" t="s">
        <v>811</v>
      </c>
      <c r="C289" s="9">
        <v>45559</v>
      </c>
      <c r="D289" s="9">
        <v>45589</v>
      </c>
      <c r="E289">
        <v>929.39</v>
      </c>
      <c r="F289" t="s">
        <v>814</v>
      </c>
      <c r="G289" t="str">
        <f>'Raw Data bck'!F289&amp;"/USD"</f>
        <v>EUR/USD</v>
      </c>
      <c r="H289" s="16">
        <v>1082.18</v>
      </c>
      <c r="I289" s="11" t="s">
        <v>820</v>
      </c>
      <c r="J289" s="13" t="str">
        <f>IF(I289="Open",H289,IF(I289="Paid",0,"N/A"))</f>
        <v>N/A</v>
      </c>
      <c r="L289" t="s">
        <v>822</v>
      </c>
    </row>
    <row r="290" spans="1:12" x14ac:dyDescent="0.35">
      <c r="A290" t="s">
        <v>297</v>
      </c>
      <c r="B290" t="s">
        <v>813</v>
      </c>
      <c r="C290" s="9">
        <v>45001</v>
      </c>
      <c r="D290" s="9">
        <v>45031</v>
      </c>
      <c r="E290">
        <v>4087.15</v>
      </c>
      <c r="F290" t="s">
        <v>817</v>
      </c>
      <c r="G290" t="str">
        <f>'Raw Data bck'!F290&amp;"/USD"</f>
        <v>USD/USD</v>
      </c>
      <c r="H290" s="15">
        <v>4087.15</v>
      </c>
      <c r="I290" s="11" t="s">
        <v>821</v>
      </c>
      <c r="J290" s="13">
        <f>IF(I290="Open",H290,IF(I290="Paid",0,"N/A"))</f>
        <v>0</v>
      </c>
      <c r="K290" s="4">
        <v>45031</v>
      </c>
      <c r="L290" t="s">
        <v>822</v>
      </c>
    </row>
    <row r="291" spans="1:12" x14ac:dyDescent="0.35">
      <c r="A291" t="s">
        <v>298</v>
      </c>
      <c r="B291" t="s">
        <v>812</v>
      </c>
      <c r="C291" s="9">
        <v>45741</v>
      </c>
      <c r="D291" s="9">
        <v>45771</v>
      </c>
      <c r="E291">
        <v>2351.0300000000002</v>
      </c>
      <c r="F291" t="s">
        <v>815</v>
      </c>
      <c r="G291" t="str">
        <f>'Raw Data bck'!F291&amp;"/USD"</f>
        <v>CAD/USD</v>
      </c>
      <c r="H291" s="15">
        <v>1697.44</v>
      </c>
      <c r="I291" s="11" t="s">
        <v>819</v>
      </c>
      <c r="J291" s="13">
        <f>IF(I291="Open",H291,IF(I291="Paid",0,"N/A"))</f>
        <v>1697.44</v>
      </c>
      <c r="L291" t="s">
        <v>822</v>
      </c>
    </row>
    <row r="292" spans="1:12" x14ac:dyDescent="0.35">
      <c r="A292" t="s">
        <v>299</v>
      </c>
      <c r="B292" t="s">
        <v>813</v>
      </c>
      <c r="C292" s="9">
        <v>45152</v>
      </c>
      <c r="D292" s="9">
        <v>45182</v>
      </c>
      <c r="E292">
        <v>4799.5</v>
      </c>
      <c r="F292" t="s">
        <v>816</v>
      </c>
      <c r="G292" t="str">
        <f>'Raw Data bck'!F292&amp;"/USD"</f>
        <v>GBP/USD</v>
      </c>
      <c r="H292" s="15">
        <v>6521.56</v>
      </c>
      <c r="I292" s="11" t="s">
        <v>821</v>
      </c>
      <c r="J292" s="13">
        <f>IF(I292="Open",H292,IF(I292="Paid",0,"N/A"))</f>
        <v>0</v>
      </c>
      <c r="K292" s="4">
        <v>45182</v>
      </c>
      <c r="L292" t="s">
        <v>822</v>
      </c>
    </row>
    <row r="293" spans="1:12" x14ac:dyDescent="0.35">
      <c r="A293" t="s">
        <v>300</v>
      </c>
      <c r="B293" t="s">
        <v>813</v>
      </c>
      <c r="C293" s="9">
        <v>45105</v>
      </c>
      <c r="D293" s="9">
        <v>45135</v>
      </c>
      <c r="E293">
        <v>2284.77</v>
      </c>
      <c r="F293" t="s">
        <v>818</v>
      </c>
      <c r="G293" t="str">
        <f>'Raw Data bck'!F293&amp;"/USD"</f>
        <v>AUD/USD</v>
      </c>
      <c r="H293" s="15">
        <v>1644.35</v>
      </c>
      <c r="I293" s="11" t="s">
        <v>819</v>
      </c>
      <c r="J293" s="13">
        <f>IF(I293="Open",H293,IF(I293="Paid",0,"N/A"))</f>
        <v>1644.35</v>
      </c>
      <c r="L293" t="s">
        <v>822</v>
      </c>
    </row>
    <row r="294" spans="1:12" x14ac:dyDescent="0.35">
      <c r="A294" t="s">
        <v>301</v>
      </c>
      <c r="B294" t="s">
        <v>810</v>
      </c>
      <c r="C294" s="9">
        <v>45142</v>
      </c>
      <c r="D294" s="9">
        <v>45172</v>
      </c>
      <c r="E294">
        <v>2951.68</v>
      </c>
      <c r="F294" t="s">
        <v>818</v>
      </c>
      <c r="G294" t="str">
        <f>'Raw Data bck'!F294&amp;"/USD"</f>
        <v>AUD/USD</v>
      </c>
      <c r="H294" s="15">
        <v>2124.3200000000002</v>
      </c>
      <c r="I294" s="11" t="s">
        <v>821</v>
      </c>
      <c r="J294" s="13">
        <f>IF(I294="Open",H294,IF(I294="Paid",0,"N/A"))</f>
        <v>0</v>
      </c>
      <c r="K294" s="4">
        <v>45172</v>
      </c>
      <c r="L294" t="s">
        <v>822</v>
      </c>
    </row>
    <row r="295" spans="1:12" x14ac:dyDescent="0.35">
      <c r="A295" t="s">
        <v>302</v>
      </c>
      <c r="B295" t="s">
        <v>811</v>
      </c>
      <c r="C295" s="9">
        <v>45457</v>
      </c>
      <c r="D295" s="9">
        <v>45487</v>
      </c>
      <c r="E295">
        <v>4227.92</v>
      </c>
      <c r="F295" t="s">
        <v>818</v>
      </c>
      <c r="G295" t="str">
        <f>'Raw Data bck'!F295&amp;"/USD"</f>
        <v>AUD/USD</v>
      </c>
      <c r="H295" s="16">
        <v>3042.83</v>
      </c>
      <c r="I295" s="11" t="s">
        <v>820</v>
      </c>
      <c r="J295" s="13" t="str">
        <f>IF(I295="Open",H295,IF(I295="Paid",0,"N/A"))</f>
        <v>N/A</v>
      </c>
      <c r="L295" t="s">
        <v>822</v>
      </c>
    </row>
    <row r="296" spans="1:12" x14ac:dyDescent="0.35">
      <c r="A296" t="s">
        <v>303</v>
      </c>
      <c r="B296" t="s">
        <v>813</v>
      </c>
      <c r="C296" s="9">
        <v>45617</v>
      </c>
      <c r="D296" s="9">
        <v>45647</v>
      </c>
      <c r="E296">
        <v>1060.77</v>
      </c>
      <c r="F296" t="s">
        <v>818</v>
      </c>
      <c r="G296" t="str">
        <f>'Raw Data bck'!F296&amp;"/USD"</f>
        <v>AUD/USD</v>
      </c>
      <c r="H296" s="15">
        <v>763.44</v>
      </c>
      <c r="I296" s="11" t="s">
        <v>821</v>
      </c>
      <c r="J296" s="13">
        <f>IF(I296="Open",H296,IF(I296="Paid",0,"N/A"))</f>
        <v>0</v>
      </c>
      <c r="K296" s="4">
        <v>45647</v>
      </c>
      <c r="L296" t="s">
        <v>822</v>
      </c>
    </row>
    <row r="297" spans="1:12" x14ac:dyDescent="0.35">
      <c r="A297" t="s">
        <v>304</v>
      </c>
      <c r="B297" t="s">
        <v>809</v>
      </c>
      <c r="C297" s="9">
        <v>45285</v>
      </c>
      <c r="D297" s="9">
        <v>45315</v>
      </c>
      <c r="E297">
        <v>4147.42</v>
      </c>
      <c r="F297" t="s">
        <v>818</v>
      </c>
      <c r="G297" t="str">
        <f>'Raw Data bck'!F297&amp;"/USD"</f>
        <v>AUD/USD</v>
      </c>
      <c r="H297" s="16">
        <v>2984.9</v>
      </c>
      <c r="I297" s="11" t="s">
        <v>820</v>
      </c>
      <c r="J297" s="13" t="str">
        <f>IF(I297="Open",H297,IF(I297="Paid",0,"N/A"))</f>
        <v>N/A</v>
      </c>
      <c r="L297" t="s">
        <v>822</v>
      </c>
    </row>
    <row r="298" spans="1:12" x14ac:dyDescent="0.35">
      <c r="A298" t="s">
        <v>305</v>
      </c>
      <c r="B298" t="s">
        <v>811</v>
      </c>
      <c r="C298" s="9">
        <v>45206</v>
      </c>
      <c r="D298" s="9">
        <v>45236</v>
      </c>
      <c r="E298">
        <v>4406.58</v>
      </c>
      <c r="F298" t="s">
        <v>816</v>
      </c>
      <c r="G298" t="str">
        <f>'Raw Data bck'!F298&amp;"/USD"</f>
        <v>GBP/USD</v>
      </c>
      <c r="H298" s="15">
        <v>5987.66</v>
      </c>
      <c r="I298" s="11" t="s">
        <v>821</v>
      </c>
      <c r="J298" s="13">
        <f>IF(I298="Open",H298,IF(I298="Paid",0,"N/A"))</f>
        <v>0</v>
      </c>
      <c r="K298" s="4">
        <v>45236</v>
      </c>
      <c r="L298" t="s">
        <v>822</v>
      </c>
    </row>
    <row r="299" spans="1:12" x14ac:dyDescent="0.35">
      <c r="A299" t="s">
        <v>306</v>
      </c>
      <c r="B299" t="s">
        <v>812</v>
      </c>
      <c r="C299" s="9">
        <v>45069</v>
      </c>
      <c r="D299" s="9">
        <v>45099</v>
      </c>
      <c r="E299">
        <v>3855.44</v>
      </c>
      <c r="F299" t="s">
        <v>815</v>
      </c>
      <c r="G299" t="str">
        <f>'Raw Data bck'!F299&amp;"/USD"</f>
        <v>CAD/USD</v>
      </c>
      <c r="H299" s="15">
        <v>2783.63</v>
      </c>
      <c r="I299" s="11" t="s">
        <v>819</v>
      </c>
      <c r="J299" s="13">
        <f>IF(I299="Open",H299,IF(I299="Paid",0,"N/A"))</f>
        <v>2783.63</v>
      </c>
      <c r="L299" t="s">
        <v>822</v>
      </c>
    </row>
    <row r="300" spans="1:12" x14ac:dyDescent="0.35">
      <c r="A300" t="s">
        <v>307</v>
      </c>
      <c r="B300" t="s">
        <v>811</v>
      </c>
      <c r="C300" s="9">
        <v>45773</v>
      </c>
      <c r="D300" s="9">
        <v>45803</v>
      </c>
      <c r="E300">
        <v>1239.49</v>
      </c>
      <c r="F300" t="s">
        <v>815</v>
      </c>
      <c r="G300" t="str">
        <f>'Raw Data bck'!F300&amp;"/USD"</f>
        <v>CAD/USD</v>
      </c>
      <c r="H300" s="15">
        <v>894.91</v>
      </c>
      <c r="I300" s="11" t="s">
        <v>819</v>
      </c>
      <c r="J300" s="13">
        <f>IF(I300="Open",H300,IF(I300="Paid",0,"N/A"))</f>
        <v>894.91</v>
      </c>
      <c r="L300" t="s">
        <v>822</v>
      </c>
    </row>
    <row r="301" spans="1:12" x14ac:dyDescent="0.35">
      <c r="A301" t="s">
        <v>308</v>
      </c>
      <c r="B301" t="s">
        <v>812</v>
      </c>
      <c r="C301" s="9">
        <v>45819</v>
      </c>
      <c r="D301" s="9">
        <v>45849</v>
      </c>
      <c r="E301">
        <v>4842.93</v>
      </c>
      <c r="F301" t="s">
        <v>818</v>
      </c>
      <c r="G301" t="str">
        <f>'Raw Data bck'!F301&amp;"/USD"</f>
        <v>AUD/USD</v>
      </c>
      <c r="H301" s="15">
        <v>3485.46</v>
      </c>
      <c r="I301" s="11" t="s">
        <v>819</v>
      </c>
      <c r="J301" s="13">
        <f>IF(I301="Open",H301,IF(I301="Paid",0,"N/A"))</f>
        <v>3485.46</v>
      </c>
      <c r="L301" t="s">
        <v>822</v>
      </c>
    </row>
    <row r="302" spans="1:12" x14ac:dyDescent="0.35">
      <c r="A302" t="s">
        <v>309</v>
      </c>
      <c r="B302" t="s">
        <v>809</v>
      </c>
      <c r="C302" s="9">
        <v>45833</v>
      </c>
      <c r="D302" s="9">
        <v>45863</v>
      </c>
      <c r="E302">
        <v>1477.77</v>
      </c>
      <c r="F302" t="s">
        <v>817</v>
      </c>
      <c r="G302" t="str">
        <f>'Raw Data bck'!F302&amp;"/USD"</f>
        <v>USD/USD</v>
      </c>
      <c r="H302" s="15">
        <v>1477.77</v>
      </c>
      <c r="I302" s="11" t="s">
        <v>819</v>
      </c>
      <c r="J302" s="13">
        <f>IF(I302="Open",H302,IF(I302="Paid",0,"N/A"))</f>
        <v>1477.77</v>
      </c>
      <c r="L302" t="s">
        <v>822</v>
      </c>
    </row>
    <row r="303" spans="1:12" x14ac:dyDescent="0.35">
      <c r="A303" t="s">
        <v>310</v>
      </c>
      <c r="B303" t="s">
        <v>810</v>
      </c>
      <c r="C303" s="9">
        <v>45717</v>
      </c>
      <c r="D303" s="9">
        <v>45747</v>
      </c>
      <c r="E303">
        <v>4772.12</v>
      </c>
      <c r="F303" t="s">
        <v>817</v>
      </c>
      <c r="G303" t="str">
        <f>'Raw Data bck'!F303&amp;"/USD"</f>
        <v>USD/USD</v>
      </c>
      <c r="H303" s="15">
        <v>4772.12</v>
      </c>
      <c r="I303" s="11" t="s">
        <v>821</v>
      </c>
      <c r="J303" s="13">
        <f>IF(I303="Open",H303,IF(I303="Paid",0,"N/A"))</f>
        <v>0</v>
      </c>
      <c r="K303" s="4">
        <v>45747</v>
      </c>
      <c r="L303" t="s">
        <v>822</v>
      </c>
    </row>
    <row r="304" spans="1:12" x14ac:dyDescent="0.35">
      <c r="A304" t="s">
        <v>311</v>
      </c>
      <c r="B304" t="s">
        <v>813</v>
      </c>
      <c r="C304" s="9">
        <v>45035</v>
      </c>
      <c r="D304" s="9">
        <v>45065</v>
      </c>
      <c r="E304">
        <v>2860.03</v>
      </c>
      <c r="F304" t="s">
        <v>818</v>
      </c>
      <c r="G304" t="str">
        <f>'Raw Data bck'!F304&amp;"/USD"</f>
        <v>AUD/USD</v>
      </c>
      <c r="H304" s="15">
        <v>2058.36</v>
      </c>
      <c r="I304" s="11" t="s">
        <v>821</v>
      </c>
      <c r="J304" s="13">
        <f>IF(I304="Open",H304,IF(I304="Paid",0,"N/A"))</f>
        <v>0</v>
      </c>
      <c r="K304" s="4">
        <v>45065</v>
      </c>
      <c r="L304" t="s">
        <v>822</v>
      </c>
    </row>
    <row r="305" spans="1:12" x14ac:dyDescent="0.35">
      <c r="A305" t="s">
        <v>312</v>
      </c>
      <c r="B305" t="s">
        <v>813</v>
      </c>
      <c r="C305" s="9">
        <v>45504</v>
      </c>
      <c r="D305" s="9">
        <v>45534</v>
      </c>
      <c r="E305">
        <v>1886.55</v>
      </c>
      <c r="F305" t="s">
        <v>818</v>
      </c>
      <c r="G305" t="str">
        <f>'Raw Data bck'!F305&amp;"/USD"</f>
        <v>AUD/USD</v>
      </c>
      <c r="H305" s="16">
        <v>1357.75</v>
      </c>
      <c r="I305" s="11" t="s">
        <v>820</v>
      </c>
      <c r="J305" s="13" t="str">
        <f>IF(I305="Open",H305,IF(I305="Paid",0,"N/A"))</f>
        <v>N/A</v>
      </c>
      <c r="L305" t="s">
        <v>822</v>
      </c>
    </row>
    <row r="306" spans="1:12" x14ac:dyDescent="0.35">
      <c r="A306" t="s">
        <v>313</v>
      </c>
      <c r="B306" t="s">
        <v>809</v>
      </c>
      <c r="C306" s="9">
        <v>45449</v>
      </c>
      <c r="D306" s="9">
        <v>45479</v>
      </c>
      <c r="E306">
        <v>4336.49</v>
      </c>
      <c r="F306" t="s">
        <v>818</v>
      </c>
      <c r="G306" t="str">
        <f>'Raw Data bck'!F306&amp;"/USD"</f>
        <v>AUD/USD</v>
      </c>
      <c r="H306" s="15">
        <v>3120.97</v>
      </c>
      <c r="I306" s="11" t="s">
        <v>819</v>
      </c>
      <c r="J306" s="13">
        <f>IF(I306="Open",H306,IF(I306="Paid",0,"N/A"))</f>
        <v>3120.97</v>
      </c>
      <c r="L306" t="s">
        <v>822</v>
      </c>
    </row>
    <row r="307" spans="1:12" x14ac:dyDescent="0.35">
      <c r="A307" t="s">
        <v>314</v>
      </c>
      <c r="B307" t="s">
        <v>809</v>
      </c>
      <c r="C307" s="9">
        <v>45256</v>
      </c>
      <c r="D307" s="9">
        <v>45286</v>
      </c>
      <c r="E307">
        <v>4046.8</v>
      </c>
      <c r="F307" t="s">
        <v>817</v>
      </c>
      <c r="G307" t="str">
        <f>'Raw Data bck'!F307&amp;"/USD"</f>
        <v>USD/USD</v>
      </c>
      <c r="H307" s="16">
        <v>4046.8</v>
      </c>
      <c r="I307" s="11" t="s">
        <v>820</v>
      </c>
      <c r="J307" s="13" t="str">
        <f>IF(I307="Open",H307,IF(I307="Paid",0,"N/A"))</f>
        <v>N/A</v>
      </c>
      <c r="L307" t="s">
        <v>822</v>
      </c>
    </row>
    <row r="308" spans="1:12" x14ac:dyDescent="0.35">
      <c r="A308" t="s">
        <v>315</v>
      </c>
      <c r="B308" t="s">
        <v>809</v>
      </c>
      <c r="C308" s="9">
        <v>45787</v>
      </c>
      <c r="D308" s="9">
        <v>45817</v>
      </c>
      <c r="E308">
        <v>3387.6</v>
      </c>
      <c r="F308" t="s">
        <v>818</v>
      </c>
      <c r="G308" t="str">
        <f>'Raw Data bck'!F308&amp;"/USD"</f>
        <v>AUD/USD</v>
      </c>
      <c r="H308" s="15">
        <v>2438.06</v>
      </c>
      <c r="I308" s="11" t="s">
        <v>821</v>
      </c>
      <c r="J308" s="13">
        <f>IF(I308="Open",H308,IF(I308="Paid",0,"N/A"))</f>
        <v>0</v>
      </c>
      <c r="K308" s="4">
        <v>45817</v>
      </c>
      <c r="L308" t="s">
        <v>822</v>
      </c>
    </row>
    <row r="309" spans="1:12" x14ac:dyDescent="0.35">
      <c r="A309" t="s">
        <v>316</v>
      </c>
      <c r="B309" t="s">
        <v>812</v>
      </c>
      <c r="C309" s="9">
        <v>45679</v>
      </c>
      <c r="D309" s="9">
        <v>45709</v>
      </c>
      <c r="E309">
        <v>4207.8599999999997</v>
      </c>
      <c r="F309" t="s">
        <v>814</v>
      </c>
      <c r="G309" t="str">
        <f>'Raw Data bck'!F309&amp;"/USD"</f>
        <v>EUR/USD</v>
      </c>
      <c r="H309" s="15">
        <v>4899.63</v>
      </c>
      <c r="I309" s="11" t="s">
        <v>819</v>
      </c>
      <c r="J309" s="13">
        <f>IF(I309="Open",H309,IF(I309="Paid",0,"N/A"))</f>
        <v>4899.63</v>
      </c>
      <c r="L309" t="s">
        <v>822</v>
      </c>
    </row>
    <row r="310" spans="1:12" x14ac:dyDescent="0.35">
      <c r="A310" t="s">
        <v>317</v>
      </c>
      <c r="B310" t="s">
        <v>813</v>
      </c>
      <c r="C310" s="9">
        <v>45320</v>
      </c>
      <c r="D310" s="9">
        <v>45350</v>
      </c>
      <c r="E310">
        <v>2784.29</v>
      </c>
      <c r="F310" t="s">
        <v>815</v>
      </c>
      <c r="G310" t="str">
        <f>'Raw Data bck'!F310&amp;"/USD"</f>
        <v>CAD/USD</v>
      </c>
      <c r="H310" s="15">
        <v>2010.26</v>
      </c>
      <c r="I310" s="11" t="s">
        <v>819</v>
      </c>
      <c r="J310" s="13">
        <f>IF(I310="Open",H310,IF(I310="Paid",0,"N/A"))</f>
        <v>2010.26</v>
      </c>
      <c r="L310" t="s">
        <v>822</v>
      </c>
    </row>
    <row r="311" spans="1:12" x14ac:dyDescent="0.35">
      <c r="A311" t="s">
        <v>318</v>
      </c>
      <c r="B311" t="s">
        <v>813</v>
      </c>
      <c r="C311" s="9">
        <v>45576</v>
      </c>
      <c r="D311" s="9">
        <v>45606</v>
      </c>
      <c r="E311">
        <v>2721.22</v>
      </c>
      <c r="F311" t="s">
        <v>816</v>
      </c>
      <c r="G311" t="str">
        <f>'Raw Data bck'!F311&amp;"/USD"</f>
        <v>GBP/USD</v>
      </c>
      <c r="H311" s="16">
        <v>3697.59</v>
      </c>
      <c r="I311" s="11" t="s">
        <v>820</v>
      </c>
      <c r="J311" s="13" t="str">
        <f>IF(I311="Open",H311,IF(I311="Paid",0,"N/A"))</f>
        <v>N/A</v>
      </c>
      <c r="L311" t="s">
        <v>822</v>
      </c>
    </row>
    <row r="312" spans="1:12" x14ac:dyDescent="0.35">
      <c r="A312" t="s">
        <v>319</v>
      </c>
      <c r="B312" t="s">
        <v>810</v>
      </c>
      <c r="C312" s="9">
        <v>44993</v>
      </c>
      <c r="D312" s="9">
        <v>45023</v>
      </c>
      <c r="E312">
        <v>1741.36</v>
      </c>
      <c r="F312" t="s">
        <v>815</v>
      </c>
      <c r="G312" t="str">
        <f>'Raw Data bck'!F312&amp;"/USD"</f>
        <v>CAD/USD</v>
      </c>
      <c r="H312" s="16">
        <v>1257.26</v>
      </c>
      <c r="I312" s="11" t="s">
        <v>820</v>
      </c>
      <c r="J312" s="13" t="str">
        <f>IF(I312="Open",H312,IF(I312="Paid",0,"N/A"))</f>
        <v>N/A</v>
      </c>
      <c r="L312" t="s">
        <v>822</v>
      </c>
    </row>
    <row r="313" spans="1:12" x14ac:dyDescent="0.35">
      <c r="A313" t="s">
        <v>320</v>
      </c>
      <c r="B313" t="s">
        <v>813</v>
      </c>
      <c r="C313" s="9">
        <v>45465</v>
      </c>
      <c r="D313" s="9">
        <v>45495</v>
      </c>
      <c r="E313">
        <v>4981.4399999999996</v>
      </c>
      <c r="F313" t="s">
        <v>817</v>
      </c>
      <c r="G313" t="str">
        <f>'Raw Data bck'!F313&amp;"/USD"</f>
        <v>USD/USD</v>
      </c>
      <c r="H313" s="15">
        <v>4981.4399999999996</v>
      </c>
      <c r="I313" s="11" t="s">
        <v>821</v>
      </c>
      <c r="J313" s="13">
        <f>IF(I313="Open",H313,IF(I313="Paid",0,"N/A"))</f>
        <v>0</v>
      </c>
      <c r="K313" s="4">
        <v>45495</v>
      </c>
      <c r="L313" t="s">
        <v>822</v>
      </c>
    </row>
    <row r="314" spans="1:12" x14ac:dyDescent="0.35">
      <c r="A314" t="s">
        <v>321</v>
      </c>
      <c r="B314" t="s">
        <v>811</v>
      </c>
      <c r="C314" s="9">
        <v>45062</v>
      </c>
      <c r="D314" s="9">
        <v>45092</v>
      </c>
      <c r="E314">
        <v>2244.6799999999998</v>
      </c>
      <c r="F314" t="s">
        <v>814</v>
      </c>
      <c r="G314" t="str">
        <f>'Raw Data bck'!F314&amp;"/USD"</f>
        <v>EUR/USD</v>
      </c>
      <c r="H314" s="15">
        <v>2613.71</v>
      </c>
      <c r="I314" s="11" t="s">
        <v>819</v>
      </c>
      <c r="J314" s="13">
        <f>IF(I314="Open",H314,IF(I314="Paid",0,"N/A"))</f>
        <v>2613.71</v>
      </c>
      <c r="L314" t="s">
        <v>822</v>
      </c>
    </row>
    <row r="315" spans="1:12" x14ac:dyDescent="0.35">
      <c r="A315" t="s">
        <v>322</v>
      </c>
      <c r="B315" t="s">
        <v>809</v>
      </c>
      <c r="C315" s="9">
        <v>45567</v>
      </c>
      <c r="D315" s="9">
        <v>45597</v>
      </c>
      <c r="E315">
        <v>660.06</v>
      </c>
      <c r="F315" t="s">
        <v>818</v>
      </c>
      <c r="G315" t="str">
        <f>'Raw Data bck'!F315&amp;"/USD"</f>
        <v>AUD/USD</v>
      </c>
      <c r="H315" s="15">
        <v>475.05</v>
      </c>
      <c r="I315" s="11" t="s">
        <v>821</v>
      </c>
      <c r="J315" s="13">
        <f>IF(I315="Open",H315,IF(I315="Paid",0,"N/A"))</f>
        <v>0</v>
      </c>
      <c r="K315" s="4">
        <v>45597</v>
      </c>
      <c r="L315" t="s">
        <v>822</v>
      </c>
    </row>
    <row r="316" spans="1:12" x14ac:dyDescent="0.35">
      <c r="A316" t="s">
        <v>323</v>
      </c>
      <c r="B316" t="s">
        <v>812</v>
      </c>
      <c r="C316" s="9">
        <v>45722</v>
      </c>
      <c r="D316" s="9">
        <v>45752</v>
      </c>
      <c r="E316">
        <v>2932.27</v>
      </c>
      <c r="F316" t="s">
        <v>818</v>
      </c>
      <c r="G316" t="str">
        <f>'Raw Data bck'!F316&amp;"/USD"</f>
        <v>AUD/USD</v>
      </c>
      <c r="H316" s="15">
        <v>2110.35</v>
      </c>
      <c r="I316" s="11" t="s">
        <v>821</v>
      </c>
      <c r="J316" s="13">
        <f>IF(I316="Open",H316,IF(I316="Paid",0,"N/A"))</f>
        <v>0</v>
      </c>
      <c r="K316" s="4">
        <v>45752</v>
      </c>
      <c r="L316" t="s">
        <v>822</v>
      </c>
    </row>
    <row r="317" spans="1:12" x14ac:dyDescent="0.35">
      <c r="A317" t="s">
        <v>324</v>
      </c>
      <c r="B317" t="s">
        <v>812</v>
      </c>
      <c r="C317" s="9">
        <v>45511</v>
      </c>
      <c r="D317" s="9">
        <v>45541</v>
      </c>
      <c r="E317">
        <v>451.25</v>
      </c>
      <c r="F317" t="s">
        <v>816</v>
      </c>
      <c r="G317" t="str">
        <f>'Raw Data bck'!F317&amp;"/USD"</f>
        <v>GBP/USD</v>
      </c>
      <c r="H317" s="15">
        <v>613.16</v>
      </c>
      <c r="I317" s="11" t="s">
        <v>819</v>
      </c>
      <c r="J317" s="13">
        <f>IF(I317="Open",H317,IF(I317="Paid",0,"N/A"))</f>
        <v>613.16</v>
      </c>
      <c r="L317" t="s">
        <v>822</v>
      </c>
    </row>
    <row r="318" spans="1:12" x14ac:dyDescent="0.35">
      <c r="A318" t="s">
        <v>325</v>
      </c>
      <c r="B318" t="s">
        <v>810</v>
      </c>
      <c r="C318" s="9">
        <v>45838</v>
      </c>
      <c r="D318" s="9">
        <v>45868</v>
      </c>
      <c r="E318">
        <v>2665.5</v>
      </c>
      <c r="F318" t="s">
        <v>815</v>
      </c>
      <c r="G318" t="str">
        <f>'Raw Data bck'!F318&amp;"/USD"</f>
        <v>CAD/USD</v>
      </c>
      <c r="H318" s="16">
        <v>1924.49</v>
      </c>
      <c r="I318" s="11" t="s">
        <v>820</v>
      </c>
      <c r="J318" s="13" t="str">
        <f>IF(I318="Open",H318,IF(I318="Paid",0,"N/A"))</f>
        <v>N/A</v>
      </c>
      <c r="L318" t="s">
        <v>822</v>
      </c>
    </row>
    <row r="319" spans="1:12" x14ac:dyDescent="0.35">
      <c r="A319" t="s">
        <v>326</v>
      </c>
      <c r="B319" t="s">
        <v>809</v>
      </c>
      <c r="C319" s="9">
        <v>45707</v>
      </c>
      <c r="D319" s="9">
        <v>45737</v>
      </c>
      <c r="E319">
        <v>1471.82</v>
      </c>
      <c r="F319" t="s">
        <v>817</v>
      </c>
      <c r="G319" t="str">
        <f>'Raw Data bck'!F319&amp;"/USD"</f>
        <v>USD/USD</v>
      </c>
      <c r="H319" s="15">
        <v>1471.82</v>
      </c>
      <c r="I319" s="11" t="s">
        <v>819</v>
      </c>
      <c r="J319" s="13">
        <f>IF(I319="Open",H319,IF(I319="Paid",0,"N/A"))</f>
        <v>1471.82</v>
      </c>
      <c r="L319" t="s">
        <v>822</v>
      </c>
    </row>
    <row r="320" spans="1:12" x14ac:dyDescent="0.35">
      <c r="A320" t="s">
        <v>327</v>
      </c>
      <c r="B320" t="s">
        <v>811</v>
      </c>
      <c r="C320" s="9">
        <v>45391</v>
      </c>
      <c r="D320" s="9">
        <v>45421</v>
      </c>
      <c r="E320">
        <v>1830.02</v>
      </c>
      <c r="F320" t="s">
        <v>816</v>
      </c>
      <c r="G320" t="str">
        <f>'Raw Data bck'!F320&amp;"/USD"</f>
        <v>GBP/USD</v>
      </c>
      <c r="H320" s="15">
        <v>2486.63</v>
      </c>
      <c r="I320" s="11" t="s">
        <v>821</v>
      </c>
      <c r="J320" s="13">
        <f>IF(I320="Open",H320,IF(I320="Paid",0,"N/A"))</f>
        <v>0</v>
      </c>
      <c r="K320" s="4">
        <v>45421</v>
      </c>
      <c r="L320" t="s">
        <v>822</v>
      </c>
    </row>
    <row r="321" spans="1:12" x14ac:dyDescent="0.35">
      <c r="A321" t="s">
        <v>328</v>
      </c>
      <c r="B321" t="s">
        <v>811</v>
      </c>
      <c r="C321" s="9">
        <v>44979</v>
      </c>
      <c r="D321" s="9">
        <v>45009</v>
      </c>
      <c r="E321">
        <v>4995.3900000000003</v>
      </c>
      <c r="F321" t="s">
        <v>815</v>
      </c>
      <c r="G321" t="str">
        <f>'Raw Data bck'!F321&amp;"/USD"</f>
        <v>CAD/USD</v>
      </c>
      <c r="H321" s="16">
        <v>3606.67</v>
      </c>
      <c r="I321" s="11" t="s">
        <v>820</v>
      </c>
      <c r="J321" s="13" t="str">
        <f>IF(I321="Open",H321,IF(I321="Paid",0,"N/A"))</f>
        <v>N/A</v>
      </c>
      <c r="L321" t="s">
        <v>822</v>
      </c>
    </row>
    <row r="322" spans="1:12" x14ac:dyDescent="0.35">
      <c r="A322" t="s">
        <v>329</v>
      </c>
      <c r="B322" t="s">
        <v>811</v>
      </c>
      <c r="C322" s="9">
        <v>45068</v>
      </c>
      <c r="D322" s="9">
        <v>45098</v>
      </c>
      <c r="E322">
        <v>4822.93</v>
      </c>
      <c r="F322" t="s">
        <v>818</v>
      </c>
      <c r="G322" t="str">
        <f>'Raw Data bck'!F322&amp;"/USD"</f>
        <v>AUD/USD</v>
      </c>
      <c r="H322" s="16">
        <v>3471.06</v>
      </c>
      <c r="I322" s="11" t="s">
        <v>820</v>
      </c>
      <c r="J322" s="13" t="str">
        <f>IF(I322="Open",H322,IF(I322="Paid",0,"N/A"))</f>
        <v>N/A</v>
      </c>
      <c r="L322" t="s">
        <v>822</v>
      </c>
    </row>
    <row r="323" spans="1:12" x14ac:dyDescent="0.35">
      <c r="A323" t="s">
        <v>330</v>
      </c>
      <c r="B323" t="s">
        <v>809</v>
      </c>
      <c r="C323" s="9">
        <v>44928</v>
      </c>
      <c r="D323" s="9">
        <v>44958</v>
      </c>
      <c r="E323">
        <v>1174.97</v>
      </c>
      <c r="F323" t="s">
        <v>817</v>
      </c>
      <c r="G323" t="str">
        <f>'Raw Data bck'!F323&amp;"/USD"</f>
        <v>USD/USD</v>
      </c>
      <c r="H323" s="15">
        <v>1174.97</v>
      </c>
      <c r="I323" s="11" t="s">
        <v>821</v>
      </c>
      <c r="J323" s="13">
        <f>IF(I323="Open",H323,IF(I323="Paid",0,"N/A"))</f>
        <v>0</v>
      </c>
      <c r="K323" s="4">
        <v>44958</v>
      </c>
      <c r="L323" t="s">
        <v>822</v>
      </c>
    </row>
    <row r="324" spans="1:12" x14ac:dyDescent="0.35">
      <c r="A324" t="s">
        <v>331</v>
      </c>
      <c r="B324" t="s">
        <v>812</v>
      </c>
      <c r="C324" s="9">
        <v>45387</v>
      </c>
      <c r="D324" s="9">
        <v>45417</v>
      </c>
      <c r="E324">
        <v>1018.67</v>
      </c>
      <c r="F324" t="s">
        <v>814</v>
      </c>
      <c r="G324" t="str">
        <f>'Raw Data bck'!F324&amp;"/USD"</f>
        <v>EUR/USD</v>
      </c>
      <c r="H324" s="16">
        <v>1186.1400000000001</v>
      </c>
      <c r="I324" s="11" t="s">
        <v>820</v>
      </c>
      <c r="J324" s="13" t="str">
        <f>IF(I324="Open",H324,IF(I324="Paid",0,"N/A"))</f>
        <v>N/A</v>
      </c>
      <c r="L324" t="s">
        <v>822</v>
      </c>
    </row>
    <row r="325" spans="1:12" x14ac:dyDescent="0.35">
      <c r="A325" t="s">
        <v>332</v>
      </c>
      <c r="B325" t="s">
        <v>813</v>
      </c>
      <c r="C325" s="9">
        <v>45528</v>
      </c>
      <c r="D325" s="9">
        <v>45558</v>
      </c>
      <c r="E325">
        <v>525.23</v>
      </c>
      <c r="F325" t="s">
        <v>818</v>
      </c>
      <c r="G325" t="str">
        <f>'Raw Data bck'!F325&amp;"/USD"</f>
        <v>AUD/USD</v>
      </c>
      <c r="H325" s="15">
        <v>378.01</v>
      </c>
      <c r="I325" s="11" t="s">
        <v>819</v>
      </c>
      <c r="J325" s="13">
        <f>IF(I325="Open",H325,IF(I325="Paid",0,"N/A"))</f>
        <v>378.01</v>
      </c>
      <c r="L325" t="s">
        <v>822</v>
      </c>
    </row>
    <row r="326" spans="1:12" x14ac:dyDescent="0.35">
      <c r="A326" t="s">
        <v>333</v>
      </c>
      <c r="B326" t="s">
        <v>813</v>
      </c>
      <c r="C326" s="9">
        <v>45014</v>
      </c>
      <c r="D326" s="9">
        <v>45044</v>
      </c>
      <c r="E326">
        <v>4607.07</v>
      </c>
      <c r="F326" t="s">
        <v>817</v>
      </c>
      <c r="G326" t="str">
        <f>'Raw Data bck'!F326&amp;"/USD"</f>
        <v>USD/USD</v>
      </c>
      <c r="H326" s="15">
        <v>4607.07</v>
      </c>
      <c r="I326" s="11" t="s">
        <v>819</v>
      </c>
      <c r="J326" s="13">
        <f>IF(I326="Open",H326,IF(I326="Paid",0,"N/A"))</f>
        <v>4607.07</v>
      </c>
      <c r="L326" t="s">
        <v>822</v>
      </c>
    </row>
    <row r="327" spans="1:12" x14ac:dyDescent="0.35">
      <c r="A327" t="s">
        <v>334</v>
      </c>
      <c r="B327" t="s">
        <v>809</v>
      </c>
      <c r="C327" s="9">
        <v>45054</v>
      </c>
      <c r="D327" s="9">
        <v>45084</v>
      </c>
      <c r="E327">
        <v>2792.15</v>
      </c>
      <c r="F327" t="s">
        <v>815</v>
      </c>
      <c r="G327" t="str">
        <f>'Raw Data bck'!F327&amp;"/USD"</f>
        <v>CAD/USD</v>
      </c>
      <c r="H327" s="15">
        <v>2015.93</v>
      </c>
      <c r="I327" s="11" t="s">
        <v>821</v>
      </c>
      <c r="J327" s="13">
        <f>IF(I327="Open",H327,IF(I327="Paid",0,"N/A"))</f>
        <v>0</v>
      </c>
      <c r="K327" s="4">
        <v>45084</v>
      </c>
      <c r="L327" t="s">
        <v>822</v>
      </c>
    </row>
    <row r="328" spans="1:12" x14ac:dyDescent="0.35">
      <c r="A328" t="s">
        <v>335</v>
      </c>
      <c r="B328" t="s">
        <v>809</v>
      </c>
      <c r="C328" s="9">
        <v>45511</v>
      </c>
      <c r="D328" s="9">
        <v>45541</v>
      </c>
      <c r="E328">
        <v>3719.04</v>
      </c>
      <c r="F328" t="s">
        <v>816</v>
      </c>
      <c r="G328" t="str">
        <f>'Raw Data bck'!F328&amp;"/USD"</f>
        <v>GBP/USD</v>
      </c>
      <c r="H328" s="15">
        <v>5053.43</v>
      </c>
      <c r="I328" s="11" t="s">
        <v>819</v>
      </c>
      <c r="J328" s="13">
        <f>IF(I328="Open",H328,IF(I328="Paid",0,"N/A"))</f>
        <v>5053.43</v>
      </c>
      <c r="L328" t="s">
        <v>822</v>
      </c>
    </row>
    <row r="329" spans="1:12" x14ac:dyDescent="0.35">
      <c r="A329" t="s">
        <v>336</v>
      </c>
      <c r="B329" t="s">
        <v>810</v>
      </c>
      <c r="C329" s="9">
        <v>45576</v>
      </c>
      <c r="D329" s="9">
        <v>45606</v>
      </c>
      <c r="E329">
        <v>4169.05</v>
      </c>
      <c r="F329" t="s">
        <v>814</v>
      </c>
      <c r="G329" t="str">
        <f>'Raw Data bck'!F329&amp;"/USD"</f>
        <v>EUR/USD</v>
      </c>
      <c r="H329" s="15">
        <v>4854.4399999999996</v>
      </c>
      <c r="I329" s="11" t="s">
        <v>821</v>
      </c>
      <c r="J329" s="13">
        <f>IF(I329="Open",H329,IF(I329="Paid",0,"N/A"))</f>
        <v>0</v>
      </c>
      <c r="K329" s="4">
        <v>45606</v>
      </c>
      <c r="L329" t="s">
        <v>822</v>
      </c>
    </row>
    <row r="330" spans="1:12" x14ac:dyDescent="0.35">
      <c r="A330" t="s">
        <v>337</v>
      </c>
      <c r="B330" t="s">
        <v>812</v>
      </c>
      <c r="C330" s="9">
        <v>45643</v>
      </c>
      <c r="D330" s="9">
        <v>45673</v>
      </c>
      <c r="E330">
        <v>1405.35</v>
      </c>
      <c r="F330" t="s">
        <v>818</v>
      </c>
      <c r="G330" t="str">
        <f>'Raw Data bck'!F330&amp;"/USD"</f>
        <v>AUD/USD</v>
      </c>
      <c r="H330" s="15">
        <v>1011.43</v>
      </c>
      <c r="I330" s="11" t="s">
        <v>819</v>
      </c>
      <c r="J330" s="13">
        <f>IF(I330="Open",H330,IF(I330="Paid",0,"N/A"))</f>
        <v>1011.43</v>
      </c>
      <c r="L330" t="s">
        <v>822</v>
      </c>
    </row>
    <row r="331" spans="1:12" x14ac:dyDescent="0.35">
      <c r="A331" t="s">
        <v>338</v>
      </c>
      <c r="B331" t="s">
        <v>812</v>
      </c>
      <c r="C331" s="9">
        <v>45401</v>
      </c>
      <c r="D331" s="9">
        <v>45431</v>
      </c>
      <c r="E331">
        <v>4512.4399999999996</v>
      </c>
      <c r="F331" t="s">
        <v>818</v>
      </c>
      <c r="G331" t="str">
        <f>'Raw Data bck'!F331&amp;"/USD"</f>
        <v>AUD/USD</v>
      </c>
      <c r="H331" s="16">
        <v>3247.6</v>
      </c>
      <c r="I331" s="11" t="s">
        <v>820</v>
      </c>
      <c r="J331" s="13" t="str">
        <f>IF(I331="Open",H331,IF(I331="Paid",0,"N/A"))</f>
        <v>N/A</v>
      </c>
      <c r="L331" t="s">
        <v>822</v>
      </c>
    </row>
    <row r="332" spans="1:12" x14ac:dyDescent="0.35">
      <c r="A332" t="s">
        <v>339</v>
      </c>
      <c r="B332" t="s">
        <v>811</v>
      </c>
      <c r="C332" s="9">
        <v>45395</v>
      </c>
      <c r="D332" s="9">
        <v>45425</v>
      </c>
      <c r="E332">
        <v>1855.47</v>
      </c>
      <c r="F332" t="s">
        <v>814</v>
      </c>
      <c r="G332" t="str">
        <f>'Raw Data bck'!F332&amp;"/USD"</f>
        <v>EUR/USD</v>
      </c>
      <c r="H332" s="15">
        <v>2160.5100000000002</v>
      </c>
      <c r="I332" s="11" t="s">
        <v>819</v>
      </c>
      <c r="J332" s="13">
        <f>IF(I332="Open",H332,IF(I332="Paid",0,"N/A"))</f>
        <v>2160.5100000000002</v>
      </c>
      <c r="L332" t="s">
        <v>822</v>
      </c>
    </row>
    <row r="333" spans="1:12" x14ac:dyDescent="0.35">
      <c r="A333" t="s">
        <v>340</v>
      </c>
      <c r="B333" t="s">
        <v>810</v>
      </c>
      <c r="C333" s="9">
        <v>45633</v>
      </c>
      <c r="D333" s="9">
        <v>45663</v>
      </c>
      <c r="E333">
        <v>1596.9</v>
      </c>
      <c r="F333" t="s">
        <v>815</v>
      </c>
      <c r="G333" t="str">
        <f>'Raw Data bck'!F333&amp;"/USD"</f>
        <v>CAD/USD</v>
      </c>
      <c r="H333" s="15">
        <v>1152.96</v>
      </c>
      <c r="I333" s="11" t="s">
        <v>821</v>
      </c>
      <c r="J333" s="13">
        <f>IF(I333="Open",H333,IF(I333="Paid",0,"N/A"))</f>
        <v>0</v>
      </c>
      <c r="K333" s="4">
        <v>45663</v>
      </c>
      <c r="L333" t="s">
        <v>822</v>
      </c>
    </row>
    <row r="334" spans="1:12" x14ac:dyDescent="0.35">
      <c r="A334" t="s">
        <v>341</v>
      </c>
      <c r="B334" t="s">
        <v>810</v>
      </c>
      <c r="C334" s="9">
        <v>44949</v>
      </c>
      <c r="D334" s="9">
        <v>44979</v>
      </c>
      <c r="E334">
        <v>176.54</v>
      </c>
      <c r="F334" t="s">
        <v>815</v>
      </c>
      <c r="G334" t="str">
        <f>'Raw Data bck'!F334&amp;"/USD"</f>
        <v>CAD/USD</v>
      </c>
      <c r="H334" s="15">
        <v>127.46</v>
      </c>
      <c r="I334" s="11" t="s">
        <v>821</v>
      </c>
      <c r="J334" s="13">
        <f>IF(I334="Open",H334,IF(I334="Paid",0,"N/A"))</f>
        <v>0</v>
      </c>
      <c r="K334" s="4">
        <v>44979</v>
      </c>
      <c r="L334" t="s">
        <v>822</v>
      </c>
    </row>
    <row r="335" spans="1:12" x14ac:dyDescent="0.35">
      <c r="A335" t="s">
        <v>342</v>
      </c>
      <c r="B335" t="s">
        <v>811</v>
      </c>
      <c r="C335" s="9">
        <v>45705</v>
      </c>
      <c r="D335" s="9">
        <v>45735</v>
      </c>
      <c r="E335">
        <v>1225.82</v>
      </c>
      <c r="F335" t="s">
        <v>815</v>
      </c>
      <c r="G335" t="str">
        <f>'Raw Data bck'!F335&amp;"/USD"</f>
        <v>CAD/USD</v>
      </c>
      <c r="H335" s="15">
        <v>885.04</v>
      </c>
      <c r="I335" s="11" t="s">
        <v>819</v>
      </c>
      <c r="J335" s="13">
        <f>IF(I335="Open",H335,IF(I335="Paid",0,"N/A"))</f>
        <v>885.04</v>
      </c>
      <c r="L335" t="s">
        <v>822</v>
      </c>
    </row>
    <row r="336" spans="1:12" x14ac:dyDescent="0.35">
      <c r="A336" t="s">
        <v>343</v>
      </c>
      <c r="B336" t="s">
        <v>809</v>
      </c>
      <c r="C336" s="9">
        <v>45321</v>
      </c>
      <c r="D336" s="9">
        <v>45351</v>
      </c>
      <c r="E336">
        <v>355.21</v>
      </c>
      <c r="F336" t="s">
        <v>815</v>
      </c>
      <c r="G336" t="str">
        <f>'Raw Data bck'!F336&amp;"/USD"</f>
        <v>CAD/USD</v>
      </c>
      <c r="H336" s="15">
        <v>256.45999999999998</v>
      </c>
      <c r="I336" s="11" t="s">
        <v>819</v>
      </c>
      <c r="J336" s="13">
        <f>IF(I336="Open",H336,IF(I336="Paid",0,"N/A"))</f>
        <v>256.45999999999998</v>
      </c>
      <c r="L336" t="s">
        <v>822</v>
      </c>
    </row>
    <row r="337" spans="1:12" x14ac:dyDescent="0.35">
      <c r="A337" t="s">
        <v>344</v>
      </c>
      <c r="B337" t="s">
        <v>812</v>
      </c>
      <c r="C337" s="9">
        <v>45736</v>
      </c>
      <c r="D337" s="9">
        <v>45766</v>
      </c>
      <c r="E337">
        <v>4628.8599999999997</v>
      </c>
      <c r="F337" t="s">
        <v>814</v>
      </c>
      <c r="G337" t="str">
        <f>'Raw Data bck'!F337&amp;"/USD"</f>
        <v>EUR/USD</v>
      </c>
      <c r="H337" s="15">
        <v>5389.84</v>
      </c>
      <c r="I337" s="11" t="s">
        <v>821</v>
      </c>
      <c r="J337" s="13">
        <f>IF(I337="Open",H337,IF(I337="Paid",0,"N/A"))</f>
        <v>0</v>
      </c>
      <c r="K337" s="4">
        <v>45766</v>
      </c>
      <c r="L337" t="s">
        <v>822</v>
      </c>
    </row>
    <row r="338" spans="1:12" x14ac:dyDescent="0.35">
      <c r="A338" t="s">
        <v>345</v>
      </c>
      <c r="B338" t="s">
        <v>813</v>
      </c>
      <c r="C338" s="9">
        <v>45268</v>
      </c>
      <c r="D338" s="9">
        <v>45298</v>
      </c>
      <c r="E338">
        <v>2845.8</v>
      </c>
      <c r="F338" t="s">
        <v>814</v>
      </c>
      <c r="G338" t="str">
        <f>'Raw Data bck'!F338&amp;"/USD"</f>
        <v>EUR/USD</v>
      </c>
      <c r="H338" s="16">
        <v>3313.65</v>
      </c>
      <c r="I338" s="11" t="s">
        <v>820</v>
      </c>
      <c r="J338" s="13" t="str">
        <f>IF(I338="Open",H338,IF(I338="Paid",0,"N/A"))</f>
        <v>N/A</v>
      </c>
      <c r="L338" t="s">
        <v>822</v>
      </c>
    </row>
    <row r="339" spans="1:12" x14ac:dyDescent="0.35">
      <c r="A339" t="s">
        <v>346</v>
      </c>
      <c r="B339" t="s">
        <v>811</v>
      </c>
      <c r="C339" s="9">
        <v>45810</v>
      </c>
      <c r="D339" s="9">
        <v>45840</v>
      </c>
      <c r="E339">
        <v>1566.29</v>
      </c>
      <c r="F339" t="s">
        <v>814</v>
      </c>
      <c r="G339" t="str">
        <f>'Raw Data bck'!F339&amp;"/USD"</f>
        <v>EUR/USD</v>
      </c>
      <c r="H339" s="15">
        <v>1823.79</v>
      </c>
      <c r="I339" s="11" t="s">
        <v>819</v>
      </c>
      <c r="J339" s="13">
        <f>IF(I339="Open",H339,IF(I339="Paid",0,"N/A"))</f>
        <v>1823.79</v>
      </c>
      <c r="L339" t="s">
        <v>822</v>
      </c>
    </row>
    <row r="340" spans="1:12" x14ac:dyDescent="0.35">
      <c r="A340" t="s">
        <v>347</v>
      </c>
      <c r="B340" t="s">
        <v>812</v>
      </c>
      <c r="C340" s="9">
        <v>45235</v>
      </c>
      <c r="D340" s="9">
        <v>45265</v>
      </c>
      <c r="E340">
        <v>4917.53</v>
      </c>
      <c r="F340" t="s">
        <v>814</v>
      </c>
      <c r="G340" t="str">
        <f>'Raw Data bck'!F340&amp;"/USD"</f>
        <v>EUR/USD</v>
      </c>
      <c r="H340" s="15">
        <v>5725.97</v>
      </c>
      <c r="I340" s="11" t="s">
        <v>821</v>
      </c>
      <c r="J340" s="13">
        <f>IF(I340="Open",H340,IF(I340="Paid",0,"N/A"))</f>
        <v>0</v>
      </c>
      <c r="K340" s="4">
        <v>45265</v>
      </c>
      <c r="L340" t="s">
        <v>822</v>
      </c>
    </row>
    <row r="341" spans="1:12" x14ac:dyDescent="0.35">
      <c r="A341" t="s">
        <v>348</v>
      </c>
      <c r="B341" t="s">
        <v>813</v>
      </c>
      <c r="C341" s="9">
        <v>45282</v>
      </c>
      <c r="D341" s="9">
        <v>45312</v>
      </c>
      <c r="E341">
        <v>2748.45</v>
      </c>
      <c r="F341" t="s">
        <v>816</v>
      </c>
      <c r="G341" t="str">
        <f>'Raw Data bck'!F341&amp;"/USD"</f>
        <v>GBP/USD</v>
      </c>
      <c r="H341" s="15">
        <v>3734.59</v>
      </c>
      <c r="I341" s="11" t="s">
        <v>819</v>
      </c>
      <c r="J341" s="13">
        <f>IF(I341="Open",H341,IF(I341="Paid",0,"N/A"))</f>
        <v>3734.59</v>
      </c>
      <c r="L341" t="s">
        <v>822</v>
      </c>
    </row>
    <row r="342" spans="1:12" x14ac:dyDescent="0.35">
      <c r="A342" t="s">
        <v>349</v>
      </c>
      <c r="B342" t="s">
        <v>812</v>
      </c>
      <c r="C342" s="9">
        <v>45672</v>
      </c>
      <c r="D342" s="9">
        <v>45702</v>
      </c>
      <c r="E342">
        <v>2910.56</v>
      </c>
      <c r="F342" t="s">
        <v>818</v>
      </c>
      <c r="G342" t="str">
        <f>'Raw Data bck'!F342&amp;"/USD"</f>
        <v>AUD/USD</v>
      </c>
      <c r="H342" s="15">
        <v>2094.73</v>
      </c>
      <c r="I342" s="11" t="s">
        <v>821</v>
      </c>
      <c r="J342" s="13">
        <f>IF(I342="Open",H342,IF(I342="Paid",0,"N/A"))</f>
        <v>0</v>
      </c>
      <c r="K342" s="4">
        <v>45702</v>
      </c>
      <c r="L342" t="s">
        <v>822</v>
      </c>
    </row>
    <row r="343" spans="1:12" x14ac:dyDescent="0.35">
      <c r="A343" t="s">
        <v>350</v>
      </c>
      <c r="B343" t="s">
        <v>811</v>
      </c>
      <c r="C343" s="9">
        <v>45831</v>
      </c>
      <c r="D343" s="9">
        <v>45861</v>
      </c>
      <c r="E343">
        <v>728.89</v>
      </c>
      <c r="F343" t="s">
        <v>817</v>
      </c>
      <c r="G343" t="str">
        <f>'Raw Data bck'!F343&amp;"/USD"</f>
        <v>USD/USD</v>
      </c>
      <c r="H343" s="16">
        <v>728.89</v>
      </c>
      <c r="I343" s="11" t="s">
        <v>820</v>
      </c>
      <c r="J343" s="13" t="str">
        <f>IF(I343="Open",H343,IF(I343="Paid",0,"N/A"))</f>
        <v>N/A</v>
      </c>
      <c r="L343" t="s">
        <v>822</v>
      </c>
    </row>
    <row r="344" spans="1:12" x14ac:dyDescent="0.35">
      <c r="A344" t="s">
        <v>351</v>
      </c>
      <c r="B344" t="s">
        <v>809</v>
      </c>
      <c r="C344" s="9">
        <v>44981</v>
      </c>
      <c r="D344" s="9">
        <v>45011</v>
      </c>
      <c r="E344">
        <v>1790.61</v>
      </c>
      <c r="F344" t="s">
        <v>817</v>
      </c>
      <c r="G344" t="str">
        <f>'Raw Data bck'!F344&amp;"/USD"</f>
        <v>USD/USD</v>
      </c>
      <c r="H344" s="16">
        <v>1790.61</v>
      </c>
      <c r="I344" s="11" t="s">
        <v>820</v>
      </c>
      <c r="J344" s="13" t="str">
        <f>IF(I344="Open",H344,IF(I344="Paid",0,"N/A"))</f>
        <v>N/A</v>
      </c>
      <c r="L344" t="s">
        <v>822</v>
      </c>
    </row>
    <row r="345" spans="1:12" x14ac:dyDescent="0.35">
      <c r="A345" t="s">
        <v>352</v>
      </c>
      <c r="B345" t="s">
        <v>812</v>
      </c>
      <c r="C345" s="9">
        <v>45358</v>
      </c>
      <c r="D345" s="9">
        <v>45388</v>
      </c>
      <c r="E345">
        <v>3085.28</v>
      </c>
      <c r="F345" t="s">
        <v>816</v>
      </c>
      <c r="G345" t="str">
        <f>'Raw Data bck'!F345&amp;"/USD"</f>
        <v>GBP/USD</v>
      </c>
      <c r="H345" s="15">
        <v>4192.28</v>
      </c>
      <c r="I345" s="11" t="s">
        <v>821</v>
      </c>
      <c r="J345" s="13">
        <f>IF(I345="Open",H345,IF(I345="Paid",0,"N/A"))</f>
        <v>0</v>
      </c>
      <c r="K345" s="4">
        <v>45388</v>
      </c>
      <c r="L345" t="s">
        <v>822</v>
      </c>
    </row>
    <row r="346" spans="1:12" x14ac:dyDescent="0.35">
      <c r="A346" t="s">
        <v>353</v>
      </c>
      <c r="B346" t="s">
        <v>810</v>
      </c>
      <c r="C346" s="9">
        <v>45154</v>
      </c>
      <c r="D346" s="9">
        <v>45184</v>
      </c>
      <c r="E346">
        <v>899.5</v>
      </c>
      <c r="F346" t="s">
        <v>816</v>
      </c>
      <c r="G346" t="str">
        <f>'Raw Data bck'!F346&amp;"/USD"</f>
        <v>GBP/USD</v>
      </c>
      <c r="H346" s="15">
        <v>1222.24</v>
      </c>
      <c r="I346" s="11" t="s">
        <v>819</v>
      </c>
      <c r="J346" s="13">
        <f>IF(I346="Open",H346,IF(I346="Paid",0,"N/A"))</f>
        <v>1222.24</v>
      </c>
      <c r="L346" t="s">
        <v>822</v>
      </c>
    </row>
    <row r="347" spans="1:12" x14ac:dyDescent="0.35">
      <c r="A347" t="s">
        <v>354</v>
      </c>
      <c r="B347" t="s">
        <v>812</v>
      </c>
      <c r="C347" s="9">
        <v>44937</v>
      </c>
      <c r="D347" s="9">
        <v>44967</v>
      </c>
      <c r="E347">
        <v>1797.02</v>
      </c>
      <c r="F347" t="s">
        <v>817</v>
      </c>
      <c r="G347" t="str">
        <f>'Raw Data bck'!F347&amp;"/USD"</f>
        <v>USD/USD</v>
      </c>
      <c r="H347" s="15">
        <v>1797.02</v>
      </c>
      <c r="I347" s="11" t="s">
        <v>819</v>
      </c>
      <c r="J347" s="13">
        <f>IF(I347="Open",H347,IF(I347="Paid",0,"N/A"))</f>
        <v>1797.02</v>
      </c>
      <c r="L347" t="s">
        <v>822</v>
      </c>
    </row>
    <row r="348" spans="1:12" x14ac:dyDescent="0.35">
      <c r="A348" t="s">
        <v>355</v>
      </c>
      <c r="B348" t="s">
        <v>811</v>
      </c>
      <c r="C348" s="9">
        <v>45169</v>
      </c>
      <c r="D348" s="9">
        <v>45199</v>
      </c>
      <c r="E348">
        <v>4901.42</v>
      </c>
      <c r="F348" t="s">
        <v>815</v>
      </c>
      <c r="G348" t="str">
        <f>'Raw Data bck'!F348&amp;"/USD"</f>
        <v>CAD/USD</v>
      </c>
      <c r="H348" s="15">
        <v>3538.83</v>
      </c>
      <c r="I348" s="11" t="s">
        <v>819</v>
      </c>
      <c r="J348" s="13">
        <f>IF(I348="Open",H348,IF(I348="Paid",0,"N/A"))</f>
        <v>3538.83</v>
      </c>
      <c r="L348" t="s">
        <v>822</v>
      </c>
    </row>
    <row r="349" spans="1:12" x14ac:dyDescent="0.35">
      <c r="A349" t="s">
        <v>356</v>
      </c>
      <c r="B349" t="s">
        <v>812</v>
      </c>
      <c r="C349" s="9">
        <v>44962</v>
      </c>
      <c r="D349" s="9">
        <v>44992</v>
      </c>
      <c r="E349">
        <v>4612.1400000000003</v>
      </c>
      <c r="F349" t="s">
        <v>816</v>
      </c>
      <c r="G349" t="str">
        <f>'Raw Data bck'!F349&amp;"/USD"</f>
        <v>GBP/USD</v>
      </c>
      <c r="H349" s="15">
        <v>6266.98</v>
      </c>
      <c r="I349" s="11" t="s">
        <v>821</v>
      </c>
      <c r="J349" s="13">
        <f>IF(I349="Open",H349,IF(I349="Paid",0,"N/A"))</f>
        <v>0</v>
      </c>
      <c r="K349" s="4">
        <v>44992</v>
      </c>
      <c r="L349" t="s">
        <v>822</v>
      </c>
    </row>
    <row r="350" spans="1:12" x14ac:dyDescent="0.35">
      <c r="A350" t="s">
        <v>357</v>
      </c>
      <c r="B350" t="s">
        <v>809</v>
      </c>
      <c r="C350" s="9">
        <v>45452</v>
      </c>
      <c r="D350" s="9">
        <v>45482</v>
      </c>
      <c r="E350">
        <v>3151.2</v>
      </c>
      <c r="F350" t="s">
        <v>815</v>
      </c>
      <c r="G350" t="str">
        <f>'Raw Data bck'!F350&amp;"/USD"</f>
        <v>CAD/USD</v>
      </c>
      <c r="H350" s="16">
        <v>2275.17</v>
      </c>
      <c r="I350" s="11" t="s">
        <v>820</v>
      </c>
      <c r="J350" s="13" t="str">
        <f>IF(I350="Open",H350,IF(I350="Paid",0,"N/A"))</f>
        <v>N/A</v>
      </c>
      <c r="L350" t="s">
        <v>822</v>
      </c>
    </row>
    <row r="351" spans="1:12" x14ac:dyDescent="0.35">
      <c r="A351" t="s">
        <v>358</v>
      </c>
      <c r="B351" t="s">
        <v>812</v>
      </c>
      <c r="C351" s="9">
        <v>45372</v>
      </c>
      <c r="D351" s="9">
        <v>45402</v>
      </c>
      <c r="E351">
        <v>4219.03</v>
      </c>
      <c r="F351" t="s">
        <v>818</v>
      </c>
      <c r="G351" t="str">
        <f>'Raw Data bck'!F351&amp;"/USD"</f>
        <v>AUD/USD</v>
      </c>
      <c r="H351" s="15">
        <v>3036.44</v>
      </c>
      <c r="I351" s="11" t="s">
        <v>821</v>
      </c>
      <c r="J351" s="13">
        <f>IF(I351="Open",H351,IF(I351="Paid",0,"N/A"))</f>
        <v>0</v>
      </c>
      <c r="K351" s="4">
        <v>45402</v>
      </c>
      <c r="L351" t="s">
        <v>822</v>
      </c>
    </row>
    <row r="352" spans="1:12" x14ac:dyDescent="0.35">
      <c r="A352" t="s">
        <v>359</v>
      </c>
      <c r="B352" t="s">
        <v>811</v>
      </c>
      <c r="C352" s="9">
        <v>45273</v>
      </c>
      <c r="D352" s="9">
        <v>45303</v>
      </c>
      <c r="E352">
        <v>4971.99</v>
      </c>
      <c r="F352" t="s">
        <v>814</v>
      </c>
      <c r="G352" t="str">
        <f>'Raw Data bck'!F352&amp;"/USD"</f>
        <v>EUR/USD</v>
      </c>
      <c r="H352" s="15">
        <v>5789.39</v>
      </c>
      <c r="I352" s="11" t="s">
        <v>819</v>
      </c>
      <c r="J352" s="13">
        <f>IF(I352="Open",H352,IF(I352="Paid",0,"N/A"))</f>
        <v>5789.39</v>
      </c>
      <c r="L352" t="s">
        <v>822</v>
      </c>
    </row>
    <row r="353" spans="1:12" x14ac:dyDescent="0.35">
      <c r="A353" t="s">
        <v>360</v>
      </c>
      <c r="B353" t="s">
        <v>810</v>
      </c>
      <c r="C353" s="9">
        <v>45281</v>
      </c>
      <c r="D353" s="9">
        <v>45311</v>
      </c>
      <c r="E353">
        <v>3366.62</v>
      </c>
      <c r="F353" t="s">
        <v>816</v>
      </c>
      <c r="G353" t="str">
        <f>'Raw Data bck'!F353&amp;"/USD"</f>
        <v>GBP/USD</v>
      </c>
      <c r="H353" s="15">
        <v>4574.5600000000004</v>
      </c>
      <c r="I353" s="11" t="s">
        <v>821</v>
      </c>
      <c r="J353" s="13">
        <f>IF(I353="Open",H353,IF(I353="Paid",0,"N/A"))</f>
        <v>0</v>
      </c>
      <c r="K353" s="4">
        <v>45311</v>
      </c>
      <c r="L353" t="s">
        <v>822</v>
      </c>
    </row>
    <row r="354" spans="1:12" x14ac:dyDescent="0.35">
      <c r="A354" t="s">
        <v>361</v>
      </c>
      <c r="B354" t="s">
        <v>813</v>
      </c>
      <c r="C354" s="9">
        <v>45735</v>
      </c>
      <c r="D354" s="9">
        <v>45765</v>
      </c>
      <c r="E354">
        <v>499.9</v>
      </c>
      <c r="F354" t="s">
        <v>815</v>
      </c>
      <c r="G354" t="str">
        <f>'Raw Data bck'!F354&amp;"/USD"</f>
        <v>CAD/USD</v>
      </c>
      <c r="H354" s="15">
        <v>360.93</v>
      </c>
      <c r="I354" s="11" t="s">
        <v>821</v>
      </c>
      <c r="J354" s="13">
        <f>IF(I354="Open",H354,IF(I354="Paid",0,"N/A"))</f>
        <v>0</v>
      </c>
      <c r="K354" s="4">
        <v>45765</v>
      </c>
      <c r="L354" t="s">
        <v>822</v>
      </c>
    </row>
    <row r="355" spans="1:12" x14ac:dyDescent="0.35">
      <c r="A355" t="s">
        <v>362</v>
      </c>
      <c r="B355" t="s">
        <v>810</v>
      </c>
      <c r="C355" s="9">
        <v>45197</v>
      </c>
      <c r="D355" s="9">
        <v>45227</v>
      </c>
      <c r="E355">
        <v>4834.01</v>
      </c>
      <c r="F355" t="s">
        <v>816</v>
      </c>
      <c r="G355" t="str">
        <f>'Raw Data bck'!F355&amp;"/USD"</f>
        <v>GBP/USD</v>
      </c>
      <c r="H355" s="15">
        <v>6568.45</v>
      </c>
      <c r="I355" s="11" t="s">
        <v>821</v>
      </c>
      <c r="J355" s="13">
        <f>IF(I355="Open",H355,IF(I355="Paid",0,"N/A"))</f>
        <v>0</v>
      </c>
      <c r="K355" s="4">
        <v>45227</v>
      </c>
      <c r="L355" t="s">
        <v>822</v>
      </c>
    </row>
    <row r="356" spans="1:12" x14ac:dyDescent="0.35">
      <c r="A356" t="s">
        <v>363</v>
      </c>
      <c r="B356" t="s">
        <v>813</v>
      </c>
      <c r="C356" s="9">
        <v>45027</v>
      </c>
      <c r="D356" s="9">
        <v>45057</v>
      </c>
      <c r="E356">
        <v>1132.31</v>
      </c>
      <c r="F356" t="s">
        <v>817</v>
      </c>
      <c r="G356" t="str">
        <f>'Raw Data bck'!F356&amp;"/USD"</f>
        <v>USD/USD</v>
      </c>
      <c r="H356" s="16">
        <v>1132.31</v>
      </c>
      <c r="I356" s="11" t="s">
        <v>820</v>
      </c>
      <c r="J356" s="13" t="str">
        <f>IF(I356="Open",H356,IF(I356="Paid",0,"N/A"))</f>
        <v>N/A</v>
      </c>
      <c r="L356" t="s">
        <v>822</v>
      </c>
    </row>
    <row r="357" spans="1:12" x14ac:dyDescent="0.35">
      <c r="A357" t="s">
        <v>364</v>
      </c>
      <c r="B357" t="s">
        <v>813</v>
      </c>
      <c r="C357" s="9">
        <v>45797</v>
      </c>
      <c r="D357" s="9">
        <v>45827</v>
      </c>
      <c r="E357">
        <v>239.21</v>
      </c>
      <c r="F357" t="s">
        <v>814</v>
      </c>
      <c r="G357" t="str">
        <f>'Raw Data bck'!F357&amp;"/USD"</f>
        <v>EUR/USD</v>
      </c>
      <c r="H357" s="16">
        <v>278.54000000000002</v>
      </c>
      <c r="I357" s="11" t="s">
        <v>820</v>
      </c>
      <c r="J357" s="13" t="str">
        <f>IF(I357="Open",H357,IF(I357="Paid",0,"N/A"))</f>
        <v>N/A</v>
      </c>
      <c r="L357" t="s">
        <v>822</v>
      </c>
    </row>
    <row r="358" spans="1:12" x14ac:dyDescent="0.35">
      <c r="A358" t="s">
        <v>365</v>
      </c>
      <c r="B358" t="s">
        <v>809</v>
      </c>
      <c r="C358" s="9">
        <v>45190</v>
      </c>
      <c r="D358" s="9">
        <v>45220</v>
      </c>
      <c r="E358">
        <v>1990.65</v>
      </c>
      <c r="F358" t="s">
        <v>814</v>
      </c>
      <c r="G358" t="str">
        <f>'Raw Data bck'!F358&amp;"/USD"</f>
        <v>EUR/USD</v>
      </c>
      <c r="H358" s="15">
        <v>2317.91</v>
      </c>
      <c r="I358" s="11" t="s">
        <v>819</v>
      </c>
      <c r="J358" s="13">
        <f>IF(I358="Open",H358,IF(I358="Paid",0,"N/A"))</f>
        <v>2317.91</v>
      </c>
      <c r="L358" t="s">
        <v>822</v>
      </c>
    </row>
    <row r="359" spans="1:12" x14ac:dyDescent="0.35">
      <c r="A359" t="s">
        <v>366</v>
      </c>
      <c r="B359" t="s">
        <v>809</v>
      </c>
      <c r="C359" s="9">
        <v>45160</v>
      </c>
      <c r="D359" s="9">
        <v>45190</v>
      </c>
      <c r="E359">
        <v>4029.65</v>
      </c>
      <c r="F359" t="s">
        <v>815</v>
      </c>
      <c r="G359" t="str">
        <f>'Raw Data bck'!F359&amp;"/USD"</f>
        <v>CAD/USD</v>
      </c>
      <c r="H359" s="15">
        <v>2909.41</v>
      </c>
      <c r="I359" s="11" t="s">
        <v>821</v>
      </c>
      <c r="J359" s="13">
        <f>IF(I359="Open",H359,IF(I359="Paid",0,"N/A"))</f>
        <v>0</v>
      </c>
      <c r="K359" s="4">
        <v>45190</v>
      </c>
      <c r="L359" t="s">
        <v>822</v>
      </c>
    </row>
    <row r="360" spans="1:12" x14ac:dyDescent="0.35">
      <c r="A360" t="s">
        <v>367</v>
      </c>
      <c r="B360" t="s">
        <v>810</v>
      </c>
      <c r="C360" s="9">
        <v>45545</v>
      </c>
      <c r="D360" s="9">
        <v>45575</v>
      </c>
      <c r="E360">
        <v>1667.66</v>
      </c>
      <c r="F360" t="s">
        <v>818</v>
      </c>
      <c r="G360" t="str">
        <f>'Raw Data bck'!F360&amp;"/USD"</f>
        <v>AUD/USD</v>
      </c>
      <c r="H360" s="15">
        <v>1200.21</v>
      </c>
      <c r="I360" s="11" t="s">
        <v>819</v>
      </c>
      <c r="J360" s="13">
        <f>IF(I360="Open",H360,IF(I360="Paid",0,"N/A"))</f>
        <v>1200.21</v>
      </c>
      <c r="L360" t="s">
        <v>822</v>
      </c>
    </row>
    <row r="361" spans="1:12" x14ac:dyDescent="0.35">
      <c r="A361" t="s">
        <v>368</v>
      </c>
      <c r="B361" t="s">
        <v>810</v>
      </c>
      <c r="C361" s="9">
        <v>45325</v>
      </c>
      <c r="D361" s="9">
        <v>45355</v>
      </c>
      <c r="E361">
        <v>687.7</v>
      </c>
      <c r="F361" t="s">
        <v>818</v>
      </c>
      <c r="G361" t="str">
        <f>'Raw Data bck'!F361&amp;"/USD"</f>
        <v>AUD/USD</v>
      </c>
      <c r="H361" s="15">
        <v>494.94</v>
      </c>
      <c r="I361" s="11" t="s">
        <v>819</v>
      </c>
      <c r="J361" s="13">
        <f>IF(I361="Open",H361,IF(I361="Paid",0,"N/A"))</f>
        <v>494.94</v>
      </c>
      <c r="L361" t="s">
        <v>822</v>
      </c>
    </row>
    <row r="362" spans="1:12" x14ac:dyDescent="0.35">
      <c r="A362" t="s">
        <v>369</v>
      </c>
      <c r="B362" t="s">
        <v>812</v>
      </c>
      <c r="C362" s="9">
        <v>45174</v>
      </c>
      <c r="D362" s="9">
        <v>45204</v>
      </c>
      <c r="E362">
        <v>1555.59</v>
      </c>
      <c r="F362" t="s">
        <v>817</v>
      </c>
      <c r="G362" t="str">
        <f>'Raw Data bck'!F362&amp;"/USD"</f>
        <v>USD/USD</v>
      </c>
      <c r="H362" s="15">
        <v>1555.59</v>
      </c>
      <c r="I362" s="11" t="s">
        <v>821</v>
      </c>
      <c r="J362" s="13">
        <f>IF(I362="Open",H362,IF(I362="Paid",0,"N/A"))</f>
        <v>0</v>
      </c>
      <c r="K362" s="4">
        <v>45204</v>
      </c>
      <c r="L362" t="s">
        <v>822</v>
      </c>
    </row>
    <row r="363" spans="1:12" x14ac:dyDescent="0.35">
      <c r="A363" t="s">
        <v>370</v>
      </c>
      <c r="B363" t="s">
        <v>809</v>
      </c>
      <c r="C363" s="9">
        <v>45298</v>
      </c>
      <c r="D363" s="9">
        <v>45328</v>
      </c>
      <c r="E363">
        <v>937.69</v>
      </c>
      <c r="F363" t="s">
        <v>818</v>
      </c>
      <c r="G363" t="str">
        <f>'Raw Data bck'!F363&amp;"/USD"</f>
        <v>AUD/USD</v>
      </c>
      <c r="H363" s="15">
        <v>674.86</v>
      </c>
      <c r="I363" s="11" t="s">
        <v>821</v>
      </c>
      <c r="J363" s="13">
        <f>IF(I363="Open",H363,IF(I363="Paid",0,"N/A"))</f>
        <v>0</v>
      </c>
      <c r="K363" s="4">
        <v>45328</v>
      </c>
      <c r="L363" t="s">
        <v>822</v>
      </c>
    </row>
    <row r="364" spans="1:12" x14ac:dyDescent="0.35">
      <c r="A364" t="s">
        <v>371</v>
      </c>
      <c r="B364" t="s">
        <v>811</v>
      </c>
      <c r="C364" s="9">
        <v>45307</v>
      </c>
      <c r="D364" s="9">
        <v>45337</v>
      </c>
      <c r="E364">
        <v>2005.72</v>
      </c>
      <c r="F364" t="s">
        <v>817</v>
      </c>
      <c r="G364" t="str">
        <f>'Raw Data bck'!F364&amp;"/USD"</f>
        <v>USD/USD</v>
      </c>
      <c r="H364" s="15">
        <v>2005.72</v>
      </c>
      <c r="I364" s="11" t="s">
        <v>821</v>
      </c>
      <c r="J364" s="13">
        <f>IF(I364="Open",H364,IF(I364="Paid",0,"N/A"))</f>
        <v>0</v>
      </c>
      <c r="K364" s="4">
        <v>45337</v>
      </c>
      <c r="L364" t="s">
        <v>822</v>
      </c>
    </row>
    <row r="365" spans="1:12" x14ac:dyDescent="0.35">
      <c r="A365" t="s">
        <v>372</v>
      </c>
      <c r="B365" t="s">
        <v>809</v>
      </c>
      <c r="C365" s="9">
        <v>45306</v>
      </c>
      <c r="D365" s="9">
        <v>45336</v>
      </c>
      <c r="E365">
        <v>4353.25</v>
      </c>
      <c r="F365" t="s">
        <v>815</v>
      </c>
      <c r="G365" t="str">
        <f>'Raw Data bck'!F365&amp;"/USD"</f>
        <v>CAD/USD</v>
      </c>
      <c r="H365" s="15">
        <v>3143.05</v>
      </c>
      <c r="I365" s="11" t="s">
        <v>821</v>
      </c>
      <c r="J365" s="13">
        <f>IF(I365="Open",H365,IF(I365="Paid",0,"N/A"))</f>
        <v>0</v>
      </c>
      <c r="K365" s="4">
        <v>45336</v>
      </c>
      <c r="L365" t="s">
        <v>822</v>
      </c>
    </row>
    <row r="366" spans="1:12" x14ac:dyDescent="0.35">
      <c r="A366" t="s">
        <v>373</v>
      </c>
      <c r="B366" t="s">
        <v>809</v>
      </c>
      <c r="C366" s="9">
        <v>45653</v>
      </c>
      <c r="D366" s="9">
        <v>45683</v>
      </c>
      <c r="E366">
        <v>2122.23</v>
      </c>
      <c r="F366" t="s">
        <v>818</v>
      </c>
      <c r="G366" t="str">
        <f>'Raw Data bck'!F366&amp;"/USD"</f>
        <v>AUD/USD</v>
      </c>
      <c r="H366" s="15">
        <v>1527.37</v>
      </c>
      <c r="I366" s="11" t="s">
        <v>819</v>
      </c>
      <c r="J366" s="13">
        <f>IF(I366="Open",H366,IF(I366="Paid",0,"N/A"))</f>
        <v>1527.37</v>
      </c>
      <c r="L366" t="s">
        <v>822</v>
      </c>
    </row>
    <row r="367" spans="1:12" x14ac:dyDescent="0.35">
      <c r="A367" t="s">
        <v>374</v>
      </c>
      <c r="B367" t="s">
        <v>813</v>
      </c>
      <c r="C367" s="9">
        <v>45756</v>
      </c>
      <c r="D367" s="9">
        <v>45786</v>
      </c>
      <c r="E367">
        <v>3957.87</v>
      </c>
      <c r="F367" t="s">
        <v>815</v>
      </c>
      <c r="G367" t="str">
        <f>'Raw Data bck'!F367&amp;"/USD"</f>
        <v>CAD/USD</v>
      </c>
      <c r="H367" s="16">
        <v>2857.58</v>
      </c>
      <c r="I367" s="11" t="s">
        <v>820</v>
      </c>
      <c r="J367" s="13" t="str">
        <f>IF(I367="Open",H367,IF(I367="Paid",0,"N/A"))</f>
        <v>N/A</v>
      </c>
      <c r="L367" t="s">
        <v>822</v>
      </c>
    </row>
    <row r="368" spans="1:12" x14ac:dyDescent="0.35">
      <c r="A368" t="s">
        <v>375</v>
      </c>
      <c r="B368" t="s">
        <v>809</v>
      </c>
      <c r="C368" s="9">
        <v>45495</v>
      </c>
      <c r="D368" s="9">
        <v>45525</v>
      </c>
      <c r="E368">
        <v>3266.74</v>
      </c>
      <c r="F368" t="s">
        <v>818</v>
      </c>
      <c r="G368" t="str">
        <f>'Raw Data bck'!F368&amp;"/USD"</f>
        <v>AUD/USD</v>
      </c>
      <c r="H368" s="16">
        <v>2351.0700000000002</v>
      </c>
      <c r="I368" s="11" t="s">
        <v>820</v>
      </c>
      <c r="J368" s="13" t="str">
        <f>IF(I368="Open",H368,IF(I368="Paid",0,"N/A"))</f>
        <v>N/A</v>
      </c>
      <c r="L368" t="s">
        <v>822</v>
      </c>
    </row>
    <row r="369" spans="1:12" x14ac:dyDescent="0.35">
      <c r="A369" t="s">
        <v>376</v>
      </c>
      <c r="B369" t="s">
        <v>813</v>
      </c>
      <c r="C369" s="9">
        <v>45411</v>
      </c>
      <c r="D369" s="9">
        <v>45441</v>
      </c>
      <c r="E369">
        <v>4729.29</v>
      </c>
      <c r="F369" t="s">
        <v>818</v>
      </c>
      <c r="G369" t="str">
        <f>'Raw Data bck'!F369&amp;"/USD"</f>
        <v>AUD/USD</v>
      </c>
      <c r="H369" s="16">
        <v>3403.67</v>
      </c>
      <c r="I369" s="11" t="s">
        <v>820</v>
      </c>
      <c r="J369" s="13" t="str">
        <f>IF(I369="Open",H369,IF(I369="Paid",0,"N/A"))</f>
        <v>N/A</v>
      </c>
      <c r="L369" t="s">
        <v>822</v>
      </c>
    </row>
    <row r="370" spans="1:12" x14ac:dyDescent="0.35">
      <c r="A370" t="s">
        <v>377</v>
      </c>
      <c r="B370" t="s">
        <v>811</v>
      </c>
      <c r="C370" s="9">
        <v>45731</v>
      </c>
      <c r="D370" s="9">
        <v>45761</v>
      </c>
      <c r="E370">
        <v>1404.93</v>
      </c>
      <c r="F370" t="s">
        <v>818</v>
      </c>
      <c r="G370" t="str">
        <f>'Raw Data bck'!F370&amp;"/USD"</f>
        <v>AUD/USD</v>
      </c>
      <c r="H370" s="16">
        <v>1011.13</v>
      </c>
      <c r="I370" s="11" t="s">
        <v>820</v>
      </c>
      <c r="J370" s="13" t="str">
        <f>IF(I370="Open",H370,IF(I370="Paid",0,"N/A"))</f>
        <v>N/A</v>
      </c>
      <c r="L370" t="s">
        <v>822</v>
      </c>
    </row>
    <row r="371" spans="1:12" x14ac:dyDescent="0.35">
      <c r="A371" t="s">
        <v>378</v>
      </c>
      <c r="B371" t="s">
        <v>813</v>
      </c>
      <c r="C371" s="9">
        <v>45631</v>
      </c>
      <c r="D371" s="9">
        <v>45661</v>
      </c>
      <c r="E371">
        <v>2397.5100000000002</v>
      </c>
      <c r="F371" t="s">
        <v>815</v>
      </c>
      <c r="G371" t="str">
        <f>'Raw Data bck'!F371&amp;"/USD"</f>
        <v>CAD/USD</v>
      </c>
      <c r="H371" s="16">
        <v>1731</v>
      </c>
      <c r="I371" s="11" t="s">
        <v>820</v>
      </c>
      <c r="J371" s="13" t="str">
        <f>IF(I371="Open",H371,IF(I371="Paid",0,"N/A"))</f>
        <v>N/A</v>
      </c>
      <c r="L371" t="s">
        <v>822</v>
      </c>
    </row>
    <row r="372" spans="1:12" x14ac:dyDescent="0.35">
      <c r="A372" t="s">
        <v>379</v>
      </c>
      <c r="B372" t="s">
        <v>813</v>
      </c>
      <c r="C372" s="9">
        <v>45005</v>
      </c>
      <c r="D372" s="9">
        <v>45035</v>
      </c>
      <c r="E372">
        <v>3324.14</v>
      </c>
      <c r="F372" t="s">
        <v>818</v>
      </c>
      <c r="G372" t="str">
        <f>'Raw Data bck'!F372&amp;"/USD"</f>
        <v>AUD/USD</v>
      </c>
      <c r="H372" s="15">
        <v>2392.38</v>
      </c>
      <c r="I372" s="11" t="s">
        <v>821</v>
      </c>
      <c r="J372" s="13">
        <f>IF(I372="Open",H372,IF(I372="Paid",0,"N/A"))</f>
        <v>0</v>
      </c>
      <c r="K372" s="4">
        <v>45035</v>
      </c>
      <c r="L372" t="s">
        <v>822</v>
      </c>
    </row>
    <row r="373" spans="1:12" x14ac:dyDescent="0.35">
      <c r="A373" t="s">
        <v>380</v>
      </c>
      <c r="B373" t="s">
        <v>812</v>
      </c>
      <c r="C373" s="9">
        <v>45290</v>
      </c>
      <c r="D373" s="9">
        <v>45320</v>
      </c>
      <c r="E373">
        <v>4000.08</v>
      </c>
      <c r="F373" t="s">
        <v>816</v>
      </c>
      <c r="G373" t="str">
        <f>'Raw Data bck'!F373&amp;"/USD"</f>
        <v>GBP/USD</v>
      </c>
      <c r="H373" s="15">
        <v>5435.31</v>
      </c>
      <c r="I373" s="11" t="s">
        <v>819</v>
      </c>
      <c r="J373" s="13">
        <f>IF(I373="Open",H373,IF(I373="Paid",0,"N/A"))</f>
        <v>5435.31</v>
      </c>
      <c r="L373" t="s">
        <v>822</v>
      </c>
    </row>
    <row r="374" spans="1:12" x14ac:dyDescent="0.35">
      <c r="A374" t="s">
        <v>381</v>
      </c>
      <c r="B374" t="s">
        <v>812</v>
      </c>
      <c r="C374" s="9">
        <v>45788</v>
      </c>
      <c r="D374" s="9">
        <v>45818</v>
      </c>
      <c r="E374">
        <v>692.78</v>
      </c>
      <c r="F374" t="s">
        <v>814</v>
      </c>
      <c r="G374" t="str">
        <f>'Raw Data bck'!F374&amp;"/USD"</f>
        <v>EUR/USD</v>
      </c>
      <c r="H374" s="15">
        <v>806.67</v>
      </c>
      <c r="I374" s="11" t="s">
        <v>821</v>
      </c>
      <c r="J374" s="13">
        <f>IF(I374="Open",H374,IF(I374="Paid",0,"N/A"))</f>
        <v>0</v>
      </c>
      <c r="K374" s="4">
        <v>45818</v>
      </c>
      <c r="L374" t="s">
        <v>822</v>
      </c>
    </row>
    <row r="375" spans="1:12" x14ac:dyDescent="0.35">
      <c r="A375" t="s">
        <v>382</v>
      </c>
      <c r="B375" t="s">
        <v>811</v>
      </c>
      <c r="C375" s="9">
        <v>45066</v>
      </c>
      <c r="D375" s="9">
        <v>45096</v>
      </c>
      <c r="E375">
        <v>485.69</v>
      </c>
      <c r="F375" t="s">
        <v>814</v>
      </c>
      <c r="G375" t="str">
        <f>'Raw Data bck'!F375&amp;"/USD"</f>
        <v>EUR/USD</v>
      </c>
      <c r="H375" s="16">
        <v>565.54</v>
      </c>
      <c r="I375" s="11" t="s">
        <v>820</v>
      </c>
      <c r="J375" s="13" t="str">
        <f>IF(I375="Open",H375,IF(I375="Paid",0,"N/A"))</f>
        <v>N/A</v>
      </c>
      <c r="L375" t="s">
        <v>822</v>
      </c>
    </row>
    <row r="376" spans="1:12" x14ac:dyDescent="0.35">
      <c r="A376" t="s">
        <v>383</v>
      </c>
      <c r="B376" t="s">
        <v>813</v>
      </c>
      <c r="C376" s="9">
        <v>45168</v>
      </c>
      <c r="D376" s="9">
        <v>45198</v>
      </c>
      <c r="E376">
        <v>2956.85</v>
      </c>
      <c r="F376" t="s">
        <v>814</v>
      </c>
      <c r="G376" t="str">
        <f>'Raw Data bck'!F376&amp;"/USD"</f>
        <v>EUR/USD</v>
      </c>
      <c r="H376" s="15">
        <v>3442.96</v>
      </c>
      <c r="I376" s="11" t="s">
        <v>821</v>
      </c>
      <c r="J376" s="13">
        <f>IF(I376="Open",H376,IF(I376="Paid",0,"N/A"))</f>
        <v>0</v>
      </c>
      <c r="K376" s="4">
        <v>45198</v>
      </c>
      <c r="L376" t="s">
        <v>822</v>
      </c>
    </row>
    <row r="377" spans="1:12" x14ac:dyDescent="0.35">
      <c r="A377" t="s">
        <v>384</v>
      </c>
      <c r="B377" t="s">
        <v>810</v>
      </c>
      <c r="C377" s="9">
        <v>45233</v>
      </c>
      <c r="D377" s="9">
        <v>45263</v>
      </c>
      <c r="E377">
        <v>2455.2600000000002</v>
      </c>
      <c r="F377" t="s">
        <v>815</v>
      </c>
      <c r="G377" t="str">
        <f>'Raw Data bck'!F377&amp;"/USD"</f>
        <v>CAD/USD</v>
      </c>
      <c r="H377" s="16">
        <v>1772.7</v>
      </c>
      <c r="I377" s="11" t="s">
        <v>820</v>
      </c>
      <c r="J377" s="13" t="str">
        <f>IF(I377="Open",H377,IF(I377="Paid",0,"N/A"))</f>
        <v>N/A</v>
      </c>
      <c r="L377" t="s">
        <v>822</v>
      </c>
    </row>
    <row r="378" spans="1:12" x14ac:dyDescent="0.35">
      <c r="A378" t="s">
        <v>385</v>
      </c>
      <c r="B378" t="s">
        <v>811</v>
      </c>
      <c r="C378" s="9">
        <v>44958</v>
      </c>
      <c r="D378" s="9">
        <v>44988</v>
      </c>
      <c r="E378">
        <v>852.36</v>
      </c>
      <c r="F378" t="s">
        <v>815</v>
      </c>
      <c r="G378" t="str">
        <f>'Raw Data bck'!F378&amp;"/USD"</f>
        <v>CAD/USD</v>
      </c>
      <c r="H378" s="15">
        <v>615.4</v>
      </c>
      <c r="I378" s="11" t="s">
        <v>821</v>
      </c>
      <c r="J378" s="13">
        <f>IF(I378="Open",H378,IF(I378="Paid",0,"N/A"))</f>
        <v>0</v>
      </c>
      <c r="K378" s="4">
        <v>44988</v>
      </c>
      <c r="L378" t="s">
        <v>822</v>
      </c>
    </row>
    <row r="379" spans="1:12" x14ac:dyDescent="0.35">
      <c r="A379" t="s">
        <v>386</v>
      </c>
      <c r="B379" t="s">
        <v>813</v>
      </c>
      <c r="C379" s="9">
        <v>45129</v>
      </c>
      <c r="D379" s="9">
        <v>45159</v>
      </c>
      <c r="E379">
        <v>4885.47</v>
      </c>
      <c r="F379" t="s">
        <v>814</v>
      </c>
      <c r="G379" t="str">
        <f>'Raw Data bck'!F379&amp;"/USD"</f>
        <v>EUR/USD</v>
      </c>
      <c r="H379" s="16">
        <v>5688.64</v>
      </c>
      <c r="I379" s="11" t="s">
        <v>820</v>
      </c>
      <c r="J379" s="13" t="str">
        <f>IF(I379="Open",H379,IF(I379="Paid",0,"N/A"))</f>
        <v>N/A</v>
      </c>
      <c r="L379" t="s">
        <v>822</v>
      </c>
    </row>
    <row r="380" spans="1:12" x14ac:dyDescent="0.35">
      <c r="A380" t="s">
        <v>387</v>
      </c>
      <c r="B380" t="s">
        <v>813</v>
      </c>
      <c r="C380" s="9">
        <v>45521</v>
      </c>
      <c r="D380" s="9">
        <v>45551</v>
      </c>
      <c r="E380">
        <v>3332.33</v>
      </c>
      <c r="F380" t="s">
        <v>817</v>
      </c>
      <c r="G380" t="str">
        <f>'Raw Data bck'!F380&amp;"/USD"</f>
        <v>USD/USD</v>
      </c>
      <c r="H380" s="15">
        <v>3332.33</v>
      </c>
      <c r="I380" s="11" t="s">
        <v>819</v>
      </c>
      <c r="J380" s="13">
        <f>IF(I380="Open",H380,IF(I380="Paid",0,"N/A"))</f>
        <v>3332.33</v>
      </c>
      <c r="L380" t="s">
        <v>822</v>
      </c>
    </row>
    <row r="381" spans="1:12" x14ac:dyDescent="0.35">
      <c r="A381" t="s">
        <v>388</v>
      </c>
      <c r="B381" t="s">
        <v>813</v>
      </c>
      <c r="C381" s="9">
        <v>45170</v>
      </c>
      <c r="D381" s="9">
        <v>45200</v>
      </c>
      <c r="E381">
        <v>431.39</v>
      </c>
      <c r="F381" t="s">
        <v>817</v>
      </c>
      <c r="G381" t="str">
        <f>'Raw Data bck'!F381&amp;"/USD"</f>
        <v>USD/USD</v>
      </c>
      <c r="H381" s="15">
        <v>431.39</v>
      </c>
      <c r="I381" s="11" t="s">
        <v>821</v>
      </c>
      <c r="J381" s="13">
        <f>IF(I381="Open",H381,IF(I381="Paid",0,"N/A"))</f>
        <v>0</v>
      </c>
      <c r="K381" s="4">
        <v>45200</v>
      </c>
      <c r="L381" t="s">
        <v>822</v>
      </c>
    </row>
    <row r="382" spans="1:12" x14ac:dyDescent="0.35">
      <c r="A382" t="s">
        <v>389</v>
      </c>
      <c r="B382" t="s">
        <v>809</v>
      </c>
      <c r="C382" s="9">
        <v>45363</v>
      </c>
      <c r="D382" s="9">
        <v>45393</v>
      </c>
      <c r="E382">
        <v>2201.16</v>
      </c>
      <c r="F382" t="s">
        <v>816</v>
      </c>
      <c r="G382" t="str">
        <f>'Raw Data bck'!F382&amp;"/USD"</f>
        <v>GBP/USD</v>
      </c>
      <c r="H382" s="15">
        <v>2990.94</v>
      </c>
      <c r="I382" s="11" t="s">
        <v>819</v>
      </c>
      <c r="J382" s="13">
        <f>IF(I382="Open",H382,IF(I382="Paid",0,"N/A"))</f>
        <v>2990.94</v>
      </c>
      <c r="L382" t="s">
        <v>822</v>
      </c>
    </row>
    <row r="383" spans="1:12" x14ac:dyDescent="0.35">
      <c r="A383" t="s">
        <v>390</v>
      </c>
      <c r="B383" t="s">
        <v>812</v>
      </c>
      <c r="C383" s="9">
        <v>45552</v>
      </c>
      <c r="D383" s="9">
        <v>45582</v>
      </c>
      <c r="E383">
        <v>726.32</v>
      </c>
      <c r="F383" t="s">
        <v>816</v>
      </c>
      <c r="G383" t="str">
        <f>'Raw Data bck'!F383&amp;"/USD"</f>
        <v>GBP/USD</v>
      </c>
      <c r="H383" s="15">
        <v>986.92</v>
      </c>
      <c r="I383" s="11" t="s">
        <v>821</v>
      </c>
      <c r="J383" s="13">
        <f>IF(I383="Open",H383,IF(I383="Paid",0,"N/A"))</f>
        <v>0</v>
      </c>
      <c r="K383" s="4">
        <v>45582</v>
      </c>
      <c r="L383" t="s">
        <v>822</v>
      </c>
    </row>
    <row r="384" spans="1:12" x14ac:dyDescent="0.35">
      <c r="A384" t="s">
        <v>391</v>
      </c>
      <c r="B384" t="s">
        <v>813</v>
      </c>
      <c r="C384" s="9">
        <v>45329</v>
      </c>
      <c r="D384" s="9">
        <v>45359</v>
      </c>
      <c r="E384">
        <v>4541.1000000000004</v>
      </c>
      <c r="F384" t="s">
        <v>818</v>
      </c>
      <c r="G384" t="str">
        <f>'Raw Data bck'!F384&amp;"/USD"</f>
        <v>AUD/USD</v>
      </c>
      <c r="H384" s="16">
        <v>3268.23</v>
      </c>
      <c r="I384" s="11" t="s">
        <v>820</v>
      </c>
      <c r="J384" s="13" t="str">
        <f>IF(I384="Open",H384,IF(I384="Paid",0,"N/A"))</f>
        <v>N/A</v>
      </c>
      <c r="L384" t="s">
        <v>822</v>
      </c>
    </row>
    <row r="385" spans="1:12" x14ac:dyDescent="0.35">
      <c r="A385" t="s">
        <v>392</v>
      </c>
      <c r="B385" t="s">
        <v>810</v>
      </c>
      <c r="C385" s="9">
        <v>45797</v>
      </c>
      <c r="D385" s="9">
        <v>45827</v>
      </c>
      <c r="E385">
        <v>249.48</v>
      </c>
      <c r="F385" t="s">
        <v>815</v>
      </c>
      <c r="G385" t="str">
        <f>'Raw Data bck'!F385&amp;"/USD"</f>
        <v>CAD/USD</v>
      </c>
      <c r="H385" s="15">
        <v>180.12</v>
      </c>
      <c r="I385" s="11" t="s">
        <v>821</v>
      </c>
      <c r="J385" s="13">
        <f>IF(I385="Open",H385,IF(I385="Paid",0,"N/A"))</f>
        <v>0</v>
      </c>
      <c r="K385" s="4">
        <v>45827</v>
      </c>
      <c r="L385" t="s">
        <v>822</v>
      </c>
    </row>
    <row r="386" spans="1:12" x14ac:dyDescent="0.35">
      <c r="A386" t="s">
        <v>393</v>
      </c>
      <c r="B386" t="s">
        <v>809</v>
      </c>
      <c r="C386" s="9">
        <v>45284</v>
      </c>
      <c r="D386" s="9">
        <v>45314</v>
      </c>
      <c r="E386">
        <v>3005.5</v>
      </c>
      <c r="F386" t="s">
        <v>814</v>
      </c>
      <c r="G386" t="str">
        <f>'Raw Data bck'!F386&amp;"/USD"</f>
        <v>EUR/USD</v>
      </c>
      <c r="H386" s="15">
        <v>3499.6</v>
      </c>
      <c r="I386" s="11" t="s">
        <v>819</v>
      </c>
      <c r="J386" s="13">
        <f>IF(I386="Open",H386,IF(I386="Paid",0,"N/A"))</f>
        <v>3499.6</v>
      </c>
      <c r="L386" t="s">
        <v>822</v>
      </c>
    </row>
    <row r="387" spans="1:12" x14ac:dyDescent="0.35">
      <c r="A387" t="s">
        <v>394</v>
      </c>
      <c r="B387" t="s">
        <v>813</v>
      </c>
      <c r="C387" s="9">
        <v>44930</v>
      </c>
      <c r="D387" s="9">
        <v>44960</v>
      </c>
      <c r="E387">
        <v>1857.96</v>
      </c>
      <c r="F387" t="s">
        <v>814</v>
      </c>
      <c r="G387" t="str">
        <f>'Raw Data bck'!F387&amp;"/USD"</f>
        <v>EUR/USD</v>
      </c>
      <c r="H387" s="15">
        <v>2163.41</v>
      </c>
      <c r="I387" s="11" t="s">
        <v>821</v>
      </c>
      <c r="J387" s="13">
        <f>IF(I387="Open",H387,IF(I387="Paid",0,"N/A"))</f>
        <v>0</v>
      </c>
      <c r="K387" s="4">
        <v>44960</v>
      </c>
      <c r="L387" t="s">
        <v>822</v>
      </c>
    </row>
    <row r="388" spans="1:12" x14ac:dyDescent="0.35">
      <c r="A388" t="s">
        <v>395</v>
      </c>
      <c r="B388" t="s">
        <v>813</v>
      </c>
      <c r="C388" s="9">
        <v>45616</v>
      </c>
      <c r="D388" s="9">
        <v>45646</v>
      </c>
      <c r="E388">
        <v>915.02</v>
      </c>
      <c r="F388" t="s">
        <v>818</v>
      </c>
      <c r="G388" t="str">
        <f>'Raw Data bck'!F388&amp;"/USD"</f>
        <v>AUD/USD</v>
      </c>
      <c r="H388" s="15">
        <v>658.54</v>
      </c>
      <c r="I388" s="11" t="s">
        <v>819</v>
      </c>
      <c r="J388" s="13">
        <f>IF(I388="Open",H388,IF(I388="Paid",0,"N/A"))</f>
        <v>658.54</v>
      </c>
      <c r="L388" t="s">
        <v>822</v>
      </c>
    </row>
    <row r="389" spans="1:12" x14ac:dyDescent="0.35">
      <c r="A389" t="s">
        <v>396</v>
      </c>
      <c r="B389" t="s">
        <v>809</v>
      </c>
      <c r="C389" s="9">
        <v>45480</v>
      </c>
      <c r="D389" s="9">
        <v>45510</v>
      </c>
      <c r="E389">
        <v>4101.55</v>
      </c>
      <c r="F389" t="s">
        <v>816</v>
      </c>
      <c r="G389" t="str">
        <f>'Raw Data bck'!F389&amp;"/USD"</f>
        <v>GBP/USD</v>
      </c>
      <c r="H389" s="15">
        <v>5573.19</v>
      </c>
      <c r="I389" s="11" t="s">
        <v>819</v>
      </c>
      <c r="J389" s="13">
        <f>IF(I389="Open",H389,IF(I389="Paid",0,"N/A"))</f>
        <v>5573.19</v>
      </c>
      <c r="L389" t="s">
        <v>822</v>
      </c>
    </row>
    <row r="390" spans="1:12" x14ac:dyDescent="0.35">
      <c r="A390" t="s">
        <v>397</v>
      </c>
      <c r="B390" t="s">
        <v>812</v>
      </c>
      <c r="C390" s="9">
        <v>45272</v>
      </c>
      <c r="D390" s="9">
        <v>45302</v>
      </c>
      <c r="E390">
        <v>4184.6499999999996</v>
      </c>
      <c r="F390" t="s">
        <v>814</v>
      </c>
      <c r="G390" t="str">
        <f>'Raw Data bck'!F390&amp;"/USD"</f>
        <v>EUR/USD</v>
      </c>
      <c r="H390" s="16">
        <v>4872.6099999999997</v>
      </c>
      <c r="I390" s="11" t="s">
        <v>820</v>
      </c>
      <c r="J390" s="13" t="str">
        <f>IF(I390="Open",H390,IF(I390="Paid",0,"N/A"))</f>
        <v>N/A</v>
      </c>
      <c r="L390" t="s">
        <v>822</v>
      </c>
    </row>
    <row r="391" spans="1:12" x14ac:dyDescent="0.35">
      <c r="A391" t="s">
        <v>398</v>
      </c>
      <c r="B391" t="s">
        <v>811</v>
      </c>
      <c r="C391" s="9">
        <v>45408</v>
      </c>
      <c r="D391" s="9">
        <v>45438</v>
      </c>
      <c r="E391">
        <v>4769.93</v>
      </c>
      <c r="F391" t="s">
        <v>815</v>
      </c>
      <c r="G391" t="str">
        <f>'Raw Data bck'!F391&amp;"/USD"</f>
        <v>CAD/USD</v>
      </c>
      <c r="H391" s="15">
        <v>3443.89</v>
      </c>
      <c r="I391" s="11" t="s">
        <v>819</v>
      </c>
      <c r="J391" s="13">
        <f>IF(I391="Open",H391,IF(I391="Paid",0,"N/A"))</f>
        <v>3443.89</v>
      </c>
      <c r="L391" t="s">
        <v>822</v>
      </c>
    </row>
    <row r="392" spans="1:12" x14ac:dyDescent="0.35">
      <c r="A392" t="s">
        <v>399</v>
      </c>
      <c r="B392" t="s">
        <v>812</v>
      </c>
      <c r="C392" s="9">
        <v>45387</v>
      </c>
      <c r="D392" s="9">
        <v>45417</v>
      </c>
      <c r="E392">
        <v>3082.55</v>
      </c>
      <c r="F392" t="s">
        <v>818</v>
      </c>
      <c r="G392" t="str">
        <f>'Raw Data bck'!F392&amp;"/USD"</f>
        <v>AUD/USD</v>
      </c>
      <c r="H392" s="16">
        <v>2218.5100000000002</v>
      </c>
      <c r="I392" s="11" t="s">
        <v>820</v>
      </c>
      <c r="J392" s="13" t="str">
        <f>IF(I392="Open",H392,IF(I392="Paid",0,"N/A"))</f>
        <v>N/A</v>
      </c>
      <c r="L392" t="s">
        <v>822</v>
      </c>
    </row>
    <row r="393" spans="1:12" x14ac:dyDescent="0.35">
      <c r="A393" t="s">
        <v>400</v>
      </c>
      <c r="B393" t="s">
        <v>810</v>
      </c>
      <c r="C393" s="9">
        <v>45237</v>
      </c>
      <c r="D393" s="9">
        <v>45267</v>
      </c>
      <c r="E393">
        <v>4720.7700000000004</v>
      </c>
      <c r="F393" t="s">
        <v>817</v>
      </c>
      <c r="G393" t="str">
        <f>'Raw Data bck'!F393&amp;"/USD"</f>
        <v>USD/USD</v>
      </c>
      <c r="H393" s="15">
        <v>4720.7700000000004</v>
      </c>
      <c r="I393" s="11" t="s">
        <v>821</v>
      </c>
      <c r="J393" s="13">
        <f>IF(I393="Open",H393,IF(I393="Paid",0,"N/A"))</f>
        <v>0</v>
      </c>
      <c r="K393" s="4">
        <v>45267</v>
      </c>
      <c r="L393" t="s">
        <v>822</v>
      </c>
    </row>
    <row r="394" spans="1:12" x14ac:dyDescent="0.35">
      <c r="A394" t="s">
        <v>401</v>
      </c>
      <c r="B394" t="s">
        <v>810</v>
      </c>
      <c r="C394" s="9">
        <v>45436</v>
      </c>
      <c r="D394" s="9">
        <v>45466</v>
      </c>
      <c r="E394">
        <v>4645.08</v>
      </c>
      <c r="F394" t="s">
        <v>818</v>
      </c>
      <c r="G394" t="str">
        <f>'Raw Data bck'!F394&amp;"/USD"</f>
        <v>AUD/USD</v>
      </c>
      <c r="H394" s="15">
        <v>3343.06</v>
      </c>
      <c r="I394" s="11" t="s">
        <v>819</v>
      </c>
      <c r="J394" s="13">
        <f>IF(I394="Open",H394,IF(I394="Paid",0,"N/A"))</f>
        <v>3343.06</v>
      </c>
      <c r="L394" t="s">
        <v>822</v>
      </c>
    </row>
    <row r="395" spans="1:12" x14ac:dyDescent="0.35">
      <c r="A395" t="s">
        <v>402</v>
      </c>
      <c r="B395" t="s">
        <v>810</v>
      </c>
      <c r="C395" s="9">
        <v>45464</v>
      </c>
      <c r="D395" s="9">
        <v>45494</v>
      </c>
      <c r="E395">
        <v>2488.5</v>
      </c>
      <c r="F395" t="s">
        <v>817</v>
      </c>
      <c r="G395" t="str">
        <f>'Raw Data bck'!F395&amp;"/USD"</f>
        <v>USD/USD</v>
      </c>
      <c r="H395" s="15">
        <v>2488.5</v>
      </c>
      <c r="I395" s="11" t="s">
        <v>819</v>
      </c>
      <c r="J395" s="13">
        <f>IF(I395="Open",H395,IF(I395="Paid",0,"N/A"))</f>
        <v>2488.5</v>
      </c>
      <c r="L395" t="s">
        <v>822</v>
      </c>
    </row>
    <row r="396" spans="1:12" x14ac:dyDescent="0.35">
      <c r="A396" t="s">
        <v>403</v>
      </c>
      <c r="B396" t="s">
        <v>812</v>
      </c>
      <c r="C396" s="9">
        <v>45308</v>
      </c>
      <c r="D396" s="9">
        <v>45338</v>
      </c>
      <c r="E396">
        <v>4687.1499999999996</v>
      </c>
      <c r="F396" t="s">
        <v>815</v>
      </c>
      <c r="G396" t="str">
        <f>'Raw Data bck'!F396&amp;"/USD"</f>
        <v>CAD/USD</v>
      </c>
      <c r="H396" s="16">
        <v>3384.12</v>
      </c>
      <c r="I396" s="11" t="s">
        <v>820</v>
      </c>
      <c r="J396" s="13" t="str">
        <f>IF(I396="Open",H396,IF(I396="Paid",0,"N/A"))</f>
        <v>N/A</v>
      </c>
      <c r="L396" t="s">
        <v>822</v>
      </c>
    </row>
    <row r="397" spans="1:12" x14ac:dyDescent="0.35">
      <c r="A397" t="s">
        <v>404</v>
      </c>
      <c r="B397" t="s">
        <v>812</v>
      </c>
      <c r="C397" s="9">
        <v>45227</v>
      </c>
      <c r="D397" s="9">
        <v>45257</v>
      </c>
      <c r="E397">
        <v>3299.79</v>
      </c>
      <c r="F397" t="s">
        <v>817</v>
      </c>
      <c r="G397" t="str">
        <f>'Raw Data bck'!F397&amp;"/USD"</f>
        <v>USD/USD</v>
      </c>
      <c r="H397" s="15">
        <v>3299.79</v>
      </c>
      <c r="I397" s="11" t="s">
        <v>819</v>
      </c>
      <c r="J397" s="13">
        <f>IF(I397="Open",H397,IF(I397="Paid",0,"N/A"))</f>
        <v>3299.79</v>
      </c>
      <c r="L397" t="s">
        <v>822</v>
      </c>
    </row>
    <row r="398" spans="1:12" x14ac:dyDescent="0.35">
      <c r="A398" t="s">
        <v>405</v>
      </c>
      <c r="B398" t="s">
        <v>810</v>
      </c>
      <c r="C398" s="9">
        <v>45541</v>
      </c>
      <c r="D398" s="9">
        <v>45571</v>
      </c>
      <c r="E398">
        <v>1150.1099999999999</v>
      </c>
      <c r="F398" t="s">
        <v>816</v>
      </c>
      <c r="G398" t="str">
        <f>'Raw Data bck'!F398&amp;"/USD"</f>
        <v>GBP/USD</v>
      </c>
      <c r="H398" s="15">
        <v>1562.77</v>
      </c>
      <c r="I398" s="11" t="s">
        <v>821</v>
      </c>
      <c r="J398" s="13">
        <f>IF(I398="Open",H398,IF(I398="Paid",0,"N/A"))</f>
        <v>0</v>
      </c>
      <c r="K398" s="4">
        <v>45571</v>
      </c>
      <c r="L398" t="s">
        <v>822</v>
      </c>
    </row>
    <row r="399" spans="1:12" x14ac:dyDescent="0.35">
      <c r="A399" t="s">
        <v>406</v>
      </c>
      <c r="B399" t="s">
        <v>812</v>
      </c>
      <c r="C399" s="9">
        <v>45329</v>
      </c>
      <c r="D399" s="9">
        <v>45359</v>
      </c>
      <c r="E399">
        <v>1440.98</v>
      </c>
      <c r="F399" t="s">
        <v>815</v>
      </c>
      <c r="G399" t="str">
        <f>'Raw Data bck'!F399&amp;"/USD"</f>
        <v>CAD/USD</v>
      </c>
      <c r="H399" s="15">
        <v>1040.3900000000001</v>
      </c>
      <c r="I399" s="11" t="s">
        <v>819</v>
      </c>
      <c r="J399" s="13">
        <f>IF(I399="Open",H399,IF(I399="Paid",0,"N/A"))</f>
        <v>1040.3900000000001</v>
      </c>
      <c r="L399" t="s">
        <v>822</v>
      </c>
    </row>
    <row r="400" spans="1:12" x14ac:dyDescent="0.35">
      <c r="A400" t="s">
        <v>407</v>
      </c>
      <c r="B400" t="s">
        <v>811</v>
      </c>
      <c r="C400" s="9">
        <v>45012</v>
      </c>
      <c r="D400" s="9">
        <v>45042</v>
      </c>
      <c r="E400">
        <v>4705.1499999999996</v>
      </c>
      <c r="F400" t="s">
        <v>818</v>
      </c>
      <c r="G400" t="str">
        <f>'Raw Data bck'!F400&amp;"/USD"</f>
        <v>AUD/USD</v>
      </c>
      <c r="H400" s="15">
        <v>3386.3</v>
      </c>
      <c r="I400" s="11" t="s">
        <v>821</v>
      </c>
      <c r="J400" s="13">
        <f>IF(I400="Open",H400,IF(I400="Paid",0,"N/A"))</f>
        <v>0</v>
      </c>
      <c r="K400" s="4">
        <v>45042</v>
      </c>
      <c r="L400" t="s">
        <v>822</v>
      </c>
    </row>
    <row r="401" spans="1:12" x14ac:dyDescent="0.35">
      <c r="A401" t="s">
        <v>408</v>
      </c>
      <c r="B401" t="s">
        <v>813</v>
      </c>
      <c r="C401" s="9">
        <v>45086</v>
      </c>
      <c r="D401" s="9">
        <v>45116</v>
      </c>
      <c r="E401">
        <v>4226.8900000000003</v>
      </c>
      <c r="F401" t="s">
        <v>818</v>
      </c>
      <c r="G401" t="str">
        <f>'Raw Data bck'!F401&amp;"/USD"</f>
        <v>AUD/USD</v>
      </c>
      <c r="H401" s="15">
        <v>3042.09</v>
      </c>
      <c r="I401" s="11" t="s">
        <v>821</v>
      </c>
      <c r="J401" s="13">
        <f>IF(I401="Open",H401,IF(I401="Paid",0,"N/A"))</f>
        <v>0</v>
      </c>
      <c r="K401" s="4">
        <v>45116</v>
      </c>
      <c r="L401" t="s">
        <v>822</v>
      </c>
    </row>
    <row r="402" spans="1:12" x14ac:dyDescent="0.35">
      <c r="A402" t="s">
        <v>409</v>
      </c>
      <c r="B402" t="s">
        <v>812</v>
      </c>
      <c r="C402" s="9">
        <v>45776</v>
      </c>
      <c r="D402" s="9">
        <v>45806</v>
      </c>
      <c r="E402">
        <v>4706.16</v>
      </c>
      <c r="F402" t="s">
        <v>816</v>
      </c>
      <c r="G402" t="str">
        <f>'Raw Data bck'!F402&amp;"/USD"</f>
        <v>GBP/USD</v>
      </c>
      <c r="H402" s="15">
        <v>6394.73</v>
      </c>
      <c r="I402" s="11" t="s">
        <v>821</v>
      </c>
      <c r="J402" s="13">
        <f>IF(I402="Open",H402,IF(I402="Paid",0,"N/A"))</f>
        <v>0</v>
      </c>
      <c r="K402" s="4">
        <v>45806</v>
      </c>
      <c r="L402" t="s">
        <v>822</v>
      </c>
    </row>
    <row r="403" spans="1:12" x14ac:dyDescent="0.35">
      <c r="A403" t="s">
        <v>410</v>
      </c>
      <c r="B403" t="s">
        <v>812</v>
      </c>
      <c r="C403" s="9">
        <v>45145</v>
      </c>
      <c r="D403" s="9">
        <v>45175</v>
      </c>
      <c r="E403">
        <v>4149.5200000000004</v>
      </c>
      <c r="F403" t="s">
        <v>817</v>
      </c>
      <c r="G403" t="str">
        <f>'Raw Data bck'!F403&amp;"/USD"</f>
        <v>USD/USD</v>
      </c>
      <c r="H403" s="15">
        <v>4149.5200000000004</v>
      </c>
      <c r="I403" s="11" t="s">
        <v>821</v>
      </c>
      <c r="J403" s="13">
        <f>IF(I403="Open",H403,IF(I403="Paid",0,"N/A"))</f>
        <v>0</v>
      </c>
      <c r="K403" s="4">
        <v>45175</v>
      </c>
      <c r="L403" t="s">
        <v>822</v>
      </c>
    </row>
    <row r="404" spans="1:12" x14ac:dyDescent="0.35">
      <c r="A404" t="s">
        <v>411</v>
      </c>
      <c r="B404" t="s">
        <v>810</v>
      </c>
      <c r="C404" s="9">
        <v>45286</v>
      </c>
      <c r="D404" s="9">
        <v>45316</v>
      </c>
      <c r="E404">
        <v>1586.89</v>
      </c>
      <c r="F404" t="s">
        <v>814</v>
      </c>
      <c r="G404" t="str">
        <f>'Raw Data bck'!F404&amp;"/USD"</f>
        <v>EUR/USD</v>
      </c>
      <c r="H404" s="16">
        <v>1847.77</v>
      </c>
      <c r="I404" s="11" t="s">
        <v>820</v>
      </c>
      <c r="J404" s="13" t="str">
        <f>IF(I404="Open",H404,IF(I404="Paid",0,"N/A"))</f>
        <v>N/A</v>
      </c>
      <c r="L404" t="s">
        <v>822</v>
      </c>
    </row>
    <row r="405" spans="1:12" x14ac:dyDescent="0.35">
      <c r="A405" t="s">
        <v>412</v>
      </c>
      <c r="B405" t="s">
        <v>809</v>
      </c>
      <c r="C405" s="9">
        <v>45757</v>
      </c>
      <c r="D405" s="9">
        <v>45787</v>
      </c>
      <c r="E405">
        <v>2473.2600000000002</v>
      </c>
      <c r="F405" t="s">
        <v>817</v>
      </c>
      <c r="G405" t="str">
        <f>'Raw Data bck'!F405&amp;"/USD"</f>
        <v>USD/USD</v>
      </c>
      <c r="H405" s="15">
        <v>2473.2600000000002</v>
      </c>
      <c r="I405" s="11" t="s">
        <v>819</v>
      </c>
      <c r="J405" s="13">
        <f>IF(I405="Open",H405,IF(I405="Paid",0,"N/A"))</f>
        <v>2473.2600000000002</v>
      </c>
      <c r="L405" t="s">
        <v>822</v>
      </c>
    </row>
    <row r="406" spans="1:12" x14ac:dyDescent="0.35">
      <c r="A406" t="s">
        <v>413</v>
      </c>
      <c r="B406" t="s">
        <v>809</v>
      </c>
      <c r="C406" s="9">
        <v>45577</v>
      </c>
      <c r="D406" s="9">
        <v>45607</v>
      </c>
      <c r="E406">
        <v>3115.36</v>
      </c>
      <c r="F406" t="s">
        <v>816</v>
      </c>
      <c r="G406" t="str">
        <f>'Raw Data bck'!F406&amp;"/USD"</f>
        <v>GBP/USD</v>
      </c>
      <c r="H406" s="15">
        <v>4233.1499999999996</v>
      </c>
      <c r="I406" s="11" t="s">
        <v>819</v>
      </c>
      <c r="J406" s="13">
        <f>IF(I406="Open",H406,IF(I406="Paid",0,"N/A"))</f>
        <v>4233.1499999999996</v>
      </c>
      <c r="L406" t="s">
        <v>822</v>
      </c>
    </row>
    <row r="407" spans="1:12" x14ac:dyDescent="0.35">
      <c r="A407" t="s">
        <v>414</v>
      </c>
      <c r="B407" t="s">
        <v>812</v>
      </c>
      <c r="C407" s="9">
        <v>45775</v>
      </c>
      <c r="D407" s="9">
        <v>45805</v>
      </c>
      <c r="E407">
        <v>2243.81</v>
      </c>
      <c r="F407" t="s">
        <v>818</v>
      </c>
      <c r="G407" t="str">
        <f>'Raw Data bck'!F407&amp;"/USD"</f>
        <v>AUD/USD</v>
      </c>
      <c r="H407" s="15">
        <v>1614.87</v>
      </c>
      <c r="I407" s="11" t="s">
        <v>821</v>
      </c>
      <c r="J407" s="13">
        <f>IF(I407="Open",H407,IF(I407="Paid",0,"N/A"))</f>
        <v>0</v>
      </c>
      <c r="K407" s="4">
        <v>45805</v>
      </c>
      <c r="L407" t="s">
        <v>822</v>
      </c>
    </row>
    <row r="408" spans="1:12" x14ac:dyDescent="0.35">
      <c r="A408" t="s">
        <v>415</v>
      </c>
      <c r="B408" t="s">
        <v>810</v>
      </c>
      <c r="C408" s="9">
        <v>45729</v>
      </c>
      <c r="D408" s="9">
        <v>45759</v>
      </c>
      <c r="E408">
        <v>2764.23</v>
      </c>
      <c r="F408" t="s">
        <v>816</v>
      </c>
      <c r="G408" t="str">
        <f>'Raw Data bck'!F408&amp;"/USD"</f>
        <v>GBP/USD</v>
      </c>
      <c r="H408" s="16">
        <v>3756.04</v>
      </c>
      <c r="I408" s="11" t="s">
        <v>820</v>
      </c>
      <c r="J408" s="13" t="str">
        <f>IF(I408="Open",H408,IF(I408="Paid",0,"N/A"))</f>
        <v>N/A</v>
      </c>
      <c r="L408" t="s">
        <v>822</v>
      </c>
    </row>
    <row r="409" spans="1:12" x14ac:dyDescent="0.35">
      <c r="A409" t="s">
        <v>416</v>
      </c>
      <c r="B409" t="s">
        <v>813</v>
      </c>
      <c r="C409" s="9">
        <v>45286</v>
      </c>
      <c r="D409" s="9">
        <v>45316</v>
      </c>
      <c r="E409">
        <v>4219.16</v>
      </c>
      <c r="F409" t="s">
        <v>817</v>
      </c>
      <c r="G409" t="str">
        <f>'Raw Data bck'!F409&amp;"/USD"</f>
        <v>USD/USD</v>
      </c>
      <c r="H409" s="16">
        <v>4219.16</v>
      </c>
      <c r="I409" s="11" t="s">
        <v>820</v>
      </c>
      <c r="J409" s="13" t="str">
        <f>IF(I409="Open",H409,IF(I409="Paid",0,"N/A"))</f>
        <v>N/A</v>
      </c>
      <c r="L409" t="s">
        <v>822</v>
      </c>
    </row>
    <row r="410" spans="1:12" x14ac:dyDescent="0.35">
      <c r="A410" t="s">
        <v>417</v>
      </c>
      <c r="B410" t="s">
        <v>812</v>
      </c>
      <c r="C410" s="9">
        <v>45430</v>
      </c>
      <c r="D410" s="9">
        <v>45460</v>
      </c>
      <c r="E410">
        <v>2719.44</v>
      </c>
      <c r="F410" t="s">
        <v>815</v>
      </c>
      <c r="G410" t="str">
        <f>'Raw Data bck'!F410&amp;"/USD"</f>
        <v>CAD/USD</v>
      </c>
      <c r="H410" s="15">
        <v>1963.44</v>
      </c>
      <c r="I410" s="11" t="s">
        <v>819</v>
      </c>
      <c r="J410" s="13">
        <f>IF(I410="Open",H410,IF(I410="Paid",0,"N/A"))</f>
        <v>1963.44</v>
      </c>
      <c r="L410" t="s">
        <v>822</v>
      </c>
    </row>
    <row r="411" spans="1:12" x14ac:dyDescent="0.35">
      <c r="A411" t="s">
        <v>418</v>
      </c>
      <c r="B411" t="s">
        <v>813</v>
      </c>
      <c r="C411" s="9">
        <v>45617</v>
      </c>
      <c r="D411" s="9">
        <v>45647</v>
      </c>
      <c r="E411">
        <v>3651.79</v>
      </c>
      <c r="F411" t="s">
        <v>815</v>
      </c>
      <c r="G411" t="str">
        <f>'Raw Data bck'!F411&amp;"/USD"</f>
        <v>CAD/USD</v>
      </c>
      <c r="H411" s="16">
        <v>2636.59</v>
      </c>
      <c r="I411" s="11" t="s">
        <v>820</v>
      </c>
      <c r="J411" s="13" t="str">
        <f>IF(I411="Open",H411,IF(I411="Paid",0,"N/A"))</f>
        <v>N/A</v>
      </c>
      <c r="L411" t="s">
        <v>822</v>
      </c>
    </row>
    <row r="412" spans="1:12" x14ac:dyDescent="0.35">
      <c r="A412" t="s">
        <v>419</v>
      </c>
      <c r="B412" t="s">
        <v>812</v>
      </c>
      <c r="C412" s="9">
        <v>45358</v>
      </c>
      <c r="D412" s="9">
        <v>45388</v>
      </c>
      <c r="E412">
        <v>1247.3</v>
      </c>
      <c r="F412" t="s">
        <v>818</v>
      </c>
      <c r="G412" t="str">
        <f>'Raw Data bck'!F412&amp;"/USD"</f>
        <v>AUD/USD</v>
      </c>
      <c r="H412" s="15">
        <v>897.68</v>
      </c>
      <c r="I412" s="11" t="s">
        <v>821</v>
      </c>
      <c r="J412" s="13">
        <f>IF(I412="Open",H412,IF(I412="Paid",0,"N/A"))</f>
        <v>0</v>
      </c>
      <c r="K412" s="4">
        <v>45388</v>
      </c>
      <c r="L412" t="s">
        <v>822</v>
      </c>
    </row>
    <row r="413" spans="1:12" x14ac:dyDescent="0.35">
      <c r="A413" t="s">
        <v>420</v>
      </c>
      <c r="B413" t="s">
        <v>813</v>
      </c>
      <c r="C413" s="9">
        <v>45586</v>
      </c>
      <c r="D413" s="9">
        <v>45616</v>
      </c>
      <c r="E413">
        <v>1665.2</v>
      </c>
      <c r="F413" t="s">
        <v>818</v>
      </c>
      <c r="G413" t="str">
        <f>'Raw Data bck'!F413&amp;"/USD"</f>
        <v>AUD/USD</v>
      </c>
      <c r="H413" s="15">
        <v>1198.44</v>
      </c>
      <c r="I413" s="11" t="s">
        <v>819</v>
      </c>
      <c r="J413" s="13">
        <f>IF(I413="Open",H413,IF(I413="Paid",0,"N/A"))</f>
        <v>1198.44</v>
      </c>
      <c r="L413" t="s">
        <v>822</v>
      </c>
    </row>
    <row r="414" spans="1:12" x14ac:dyDescent="0.35">
      <c r="A414" t="s">
        <v>421</v>
      </c>
      <c r="B414" t="s">
        <v>809</v>
      </c>
      <c r="C414" s="9">
        <v>45769</v>
      </c>
      <c r="D414" s="9">
        <v>45799</v>
      </c>
      <c r="E414">
        <v>4157.1000000000004</v>
      </c>
      <c r="F414" t="s">
        <v>816</v>
      </c>
      <c r="G414" t="str">
        <f>'Raw Data bck'!F414&amp;"/USD"</f>
        <v>GBP/USD</v>
      </c>
      <c r="H414" s="16">
        <v>5648.67</v>
      </c>
      <c r="I414" s="11" t="s">
        <v>820</v>
      </c>
      <c r="J414" s="13" t="str">
        <f>IF(I414="Open",H414,IF(I414="Paid",0,"N/A"))</f>
        <v>N/A</v>
      </c>
      <c r="L414" t="s">
        <v>822</v>
      </c>
    </row>
    <row r="415" spans="1:12" x14ac:dyDescent="0.35">
      <c r="A415" t="s">
        <v>422</v>
      </c>
      <c r="B415" t="s">
        <v>812</v>
      </c>
      <c r="C415" s="9">
        <v>45078</v>
      </c>
      <c r="D415" s="9">
        <v>45108</v>
      </c>
      <c r="E415">
        <v>4306.1000000000004</v>
      </c>
      <c r="F415" t="s">
        <v>815</v>
      </c>
      <c r="G415" t="str">
        <f>'Raw Data bck'!F415&amp;"/USD"</f>
        <v>CAD/USD</v>
      </c>
      <c r="H415" s="16">
        <v>3109</v>
      </c>
      <c r="I415" s="11" t="s">
        <v>820</v>
      </c>
      <c r="J415" s="13" t="str">
        <f>IF(I415="Open",H415,IF(I415="Paid",0,"N/A"))</f>
        <v>N/A</v>
      </c>
      <c r="L415" t="s">
        <v>822</v>
      </c>
    </row>
    <row r="416" spans="1:12" x14ac:dyDescent="0.35">
      <c r="A416" t="s">
        <v>423</v>
      </c>
      <c r="B416" t="s">
        <v>811</v>
      </c>
      <c r="C416" s="9">
        <v>45549</v>
      </c>
      <c r="D416" s="9">
        <v>45579</v>
      </c>
      <c r="E416">
        <v>432.27</v>
      </c>
      <c r="F416" t="s">
        <v>818</v>
      </c>
      <c r="G416" t="str">
        <f>'Raw Data bck'!F416&amp;"/USD"</f>
        <v>AUD/USD</v>
      </c>
      <c r="H416" s="15">
        <v>311.10000000000002</v>
      </c>
      <c r="I416" s="11" t="s">
        <v>821</v>
      </c>
      <c r="J416" s="13">
        <f>IF(I416="Open",H416,IF(I416="Paid",0,"N/A"))</f>
        <v>0</v>
      </c>
      <c r="K416" s="4">
        <v>45579</v>
      </c>
      <c r="L416" t="s">
        <v>822</v>
      </c>
    </row>
    <row r="417" spans="1:12" x14ac:dyDescent="0.35">
      <c r="A417" t="s">
        <v>424</v>
      </c>
      <c r="B417" t="s">
        <v>809</v>
      </c>
      <c r="C417" s="9">
        <v>45260</v>
      </c>
      <c r="D417" s="9">
        <v>45290</v>
      </c>
      <c r="E417">
        <v>2075.2199999999998</v>
      </c>
      <c r="F417" t="s">
        <v>818</v>
      </c>
      <c r="G417" t="str">
        <f>'Raw Data bck'!F417&amp;"/USD"</f>
        <v>AUD/USD</v>
      </c>
      <c r="H417" s="16">
        <v>1493.54</v>
      </c>
      <c r="I417" s="11" t="s">
        <v>820</v>
      </c>
      <c r="J417" s="13" t="str">
        <f>IF(I417="Open",H417,IF(I417="Paid",0,"N/A"))</f>
        <v>N/A</v>
      </c>
      <c r="L417" t="s">
        <v>822</v>
      </c>
    </row>
    <row r="418" spans="1:12" x14ac:dyDescent="0.35">
      <c r="A418" t="s">
        <v>425</v>
      </c>
      <c r="B418" t="s">
        <v>812</v>
      </c>
      <c r="C418" s="9">
        <v>44969</v>
      </c>
      <c r="D418" s="9">
        <v>44999</v>
      </c>
      <c r="E418">
        <v>2515.5700000000002</v>
      </c>
      <c r="F418" t="s">
        <v>816</v>
      </c>
      <c r="G418" t="str">
        <f>'Raw Data bck'!F418&amp;"/USD"</f>
        <v>GBP/USD</v>
      </c>
      <c r="H418" s="15">
        <v>3418.16</v>
      </c>
      <c r="I418" s="11" t="s">
        <v>819</v>
      </c>
      <c r="J418" s="13">
        <f>IF(I418="Open",H418,IF(I418="Paid",0,"N/A"))</f>
        <v>3418.16</v>
      </c>
      <c r="L418" t="s">
        <v>822</v>
      </c>
    </row>
    <row r="419" spans="1:12" x14ac:dyDescent="0.35">
      <c r="A419" t="s">
        <v>426</v>
      </c>
      <c r="B419" t="s">
        <v>812</v>
      </c>
      <c r="C419" s="9">
        <v>45265</v>
      </c>
      <c r="D419" s="9">
        <v>45295</v>
      </c>
      <c r="E419">
        <v>1960.15</v>
      </c>
      <c r="F419" t="s">
        <v>817</v>
      </c>
      <c r="G419" t="str">
        <f>'Raw Data bck'!F419&amp;"/USD"</f>
        <v>USD/USD</v>
      </c>
      <c r="H419" s="16">
        <v>1960.15</v>
      </c>
      <c r="I419" s="11" t="s">
        <v>820</v>
      </c>
      <c r="J419" s="13" t="str">
        <f>IF(I419="Open",H419,IF(I419="Paid",0,"N/A"))</f>
        <v>N/A</v>
      </c>
      <c r="L419" t="s">
        <v>822</v>
      </c>
    </row>
    <row r="420" spans="1:12" x14ac:dyDescent="0.35">
      <c r="A420" t="s">
        <v>427</v>
      </c>
      <c r="B420" t="s">
        <v>811</v>
      </c>
      <c r="C420" s="9">
        <v>45131</v>
      </c>
      <c r="D420" s="9">
        <v>45161</v>
      </c>
      <c r="E420">
        <v>3168.02</v>
      </c>
      <c r="F420" t="s">
        <v>818</v>
      </c>
      <c r="G420" t="str">
        <f>'Raw Data bck'!F420&amp;"/USD"</f>
        <v>AUD/USD</v>
      </c>
      <c r="H420" s="16">
        <v>2280.02</v>
      </c>
      <c r="I420" s="11" t="s">
        <v>820</v>
      </c>
      <c r="J420" s="13" t="str">
        <f>IF(I420="Open",H420,IF(I420="Paid",0,"N/A"))</f>
        <v>N/A</v>
      </c>
      <c r="L420" t="s">
        <v>822</v>
      </c>
    </row>
    <row r="421" spans="1:12" x14ac:dyDescent="0.35">
      <c r="A421" t="s">
        <v>428</v>
      </c>
      <c r="B421" t="s">
        <v>813</v>
      </c>
      <c r="C421" s="9">
        <v>45077</v>
      </c>
      <c r="D421" s="9">
        <v>45107</v>
      </c>
      <c r="E421">
        <v>576.42999999999995</v>
      </c>
      <c r="F421" t="s">
        <v>817</v>
      </c>
      <c r="G421" t="str">
        <f>'Raw Data bck'!F421&amp;"/USD"</f>
        <v>USD/USD</v>
      </c>
      <c r="H421" s="15">
        <v>576.42999999999995</v>
      </c>
      <c r="I421" s="11" t="s">
        <v>821</v>
      </c>
      <c r="J421" s="13">
        <f>IF(I421="Open",H421,IF(I421="Paid",0,"N/A"))</f>
        <v>0</v>
      </c>
      <c r="K421" s="4">
        <v>45107</v>
      </c>
      <c r="L421" t="s">
        <v>822</v>
      </c>
    </row>
    <row r="422" spans="1:12" x14ac:dyDescent="0.35">
      <c r="A422" t="s">
        <v>429</v>
      </c>
      <c r="B422" t="s">
        <v>812</v>
      </c>
      <c r="C422" s="9">
        <v>45670</v>
      </c>
      <c r="D422" s="9">
        <v>45700</v>
      </c>
      <c r="E422">
        <v>460.35</v>
      </c>
      <c r="F422" t="s">
        <v>817</v>
      </c>
      <c r="G422" t="str">
        <f>'Raw Data bck'!F422&amp;"/USD"</f>
        <v>USD/USD</v>
      </c>
      <c r="H422" s="15">
        <v>460.35</v>
      </c>
      <c r="I422" s="11" t="s">
        <v>819</v>
      </c>
      <c r="J422" s="13">
        <f>IF(I422="Open",H422,IF(I422="Paid",0,"N/A"))</f>
        <v>460.35</v>
      </c>
      <c r="L422" t="s">
        <v>822</v>
      </c>
    </row>
    <row r="423" spans="1:12" x14ac:dyDescent="0.35">
      <c r="A423" t="s">
        <v>430</v>
      </c>
      <c r="B423" t="s">
        <v>812</v>
      </c>
      <c r="C423" s="9">
        <v>45704</v>
      </c>
      <c r="D423" s="9">
        <v>45734</v>
      </c>
      <c r="E423">
        <v>2305.42</v>
      </c>
      <c r="F423" t="s">
        <v>817</v>
      </c>
      <c r="G423" t="str">
        <f>'Raw Data bck'!F423&amp;"/USD"</f>
        <v>USD/USD</v>
      </c>
      <c r="H423" s="15">
        <v>2305.42</v>
      </c>
      <c r="I423" s="11" t="s">
        <v>819</v>
      </c>
      <c r="J423" s="13">
        <f>IF(I423="Open",H423,IF(I423="Paid",0,"N/A"))</f>
        <v>2305.42</v>
      </c>
      <c r="L423" t="s">
        <v>822</v>
      </c>
    </row>
    <row r="424" spans="1:12" x14ac:dyDescent="0.35">
      <c r="A424" t="s">
        <v>431</v>
      </c>
      <c r="B424" t="s">
        <v>811</v>
      </c>
      <c r="C424" s="9">
        <v>45276</v>
      </c>
      <c r="D424" s="9">
        <v>45306</v>
      </c>
      <c r="E424">
        <v>2623.62</v>
      </c>
      <c r="F424" t="s">
        <v>816</v>
      </c>
      <c r="G424" t="str">
        <f>'Raw Data bck'!F424&amp;"/USD"</f>
        <v>GBP/USD</v>
      </c>
      <c r="H424" s="16">
        <v>3564.97</v>
      </c>
      <c r="I424" s="11" t="s">
        <v>820</v>
      </c>
      <c r="J424" s="13" t="str">
        <f>IF(I424="Open",H424,IF(I424="Paid",0,"N/A"))</f>
        <v>N/A</v>
      </c>
      <c r="L424" t="s">
        <v>822</v>
      </c>
    </row>
    <row r="425" spans="1:12" x14ac:dyDescent="0.35">
      <c r="A425" t="s">
        <v>432</v>
      </c>
      <c r="B425" t="s">
        <v>810</v>
      </c>
      <c r="C425" s="9">
        <v>45342</v>
      </c>
      <c r="D425" s="9">
        <v>45372</v>
      </c>
      <c r="E425">
        <v>1571.77</v>
      </c>
      <c r="F425" t="s">
        <v>814</v>
      </c>
      <c r="G425" t="str">
        <f>'Raw Data bck'!F425&amp;"/USD"</f>
        <v>EUR/USD</v>
      </c>
      <c r="H425" s="15">
        <v>1830.17</v>
      </c>
      <c r="I425" s="11" t="s">
        <v>819</v>
      </c>
      <c r="J425" s="13">
        <f>IF(I425="Open",H425,IF(I425="Paid",0,"N/A"))</f>
        <v>1830.17</v>
      </c>
      <c r="L425" t="s">
        <v>822</v>
      </c>
    </row>
    <row r="426" spans="1:12" x14ac:dyDescent="0.35">
      <c r="A426" t="s">
        <v>433</v>
      </c>
      <c r="B426" t="s">
        <v>810</v>
      </c>
      <c r="C426" s="9">
        <v>45061</v>
      </c>
      <c r="D426" s="9">
        <v>45091</v>
      </c>
      <c r="E426">
        <v>4241.5600000000004</v>
      </c>
      <c r="F426" t="s">
        <v>815</v>
      </c>
      <c r="G426" t="str">
        <f>'Raw Data bck'!F426&amp;"/USD"</f>
        <v>CAD/USD</v>
      </c>
      <c r="H426" s="15">
        <v>3062.41</v>
      </c>
      <c r="I426" s="11" t="s">
        <v>819</v>
      </c>
      <c r="J426" s="13">
        <f>IF(I426="Open",H426,IF(I426="Paid",0,"N/A"))</f>
        <v>3062.41</v>
      </c>
      <c r="L426" t="s">
        <v>822</v>
      </c>
    </row>
    <row r="427" spans="1:12" x14ac:dyDescent="0.35">
      <c r="A427" t="s">
        <v>434</v>
      </c>
      <c r="B427" t="s">
        <v>809</v>
      </c>
      <c r="C427" s="9">
        <v>45086</v>
      </c>
      <c r="D427" s="9">
        <v>45116</v>
      </c>
      <c r="E427">
        <v>3066.36</v>
      </c>
      <c r="F427" t="s">
        <v>815</v>
      </c>
      <c r="G427" t="str">
        <f>'Raw Data bck'!F427&amp;"/USD"</f>
        <v>CAD/USD</v>
      </c>
      <c r="H427" s="15">
        <v>2213.91</v>
      </c>
      <c r="I427" s="11" t="s">
        <v>821</v>
      </c>
      <c r="J427" s="13">
        <f>IF(I427="Open",H427,IF(I427="Paid",0,"N/A"))</f>
        <v>0</v>
      </c>
      <c r="K427" s="4">
        <v>45116</v>
      </c>
      <c r="L427" t="s">
        <v>822</v>
      </c>
    </row>
    <row r="428" spans="1:12" x14ac:dyDescent="0.35">
      <c r="A428" t="s">
        <v>435</v>
      </c>
      <c r="B428" t="s">
        <v>811</v>
      </c>
      <c r="C428" s="9">
        <v>45653</v>
      </c>
      <c r="D428" s="9">
        <v>45683</v>
      </c>
      <c r="E428">
        <v>1623.29</v>
      </c>
      <c r="F428" t="s">
        <v>818</v>
      </c>
      <c r="G428" t="str">
        <f>'Raw Data bck'!F428&amp;"/USD"</f>
        <v>AUD/USD</v>
      </c>
      <c r="H428" s="16">
        <v>1168.28</v>
      </c>
      <c r="I428" s="11" t="s">
        <v>820</v>
      </c>
      <c r="J428" s="13" t="str">
        <f>IF(I428="Open",H428,IF(I428="Paid",0,"N/A"))</f>
        <v>N/A</v>
      </c>
      <c r="L428" t="s">
        <v>822</v>
      </c>
    </row>
    <row r="429" spans="1:12" x14ac:dyDescent="0.35">
      <c r="A429" t="s">
        <v>436</v>
      </c>
      <c r="B429" t="s">
        <v>809</v>
      </c>
      <c r="C429" s="9">
        <v>45115</v>
      </c>
      <c r="D429" s="9">
        <v>45145</v>
      </c>
      <c r="E429">
        <v>4738.84</v>
      </c>
      <c r="F429" t="s">
        <v>817</v>
      </c>
      <c r="G429" t="str">
        <f>'Raw Data bck'!F429&amp;"/USD"</f>
        <v>USD/USD</v>
      </c>
      <c r="H429" s="16">
        <v>4738.84</v>
      </c>
      <c r="I429" s="11" t="s">
        <v>820</v>
      </c>
      <c r="J429" s="13" t="str">
        <f>IF(I429="Open",H429,IF(I429="Paid",0,"N/A"))</f>
        <v>N/A</v>
      </c>
      <c r="L429" t="s">
        <v>822</v>
      </c>
    </row>
    <row r="430" spans="1:12" x14ac:dyDescent="0.35">
      <c r="A430" t="s">
        <v>437</v>
      </c>
      <c r="B430" t="s">
        <v>809</v>
      </c>
      <c r="C430" s="9">
        <v>45179</v>
      </c>
      <c r="D430" s="9">
        <v>45209</v>
      </c>
      <c r="E430">
        <v>2769.92</v>
      </c>
      <c r="F430" t="s">
        <v>815</v>
      </c>
      <c r="G430" t="str">
        <f>'Raw Data bck'!F430&amp;"/USD"</f>
        <v>CAD/USD</v>
      </c>
      <c r="H430" s="16">
        <v>1999.88</v>
      </c>
      <c r="I430" s="11" t="s">
        <v>820</v>
      </c>
      <c r="J430" s="13" t="str">
        <f>IF(I430="Open",H430,IF(I430="Paid",0,"N/A"))</f>
        <v>N/A</v>
      </c>
      <c r="L430" t="s">
        <v>822</v>
      </c>
    </row>
    <row r="431" spans="1:12" x14ac:dyDescent="0.35">
      <c r="A431" t="s">
        <v>438</v>
      </c>
      <c r="B431" t="s">
        <v>809</v>
      </c>
      <c r="C431" s="9">
        <v>45641</v>
      </c>
      <c r="D431" s="9">
        <v>45671</v>
      </c>
      <c r="E431">
        <v>2883.34</v>
      </c>
      <c r="F431" t="s">
        <v>816</v>
      </c>
      <c r="G431" t="str">
        <f>'Raw Data bck'!F431&amp;"/USD"</f>
        <v>GBP/USD</v>
      </c>
      <c r="H431" s="15">
        <v>3917.88</v>
      </c>
      <c r="I431" s="11" t="s">
        <v>819</v>
      </c>
      <c r="J431" s="13">
        <f>IF(I431="Open",H431,IF(I431="Paid",0,"N/A"))</f>
        <v>3917.88</v>
      </c>
      <c r="L431" t="s">
        <v>822</v>
      </c>
    </row>
    <row r="432" spans="1:12" x14ac:dyDescent="0.35">
      <c r="A432" t="s">
        <v>439</v>
      </c>
      <c r="B432" t="s">
        <v>811</v>
      </c>
      <c r="C432" s="9">
        <v>45447</v>
      </c>
      <c r="D432" s="9">
        <v>45477</v>
      </c>
      <c r="E432">
        <v>2334.1799999999998</v>
      </c>
      <c r="F432" t="s">
        <v>818</v>
      </c>
      <c r="G432" t="str">
        <f>'Raw Data bck'!F432&amp;"/USD"</f>
        <v>AUD/USD</v>
      </c>
      <c r="H432" s="15">
        <v>1679.91</v>
      </c>
      <c r="I432" s="11" t="s">
        <v>819</v>
      </c>
      <c r="J432" s="13">
        <f>IF(I432="Open",H432,IF(I432="Paid",0,"N/A"))</f>
        <v>1679.91</v>
      </c>
      <c r="L432" t="s">
        <v>822</v>
      </c>
    </row>
    <row r="433" spans="1:12" x14ac:dyDescent="0.35">
      <c r="A433" t="s">
        <v>440</v>
      </c>
      <c r="B433" t="s">
        <v>813</v>
      </c>
      <c r="C433" s="9">
        <v>45219</v>
      </c>
      <c r="D433" s="9">
        <v>45249</v>
      </c>
      <c r="E433">
        <v>3148.17</v>
      </c>
      <c r="F433" t="s">
        <v>817</v>
      </c>
      <c r="G433" t="str">
        <f>'Raw Data bck'!F433&amp;"/USD"</f>
        <v>USD/USD</v>
      </c>
      <c r="H433" s="15">
        <v>3148.17</v>
      </c>
      <c r="I433" s="11" t="s">
        <v>819</v>
      </c>
      <c r="J433" s="13">
        <f>IF(I433="Open",H433,IF(I433="Paid",0,"N/A"))</f>
        <v>3148.17</v>
      </c>
      <c r="L433" t="s">
        <v>822</v>
      </c>
    </row>
    <row r="434" spans="1:12" x14ac:dyDescent="0.35">
      <c r="A434" t="s">
        <v>441</v>
      </c>
      <c r="B434" t="s">
        <v>813</v>
      </c>
      <c r="C434" s="9">
        <v>45573</v>
      </c>
      <c r="D434" s="9">
        <v>45603</v>
      </c>
      <c r="E434">
        <v>1378.14</v>
      </c>
      <c r="F434" t="s">
        <v>816</v>
      </c>
      <c r="G434" t="str">
        <f>'Raw Data bck'!F434&amp;"/USD"</f>
        <v>GBP/USD</v>
      </c>
      <c r="H434" s="15">
        <v>1872.62</v>
      </c>
      <c r="I434" s="11" t="s">
        <v>821</v>
      </c>
      <c r="J434" s="13">
        <f>IF(I434="Open",H434,IF(I434="Paid",0,"N/A"))</f>
        <v>0</v>
      </c>
      <c r="K434" s="4">
        <v>45603</v>
      </c>
      <c r="L434" t="s">
        <v>822</v>
      </c>
    </row>
    <row r="435" spans="1:12" x14ac:dyDescent="0.35">
      <c r="A435" t="s">
        <v>442</v>
      </c>
      <c r="B435" t="s">
        <v>812</v>
      </c>
      <c r="C435" s="9">
        <v>45699</v>
      </c>
      <c r="D435" s="9">
        <v>45729</v>
      </c>
      <c r="E435">
        <v>275.33999999999997</v>
      </c>
      <c r="F435" t="s">
        <v>816</v>
      </c>
      <c r="G435" t="str">
        <f>'Raw Data bck'!F435&amp;"/USD"</f>
        <v>GBP/USD</v>
      </c>
      <c r="H435" s="15">
        <v>374.13</v>
      </c>
      <c r="I435" s="11" t="s">
        <v>819</v>
      </c>
      <c r="J435" s="13">
        <f>IF(I435="Open",H435,IF(I435="Paid",0,"N/A"))</f>
        <v>374.13</v>
      </c>
      <c r="L435" t="s">
        <v>822</v>
      </c>
    </row>
    <row r="436" spans="1:12" x14ac:dyDescent="0.35">
      <c r="A436" t="s">
        <v>443</v>
      </c>
      <c r="B436" t="s">
        <v>809</v>
      </c>
      <c r="C436" s="9">
        <v>45016</v>
      </c>
      <c r="D436" s="9">
        <v>45046</v>
      </c>
      <c r="E436">
        <v>2274.14</v>
      </c>
      <c r="F436" t="s">
        <v>814</v>
      </c>
      <c r="G436" t="str">
        <f>'Raw Data bck'!F436&amp;"/USD"</f>
        <v>EUR/USD</v>
      </c>
      <c r="H436" s="16">
        <v>2648.01</v>
      </c>
      <c r="I436" s="11" t="s">
        <v>820</v>
      </c>
      <c r="J436" s="13" t="str">
        <f>IF(I436="Open",H436,IF(I436="Paid",0,"N/A"))</f>
        <v>N/A</v>
      </c>
      <c r="L436" t="s">
        <v>822</v>
      </c>
    </row>
    <row r="437" spans="1:12" x14ac:dyDescent="0.35">
      <c r="A437" t="s">
        <v>444</v>
      </c>
      <c r="B437" t="s">
        <v>812</v>
      </c>
      <c r="C437" s="9">
        <v>45181</v>
      </c>
      <c r="D437" s="9">
        <v>45211</v>
      </c>
      <c r="E437">
        <v>800.97</v>
      </c>
      <c r="F437" t="s">
        <v>815</v>
      </c>
      <c r="G437" t="str">
        <f>'Raw Data bck'!F437&amp;"/USD"</f>
        <v>CAD/USD</v>
      </c>
      <c r="H437" s="15">
        <v>578.29999999999995</v>
      </c>
      <c r="I437" s="11" t="s">
        <v>821</v>
      </c>
      <c r="J437" s="13">
        <f>IF(I437="Open",H437,IF(I437="Paid",0,"N/A"))</f>
        <v>0</v>
      </c>
      <c r="K437" s="4">
        <v>45211</v>
      </c>
      <c r="L437" t="s">
        <v>822</v>
      </c>
    </row>
    <row r="438" spans="1:12" x14ac:dyDescent="0.35">
      <c r="A438" t="s">
        <v>445</v>
      </c>
      <c r="B438" t="s">
        <v>811</v>
      </c>
      <c r="C438" s="9">
        <v>44964</v>
      </c>
      <c r="D438" s="9">
        <v>44994</v>
      </c>
      <c r="E438">
        <v>2595.11</v>
      </c>
      <c r="F438" t="s">
        <v>818</v>
      </c>
      <c r="G438" t="str">
        <f>'Raw Data bck'!F438&amp;"/USD"</f>
        <v>AUD/USD</v>
      </c>
      <c r="H438" s="15">
        <v>1867.7</v>
      </c>
      <c r="I438" s="11" t="s">
        <v>819</v>
      </c>
      <c r="J438" s="13">
        <f>IF(I438="Open",H438,IF(I438="Paid",0,"N/A"))</f>
        <v>1867.7</v>
      </c>
      <c r="L438" t="s">
        <v>822</v>
      </c>
    </row>
    <row r="439" spans="1:12" x14ac:dyDescent="0.35">
      <c r="A439" t="s">
        <v>446</v>
      </c>
      <c r="B439" t="s">
        <v>812</v>
      </c>
      <c r="C439" s="9">
        <v>45210</v>
      </c>
      <c r="D439" s="9">
        <v>45240</v>
      </c>
      <c r="E439">
        <v>4967.66</v>
      </c>
      <c r="F439" t="s">
        <v>817</v>
      </c>
      <c r="G439" t="str">
        <f>'Raw Data bck'!F439&amp;"/USD"</f>
        <v>USD/USD</v>
      </c>
      <c r="H439" s="15">
        <v>4967.66</v>
      </c>
      <c r="I439" s="11" t="s">
        <v>821</v>
      </c>
      <c r="J439" s="13">
        <f>IF(I439="Open",H439,IF(I439="Paid",0,"N/A"))</f>
        <v>0</v>
      </c>
      <c r="K439" s="4">
        <v>45240</v>
      </c>
      <c r="L439" t="s">
        <v>822</v>
      </c>
    </row>
    <row r="440" spans="1:12" x14ac:dyDescent="0.35">
      <c r="A440" t="s">
        <v>447</v>
      </c>
      <c r="B440" t="s">
        <v>809</v>
      </c>
      <c r="C440" s="9">
        <v>45361</v>
      </c>
      <c r="D440" s="9">
        <v>45391</v>
      </c>
      <c r="E440">
        <v>523.04999999999995</v>
      </c>
      <c r="F440" t="s">
        <v>814</v>
      </c>
      <c r="G440" t="str">
        <f>'Raw Data bck'!F440&amp;"/USD"</f>
        <v>EUR/USD</v>
      </c>
      <c r="H440" s="15">
        <v>609.04</v>
      </c>
      <c r="I440" s="11" t="s">
        <v>819</v>
      </c>
      <c r="J440" s="13">
        <f>IF(I440="Open",H440,IF(I440="Paid",0,"N/A"))</f>
        <v>609.04</v>
      </c>
      <c r="L440" t="s">
        <v>822</v>
      </c>
    </row>
    <row r="441" spans="1:12" x14ac:dyDescent="0.35">
      <c r="A441" t="s">
        <v>448</v>
      </c>
      <c r="B441" t="s">
        <v>811</v>
      </c>
      <c r="C441" s="9">
        <v>45075</v>
      </c>
      <c r="D441" s="9">
        <v>45105</v>
      </c>
      <c r="E441">
        <v>3485.01</v>
      </c>
      <c r="F441" t="s">
        <v>814</v>
      </c>
      <c r="G441" t="str">
        <f>'Raw Data bck'!F441&amp;"/USD"</f>
        <v>EUR/USD</v>
      </c>
      <c r="H441" s="15">
        <v>4057.95</v>
      </c>
      <c r="I441" s="11" t="s">
        <v>821</v>
      </c>
      <c r="J441" s="13">
        <f>IF(I441="Open",H441,IF(I441="Paid",0,"N/A"))</f>
        <v>0</v>
      </c>
      <c r="K441" s="4">
        <v>45105</v>
      </c>
      <c r="L441" t="s">
        <v>822</v>
      </c>
    </row>
    <row r="442" spans="1:12" x14ac:dyDescent="0.35">
      <c r="A442" t="s">
        <v>449</v>
      </c>
      <c r="B442" t="s">
        <v>810</v>
      </c>
      <c r="C442" s="9">
        <v>44961</v>
      </c>
      <c r="D442" s="9">
        <v>44991</v>
      </c>
      <c r="E442">
        <v>2251.04</v>
      </c>
      <c r="F442" t="s">
        <v>814</v>
      </c>
      <c r="G442" t="str">
        <f>'Raw Data bck'!F442&amp;"/USD"</f>
        <v>EUR/USD</v>
      </c>
      <c r="H442" s="15">
        <v>2621.11</v>
      </c>
      <c r="I442" s="11" t="s">
        <v>821</v>
      </c>
      <c r="J442" s="13">
        <f>IF(I442="Open",H442,IF(I442="Paid",0,"N/A"))</f>
        <v>0</v>
      </c>
      <c r="K442" s="4">
        <v>44991</v>
      </c>
      <c r="L442" t="s">
        <v>822</v>
      </c>
    </row>
    <row r="443" spans="1:12" x14ac:dyDescent="0.35">
      <c r="A443" t="s">
        <v>450</v>
      </c>
      <c r="B443" t="s">
        <v>813</v>
      </c>
      <c r="C443" s="9">
        <v>45210</v>
      </c>
      <c r="D443" s="9">
        <v>45240</v>
      </c>
      <c r="E443">
        <v>3521.51</v>
      </c>
      <c r="F443" t="s">
        <v>816</v>
      </c>
      <c r="G443" t="str">
        <f>'Raw Data bck'!F443&amp;"/USD"</f>
        <v>GBP/USD</v>
      </c>
      <c r="H443" s="15">
        <v>4785.03</v>
      </c>
      <c r="I443" s="11" t="s">
        <v>821</v>
      </c>
      <c r="J443" s="13">
        <f>IF(I443="Open",H443,IF(I443="Paid",0,"N/A"))</f>
        <v>0</v>
      </c>
      <c r="K443" s="4">
        <v>45240</v>
      </c>
      <c r="L443" t="s">
        <v>822</v>
      </c>
    </row>
    <row r="444" spans="1:12" x14ac:dyDescent="0.35">
      <c r="A444" t="s">
        <v>451</v>
      </c>
      <c r="B444" t="s">
        <v>810</v>
      </c>
      <c r="C444" s="9">
        <v>45756</v>
      </c>
      <c r="D444" s="9">
        <v>45786</v>
      </c>
      <c r="E444">
        <v>3808.69</v>
      </c>
      <c r="F444" t="s">
        <v>815</v>
      </c>
      <c r="G444" t="str">
        <f>'Raw Data bck'!F444&amp;"/USD"</f>
        <v>CAD/USD</v>
      </c>
      <c r="H444" s="15">
        <v>2749.87</v>
      </c>
      <c r="I444" s="11" t="s">
        <v>819</v>
      </c>
      <c r="J444" s="13">
        <f>IF(I444="Open",H444,IF(I444="Paid",0,"N/A"))</f>
        <v>2749.87</v>
      </c>
      <c r="L444" t="s">
        <v>822</v>
      </c>
    </row>
    <row r="445" spans="1:12" x14ac:dyDescent="0.35">
      <c r="A445" t="s">
        <v>452</v>
      </c>
      <c r="B445" t="s">
        <v>811</v>
      </c>
      <c r="C445" s="9">
        <v>45063</v>
      </c>
      <c r="D445" s="9">
        <v>45093</v>
      </c>
      <c r="E445">
        <v>3920.07</v>
      </c>
      <c r="F445" t="s">
        <v>818</v>
      </c>
      <c r="G445" t="str">
        <f>'Raw Data bck'!F445&amp;"/USD"</f>
        <v>AUD/USD</v>
      </c>
      <c r="H445" s="15">
        <v>2821.27</v>
      </c>
      <c r="I445" s="11" t="s">
        <v>821</v>
      </c>
      <c r="J445" s="13">
        <f>IF(I445="Open",H445,IF(I445="Paid",0,"N/A"))</f>
        <v>0</v>
      </c>
      <c r="K445" s="4">
        <v>45093</v>
      </c>
      <c r="L445" t="s">
        <v>822</v>
      </c>
    </row>
    <row r="446" spans="1:12" x14ac:dyDescent="0.35">
      <c r="A446" t="s">
        <v>453</v>
      </c>
      <c r="B446" t="s">
        <v>811</v>
      </c>
      <c r="C446" s="9">
        <v>45007</v>
      </c>
      <c r="D446" s="9">
        <v>45037</v>
      </c>
      <c r="E446">
        <v>4941.76</v>
      </c>
      <c r="F446" t="s">
        <v>816</v>
      </c>
      <c r="G446" t="str">
        <f>'Raw Data bck'!F446&amp;"/USD"</f>
        <v>GBP/USD</v>
      </c>
      <c r="H446" s="16">
        <v>6714.86</v>
      </c>
      <c r="I446" s="11" t="s">
        <v>820</v>
      </c>
      <c r="J446" s="13" t="str">
        <f>IF(I446="Open",H446,IF(I446="Paid",0,"N/A"))</f>
        <v>N/A</v>
      </c>
      <c r="L446" t="s">
        <v>822</v>
      </c>
    </row>
    <row r="447" spans="1:12" x14ac:dyDescent="0.35">
      <c r="A447" t="s">
        <v>454</v>
      </c>
      <c r="B447" t="s">
        <v>811</v>
      </c>
      <c r="C447" s="9">
        <v>45234</v>
      </c>
      <c r="D447" s="9">
        <v>45264</v>
      </c>
      <c r="E447">
        <v>1079.6099999999999</v>
      </c>
      <c r="F447" t="s">
        <v>817</v>
      </c>
      <c r="G447" t="str">
        <f>'Raw Data bck'!F447&amp;"/USD"</f>
        <v>USD/USD</v>
      </c>
      <c r="H447" s="15">
        <v>1079.6099999999999</v>
      </c>
      <c r="I447" s="11" t="s">
        <v>819</v>
      </c>
      <c r="J447" s="13">
        <f>IF(I447="Open",H447,IF(I447="Paid",0,"N/A"))</f>
        <v>1079.6099999999999</v>
      </c>
      <c r="L447" t="s">
        <v>822</v>
      </c>
    </row>
    <row r="448" spans="1:12" x14ac:dyDescent="0.35">
      <c r="A448" t="s">
        <v>455</v>
      </c>
      <c r="B448" t="s">
        <v>811</v>
      </c>
      <c r="C448" s="9">
        <v>45072</v>
      </c>
      <c r="D448" s="9">
        <v>45102</v>
      </c>
      <c r="E448">
        <v>4688.33</v>
      </c>
      <c r="F448" t="s">
        <v>818</v>
      </c>
      <c r="G448" t="str">
        <f>'Raw Data bck'!F448&amp;"/USD"</f>
        <v>AUD/USD</v>
      </c>
      <c r="H448" s="15">
        <v>3374.19</v>
      </c>
      <c r="I448" s="11" t="s">
        <v>821</v>
      </c>
      <c r="J448" s="13">
        <f>IF(I448="Open",H448,IF(I448="Paid",0,"N/A"))</f>
        <v>0</v>
      </c>
      <c r="K448" s="4">
        <v>45102</v>
      </c>
      <c r="L448" t="s">
        <v>822</v>
      </c>
    </row>
    <row r="449" spans="1:12" x14ac:dyDescent="0.35">
      <c r="A449" t="s">
        <v>456</v>
      </c>
      <c r="B449" t="s">
        <v>811</v>
      </c>
      <c r="C449" s="9">
        <v>45264</v>
      </c>
      <c r="D449" s="9">
        <v>45294</v>
      </c>
      <c r="E449">
        <v>705.05</v>
      </c>
      <c r="F449" t="s">
        <v>817</v>
      </c>
      <c r="G449" t="str">
        <f>'Raw Data bck'!F449&amp;"/USD"</f>
        <v>USD/USD</v>
      </c>
      <c r="H449" s="16">
        <v>705.05</v>
      </c>
      <c r="I449" s="11" t="s">
        <v>820</v>
      </c>
      <c r="J449" s="13" t="str">
        <f>IF(I449="Open",H449,IF(I449="Paid",0,"N/A"))</f>
        <v>N/A</v>
      </c>
      <c r="L449" t="s">
        <v>822</v>
      </c>
    </row>
    <row r="450" spans="1:12" x14ac:dyDescent="0.35">
      <c r="A450" t="s">
        <v>457</v>
      </c>
      <c r="B450" t="s">
        <v>812</v>
      </c>
      <c r="C450" s="9">
        <v>45068</v>
      </c>
      <c r="D450" s="9">
        <v>45098</v>
      </c>
      <c r="E450">
        <v>1193.94</v>
      </c>
      <c r="F450" t="s">
        <v>815</v>
      </c>
      <c r="G450" t="str">
        <f>'Raw Data bck'!F450&amp;"/USD"</f>
        <v>CAD/USD</v>
      </c>
      <c r="H450" s="15">
        <v>862.02</v>
      </c>
      <c r="I450" s="11" t="s">
        <v>819</v>
      </c>
      <c r="J450" s="13">
        <f>IF(I450="Open",H450,IF(I450="Paid",0,"N/A"))</f>
        <v>862.02</v>
      </c>
      <c r="L450" t="s">
        <v>822</v>
      </c>
    </row>
    <row r="451" spans="1:12" x14ac:dyDescent="0.35">
      <c r="A451" t="s">
        <v>458</v>
      </c>
      <c r="B451" t="s">
        <v>812</v>
      </c>
      <c r="C451" s="9">
        <v>45571</v>
      </c>
      <c r="D451" s="9">
        <v>45601</v>
      </c>
      <c r="E451">
        <v>232.29</v>
      </c>
      <c r="F451" t="s">
        <v>817</v>
      </c>
      <c r="G451" t="str">
        <f>'Raw Data bck'!F451&amp;"/USD"</f>
        <v>USD/USD</v>
      </c>
      <c r="H451" s="15">
        <v>232.29</v>
      </c>
      <c r="I451" s="11" t="s">
        <v>821</v>
      </c>
      <c r="J451" s="13">
        <f>IF(I451="Open",H451,IF(I451="Paid",0,"N/A"))</f>
        <v>0</v>
      </c>
      <c r="K451" s="4">
        <v>45601</v>
      </c>
      <c r="L451" t="s">
        <v>822</v>
      </c>
    </row>
    <row r="452" spans="1:12" x14ac:dyDescent="0.35">
      <c r="A452" t="s">
        <v>459</v>
      </c>
      <c r="B452" t="s">
        <v>810</v>
      </c>
      <c r="C452" s="9">
        <v>45317</v>
      </c>
      <c r="D452" s="9">
        <v>45347</v>
      </c>
      <c r="E452">
        <v>4202.26</v>
      </c>
      <c r="F452" t="s">
        <v>814</v>
      </c>
      <c r="G452" t="str">
        <f>'Raw Data bck'!F452&amp;"/USD"</f>
        <v>EUR/USD</v>
      </c>
      <c r="H452" s="16">
        <v>4893.1099999999997</v>
      </c>
      <c r="I452" s="11" t="s">
        <v>820</v>
      </c>
      <c r="J452" s="13" t="str">
        <f>IF(I452="Open",H452,IF(I452="Paid",0,"N/A"))</f>
        <v>N/A</v>
      </c>
      <c r="L452" t="s">
        <v>822</v>
      </c>
    </row>
    <row r="453" spans="1:12" x14ac:dyDescent="0.35">
      <c r="A453" t="s">
        <v>460</v>
      </c>
      <c r="B453" t="s">
        <v>813</v>
      </c>
      <c r="C453" s="9">
        <v>45315</v>
      </c>
      <c r="D453" s="9">
        <v>45345</v>
      </c>
      <c r="E453">
        <v>3696.33</v>
      </c>
      <c r="F453" t="s">
        <v>818</v>
      </c>
      <c r="G453" t="str">
        <f>'Raw Data bck'!F453&amp;"/USD"</f>
        <v>AUD/USD</v>
      </c>
      <c r="H453" s="15">
        <v>2660.25</v>
      </c>
      <c r="I453" s="11" t="s">
        <v>821</v>
      </c>
      <c r="J453" s="13">
        <f>IF(I453="Open",H453,IF(I453="Paid",0,"N/A"))</f>
        <v>0</v>
      </c>
      <c r="K453" s="4">
        <v>45345</v>
      </c>
      <c r="L453" t="s">
        <v>822</v>
      </c>
    </row>
    <row r="454" spans="1:12" x14ac:dyDescent="0.35">
      <c r="A454" t="s">
        <v>461</v>
      </c>
      <c r="B454" t="s">
        <v>812</v>
      </c>
      <c r="C454" s="9">
        <v>45319</v>
      </c>
      <c r="D454" s="9">
        <v>45349</v>
      </c>
      <c r="E454">
        <v>3133.53</v>
      </c>
      <c r="F454" t="s">
        <v>817</v>
      </c>
      <c r="G454" t="str">
        <f>'Raw Data bck'!F454&amp;"/USD"</f>
        <v>USD/USD</v>
      </c>
      <c r="H454" s="15">
        <v>3133.53</v>
      </c>
      <c r="I454" s="11" t="s">
        <v>821</v>
      </c>
      <c r="J454" s="13">
        <f>IF(I454="Open",H454,IF(I454="Paid",0,"N/A"))</f>
        <v>0</v>
      </c>
      <c r="K454" s="4">
        <v>45349</v>
      </c>
      <c r="L454" t="s">
        <v>822</v>
      </c>
    </row>
    <row r="455" spans="1:12" x14ac:dyDescent="0.35">
      <c r="A455" t="s">
        <v>462</v>
      </c>
      <c r="B455" t="s">
        <v>809</v>
      </c>
      <c r="C455" s="9">
        <v>45460</v>
      </c>
      <c r="D455" s="9">
        <v>45490</v>
      </c>
      <c r="E455">
        <v>2405.39</v>
      </c>
      <c r="F455" t="s">
        <v>817</v>
      </c>
      <c r="G455" t="str">
        <f>'Raw Data bck'!F455&amp;"/USD"</f>
        <v>USD/USD</v>
      </c>
      <c r="H455" s="15">
        <v>2405.39</v>
      </c>
      <c r="I455" s="11" t="s">
        <v>821</v>
      </c>
      <c r="J455" s="13">
        <f>IF(I455="Open",H455,IF(I455="Paid",0,"N/A"))</f>
        <v>0</v>
      </c>
      <c r="K455" s="4">
        <v>45490</v>
      </c>
      <c r="L455" t="s">
        <v>822</v>
      </c>
    </row>
    <row r="456" spans="1:12" x14ac:dyDescent="0.35">
      <c r="A456" t="s">
        <v>463</v>
      </c>
      <c r="B456" t="s">
        <v>812</v>
      </c>
      <c r="C456" s="9">
        <v>45302</v>
      </c>
      <c r="D456" s="9">
        <v>45332</v>
      </c>
      <c r="E456">
        <v>1074.8499999999999</v>
      </c>
      <c r="F456" t="s">
        <v>817</v>
      </c>
      <c r="G456" t="str">
        <f>'Raw Data bck'!F456&amp;"/USD"</f>
        <v>USD/USD</v>
      </c>
      <c r="H456" s="16">
        <v>1074.8499999999999</v>
      </c>
      <c r="I456" s="11" t="s">
        <v>820</v>
      </c>
      <c r="J456" s="13" t="str">
        <f>IF(I456="Open",H456,IF(I456="Paid",0,"N/A"))</f>
        <v>N/A</v>
      </c>
      <c r="L456" t="s">
        <v>822</v>
      </c>
    </row>
    <row r="457" spans="1:12" x14ac:dyDescent="0.35">
      <c r="A457" t="s">
        <v>464</v>
      </c>
      <c r="B457" t="s">
        <v>811</v>
      </c>
      <c r="C457" s="9">
        <v>45648</v>
      </c>
      <c r="D457" s="9">
        <v>45678</v>
      </c>
      <c r="E457">
        <v>3359</v>
      </c>
      <c r="F457" t="s">
        <v>816</v>
      </c>
      <c r="G457" t="str">
        <f>'Raw Data bck'!F457&amp;"/USD"</f>
        <v>GBP/USD</v>
      </c>
      <c r="H457" s="15">
        <v>4564.21</v>
      </c>
      <c r="I457" s="11" t="s">
        <v>819</v>
      </c>
      <c r="J457" s="13">
        <f>IF(I457="Open",H457,IF(I457="Paid",0,"N/A"))</f>
        <v>4564.21</v>
      </c>
      <c r="L457" t="s">
        <v>822</v>
      </c>
    </row>
    <row r="458" spans="1:12" x14ac:dyDescent="0.35">
      <c r="A458" t="s">
        <v>465</v>
      </c>
      <c r="B458" t="s">
        <v>813</v>
      </c>
      <c r="C458" s="9">
        <v>45700</v>
      </c>
      <c r="D458" s="9">
        <v>45730</v>
      </c>
      <c r="E458">
        <v>419.58</v>
      </c>
      <c r="F458" t="s">
        <v>818</v>
      </c>
      <c r="G458" t="str">
        <f>'Raw Data bck'!F458&amp;"/USD"</f>
        <v>AUD/USD</v>
      </c>
      <c r="H458" s="15">
        <v>301.97000000000003</v>
      </c>
      <c r="I458" s="11" t="s">
        <v>821</v>
      </c>
      <c r="J458" s="13">
        <f>IF(I458="Open",H458,IF(I458="Paid",0,"N/A"))</f>
        <v>0</v>
      </c>
      <c r="K458" s="4">
        <v>45730</v>
      </c>
      <c r="L458" t="s">
        <v>822</v>
      </c>
    </row>
    <row r="459" spans="1:12" x14ac:dyDescent="0.35">
      <c r="A459" t="s">
        <v>466</v>
      </c>
      <c r="B459" t="s">
        <v>810</v>
      </c>
      <c r="C459" s="9">
        <v>45376</v>
      </c>
      <c r="D459" s="9">
        <v>45406</v>
      </c>
      <c r="E459">
        <v>1704.27</v>
      </c>
      <c r="F459" t="s">
        <v>815</v>
      </c>
      <c r="G459" t="str">
        <f>'Raw Data bck'!F459&amp;"/USD"</f>
        <v>CAD/USD</v>
      </c>
      <c r="H459" s="15">
        <v>1230.48</v>
      </c>
      <c r="I459" s="11" t="s">
        <v>819</v>
      </c>
      <c r="J459" s="13">
        <f>IF(I459="Open",H459,IF(I459="Paid",0,"N/A"))</f>
        <v>1230.48</v>
      </c>
      <c r="L459" t="s">
        <v>822</v>
      </c>
    </row>
    <row r="460" spans="1:12" x14ac:dyDescent="0.35">
      <c r="A460" t="s">
        <v>467</v>
      </c>
      <c r="B460" t="s">
        <v>811</v>
      </c>
      <c r="C460" s="9">
        <v>45397</v>
      </c>
      <c r="D460" s="9">
        <v>45427</v>
      </c>
      <c r="E460">
        <v>1545.19</v>
      </c>
      <c r="F460" t="s">
        <v>816</v>
      </c>
      <c r="G460" t="str">
        <f>'Raw Data bck'!F460&amp;"/USD"</f>
        <v>GBP/USD</v>
      </c>
      <c r="H460" s="15">
        <v>2099.6</v>
      </c>
      <c r="I460" s="11" t="s">
        <v>821</v>
      </c>
      <c r="J460" s="13">
        <f>IF(I460="Open",H460,IF(I460="Paid",0,"N/A"))</f>
        <v>0</v>
      </c>
      <c r="K460" s="4">
        <v>45427</v>
      </c>
      <c r="L460" t="s">
        <v>822</v>
      </c>
    </row>
    <row r="461" spans="1:12" x14ac:dyDescent="0.35">
      <c r="A461" t="s">
        <v>468</v>
      </c>
      <c r="B461" t="s">
        <v>811</v>
      </c>
      <c r="C461" s="9">
        <v>45198</v>
      </c>
      <c r="D461" s="9">
        <v>45228</v>
      </c>
      <c r="E461">
        <v>3414.41</v>
      </c>
      <c r="F461" t="s">
        <v>818</v>
      </c>
      <c r="G461" t="str">
        <f>'Raw Data bck'!F461&amp;"/USD"</f>
        <v>AUD/USD</v>
      </c>
      <c r="H461" s="16">
        <v>2457.35</v>
      </c>
      <c r="I461" s="11" t="s">
        <v>820</v>
      </c>
      <c r="J461" s="13" t="str">
        <f>IF(I461="Open",H461,IF(I461="Paid",0,"N/A"))</f>
        <v>N/A</v>
      </c>
      <c r="L461" t="s">
        <v>822</v>
      </c>
    </row>
    <row r="462" spans="1:12" x14ac:dyDescent="0.35">
      <c r="A462" t="s">
        <v>469</v>
      </c>
      <c r="B462" t="s">
        <v>809</v>
      </c>
      <c r="C462" s="9">
        <v>45779</v>
      </c>
      <c r="D462" s="9">
        <v>45809</v>
      </c>
      <c r="E462">
        <v>3597.78</v>
      </c>
      <c r="F462" t="s">
        <v>817</v>
      </c>
      <c r="G462" t="str">
        <f>'Raw Data bck'!F462&amp;"/USD"</f>
        <v>USD/USD</v>
      </c>
      <c r="H462" s="16">
        <v>3597.78</v>
      </c>
      <c r="I462" s="11" t="s">
        <v>820</v>
      </c>
      <c r="J462" s="13" t="str">
        <f>IF(I462="Open",H462,IF(I462="Paid",0,"N/A"))</f>
        <v>N/A</v>
      </c>
      <c r="L462" t="s">
        <v>822</v>
      </c>
    </row>
    <row r="463" spans="1:12" x14ac:dyDescent="0.35">
      <c r="A463" t="s">
        <v>470</v>
      </c>
      <c r="B463" t="s">
        <v>810</v>
      </c>
      <c r="C463" s="9">
        <v>45599</v>
      </c>
      <c r="D463" s="9">
        <v>45629</v>
      </c>
      <c r="E463">
        <v>2642.3</v>
      </c>
      <c r="F463" t="s">
        <v>814</v>
      </c>
      <c r="G463" t="str">
        <f>'Raw Data bck'!F463&amp;"/USD"</f>
        <v>EUR/USD</v>
      </c>
      <c r="H463" s="15">
        <v>3076.69</v>
      </c>
      <c r="I463" s="11" t="s">
        <v>819</v>
      </c>
      <c r="J463" s="13">
        <f>IF(I463="Open",H463,IF(I463="Paid",0,"N/A"))</f>
        <v>3076.69</v>
      </c>
      <c r="L463" t="s">
        <v>822</v>
      </c>
    </row>
    <row r="464" spans="1:12" x14ac:dyDescent="0.35">
      <c r="A464" t="s">
        <v>471</v>
      </c>
      <c r="B464" t="s">
        <v>810</v>
      </c>
      <c r="C464" s="9">
        <v>44983</v>
      </c>
      <c r="D464" s="9">
        <v>45013</v>
      </c>
      <c r="E464">
        <v>4728.07</v>
      </c>
      <c r="F464" t="s">
        <v>818</v>
      </c>
      <c r="G464" t="str">
        <f>'Raw Data bck'!F464&amp;"/USD"</f>
        <v>AUD/USD</v>
      </c>
      <c r="H464" s="16">
        <v>3402.79</v>
      </c>
      <c r="I464" s="11" t="s">
        <v>820</v>
      </c>
      <c r="J464" s="13" t="str">
        <f>IF(I464="Open",H464,IF(I464="Paid",0,"N/A"))</f>
        <v>N/A</v>
      </c>
      <c r="L464" t="s">
        <v>822</v>
      </c>
    </row>
    <row r="465" spans="1:12" x14ac:dyDescent="0.35">
      <c r="A465" t="s">
        <v>472</v>
      </c>
      <c r="B465" t="s">
        <v>813</v>
      </c>
      <c r="C465" s="9">
        <v>45624</v>
      </c>
      <c r="D465" s="9">
        <v>45654</v>
      </c>
      <c r="E465">
        <v>1560.4</v>
      </c>
      <c r="F465" t="s">
        <v>815</v>
      </c>
      <c r="G465" t="str">
        <f>'Raw Data bck'!F465&amp;"/USD"</f>
        <v>CAD/USD</v>
      </c>
      <c r="H465" s="16">
        <v>1126.6099999999999</v>
      </c>
      <c r="I465" s="11" t="s">
        <v>820</v>
      </c>
      <c r="J465" s="13" t="str">
        <f>IF(I465="Open",H465,IF(I465="Paid",0,"N/A"))</f>
        <v>N/A</v>
      </c>
      <c r="L465" t="s">
        <v>822</v>
      </c>
    </row>
    <row r="466" spans="1:12" x14ac:dyDescent="0.35">
      <c r="A466" t="s">
        <v>473</v>
      </c>
      <c r="B466" t="s">
        <v>812</v>
      </c>
      <c r="C466" s="9">
        <v>45374</v>
      </c>
      <c r="D466" s="9">
        <v>45404</v>
      </c>
      <c r="E466">
        <v>2026.99</v>
      </c>
      <c r="F466" t="s">
        <v>816</v>
      </c>
      <c r="G466" t="str">
        <f>'Raw Data bck'!F466&amp;"/USD"</f>
        <v>GBP/USD</v>
      </c>
      <c r="H466" s="15">
        <v>2754.27</v>
      </c>
      <c r="I466" s="11" t="s">
        <v>819</v>
      </c>
      <c r="J466" s="13">
        <f>IF(I466="Open",H466,IF(I466="Paid",0,"N/A"))</f>
        <v>2754.27</v>
      </c>
      <c r="L466" t="s">
        <v>822</v>
      </c>
    </row>
    <row r="467" spans="1:12" x14ac:dyDescent="0.35">
      <c r="A467" t="s">
        <v>474</v>
      </c>
      <c r="B467" t="s">
        <v>809</v>
      </c>
      <c r="C467" s="9">
        <v>45574</v>
      </c>
      <c r="D467" s="9">
        <v>45604</v>
      </c>
      <c r="E467">
        <v>1142.8399999999999</v>
      </c>
      <c r="F467" t="s">
        <v>817</v>
      </c>
      <c r="G467" t="str">
        <f>'Raw Data bck'!F467&amp;"/USD"</f>
        <v>USD/USD</v>
      </c>
      <c r="H467" s="15">
        <v>1142.8399999999999</v>
      </c>
      <c r="I467" s="11" t="s">
        <v>821</v>
      </c>
      <c r="J467" s="13">
        <f>IF(I467="Open",H467,IF(I467="Paid",0,"N/A"))</f>
        <v>0</v>
      </c>
      <c r="K467" s="4">
        <v>45604</v>
      </c>
      <c r="L467" t="s">
        <v>822</v>
      </c>
    </row>
    <row r="468" spans="1:12" x14ac:dyDescent="0.35">
      <c r="A468" t="s">
        <v>475</v>
      </c>
      <c r="B468" t="s">
        <v>812</v>
      </c>
      <c r="C468" s="9">
        <v>45414</v>
      </c>
      <c r="D468" s="9">
        <v>45444</v>
      </c>
      <c r="E468">
        <v>3401.72</v>
      </c>
      <c r="F468" t="s">
        <v>816</v>
      </c>
      <c r="G468" t="str">
        <f>'Raw Data bck'!F468&amp;"/USD"</f>
        <v>GBP/USD</v>
      </c>
      <c r="H468" s="15">
        <v>4622.26</v>
      </c>
      <c r="I468" s="11" t="s">
        <v>819</v>
      </c>
      <c r="J468" s="13">
        <f>IF(I468="Open",H468,IF(I468="Paid",0,"N/A"))</f>
        <v>4622.26</v>
      </c>
      <c r="L468" t="s">
        <v>822</v>
      </c>
    </row>
    <row r="469" spans="1:12" x14ac:dyDescent="0.35">
      <c r="A469" t="s">
        <v>476</v>
      </c>
      <c r="B469" t="s">
        <v>809</v>
      </c>
      <c r="C469" s="9">
        <v>45076</v>
      </c>
      <c r="D469" s="9">
        <v>45106</v>
      </c>
      <c r="E469">
        <v>4753.22</v>
      </c>
      <c r="F469" t="s">
        <v>816</v>
      </c>
      <c r="G469" t="str">
        <f>'Raw Data bck'!F469&amp;"/USD"</f>
        <v>GBP/USD</v>
      </c>
      <c r="H469" s="16">
        <v>6458.68</v>
      </c>
      <c r="I469" s="11" t="s">
        <v>820</v>
      </c>
      <c r="J469" s="13" t="str">
        <f>IF(I469="Open",H469,IF(I469="Paid",0,"N/A"))</f>
        <v>N/A</v>
      </c>
      <c r="L469" t="s">
        <v>822</v>
      </c>
    </row>
    <row r="470" spans="1:12" x14ac:dyDescent="0.35">
      <c r="A470" t="s">
        <v>477</v>
      </c>
      <c r="B470" t="s">
        <v>809</v>
      </c>
      <c r="C470" s="9">
        <v>45789</v>
      </c>
      <c r="D470" s="9">
        <v>45819</v>
      </c>
      <c r="E470">
        <v>3640.83</v>
      </c>
      <c r="F470" t="s">
        <v>816</v>
      </c>
      <c r="G470" t="str">
        <f>'Raw Data bck'!F470&amp;"/USD"</f>
        <v>GBP/USD</v>
      </c>
      <c r="H470" s="16">
        <v>4947.16</v>
      </c>
      <c r="I470" s="11" t="s">
        <v>820</v>
      </c>
      <c r="J470" s="13" t="str">
        <f>IF(I470="Open",H470,IF(I470="Paid",0,"N/A"))</f>
        <v>N/A</v>
      </c>
      <c r="L470" t="s">
        <v>822</v>
      </c>
    </row>
    <row r="471" spans="1:12" x14ac:dyDescent="0.35">
      <c r="A471" t="s">
        <v>478</v>
      </c>
      <c r="B471" t="s">
        <v>810</v>
      </c>
      <c r="C471" s="9">
        <v>45358</v>
      </c>
      <c r="D471" s="9">
        <v>45388</v>
      </c>
      <c r="E471">
        <v>2662.58</v>
      </c>
      <c r="F471" t="s">
        <v>815</v>
      </c>
      <c r="G471" t="str">
        <f>'Raw Data bck'!F471&amp;"/USD"</f>
        <v>CAD/USD</v>
      </c>
      <c r="H471" s="16">
        <v>1922.38</v>
      </c>
      <c r="I471" s="11" t="s">
        <v>820</v>
      </c>
      <c r="J471" s="13" t="str">
        <f>IF(I471="Open",H471,IF(I471="Paid",0,"N/A"))</f>
        <v>N/A</v>
      </c>
      <c r="L471" t="s">
        <v>822</v>
      </c>
    </row>
    <row r="472" spans="1:12" x14ac:dyDescent="0.35">
      <c r="A472" t="s">
        <v>479</v>
      </c>
      <c r="B472" t="s">
        <v>809</v>
      </c>
      <c r="C472" s="9">
        <v>45619</v>
      </c>
      <c r="D472" s="9">
        <v>45649</v>
      </c>
      <c r="E472">
        <v>212.92</v>
      </c>
      <c r="F472" t="s">
        <v>814</v>
      </c>
      <c r="G472" t="str">
        <f>'Raw Data bck'!F472&amp;"/USD"</f>
        <v>EUR/USD</v>
      </c>
      <c r="H472" s="15">
        <v>247.92</v>
      </c>
      <c r="I472" s="11" t="s">
        <v>819</v>
      </c>
      <c r="J472" s="13">
        <f>IF(I472="Open",H472,IF(I472="Paid",0,"N/A"))</f>
        <v>247.92</v>
      </c>
      <c r="L472" t="s">
        <v>822</v>
      </c>
    </row>
    <row r="473" spans="1:12" x14ac:dyDescent="0.35">
      <c r="A473" t="s">
        <v>480</v>
      </c>
      <c r="B473" t="s">
        <v>809</v>
      </c>
      <c r="C473" s="9">
        <v>45254</v>
      </c>
      <c r="D473" s="9">
        <v>45284</v>
      </c>
      <c r="E473">
        <v>980.09</v>
      </c>
      <c r="F473" t="s">
        <v>816</v>
      </c>
      <c r="G473" t="str">
        <f>'Raw Data bck'!F473&amp;"/USD"</f>
        <v>GBP/USD</v>
      </c>
      <c r="H473" s="15">
        <v>1331.75</v>
      </c>
      <c r="I473" s="11" t="s">
        <v>821</v>
      </c>
      <c r="J473" s="13">
        <f>IF(I473="Open",H473,IF(I473="Paid",0,"N/A"))</f>
        <v>0</v>
      </c>
      <c r="K473" s="4">
        <v>45284</v>
      </c>
      <c r="L473" t="s">
        <v>822</v>
      </c>
    </row>
    <row r="474" spans="1:12" x14ac:dyDescent="0.35">
      <c r="A474" t="s">
        <v>481</v>
      </c>
      <c r="B474" t="s">
        <v>811</v>
      </c>
      <c r="C474" s="9">
        <v>45262</v>
      </c>
      <c r="D474" s="9">
        <v>45292</v>
      </c>
      <c r="E474">
        <v>1179.8800000000001</v>
      </c>
      <c r="F474" t="s">
        <v>816</v>
      </c>
      <c r="G474" t="str">
        <f>'Raw Data bck'!F474&amp;"/USD"</f>
        <v>GBP/USD</v>
      </c>
      <c r="H474" s="15">
        <v>1603.22</v>
      </c>
      <c r="I474" s="11" t="s">
        <v>819</v>
      </c>
      <c r="J474" s="13">
        <f>IF(I474="Open",H474,IF(I474="Paid",0,"N/A"))</f>
        <v>1603.22</v>
      </c>
      <c r="L474" t="s">
        <v>822</v>
      </c>
    </row>
    <row r="475" spans="1:12" x14ac:dyDescent="0.35">
      <c r="A475" t="s">
        <v>482</v>
      </c>
      <c r="B475" t="s">
        <v>810</v>
      </c>
      <c r="C475" s="9">
        <v>45324</v>
      </c>
      <c r="D475" s="9">
        <v>45354</v>
      </c>
      <c r="E475">
        <v>1750.63</v>
      </c>
      <c r="F475" t="s">
        <v>818</v>
      </c>
      <c r="G475" t="str">
        <f>'Raw Data bck'!F475&amp;"/USD"</f>
        <v>AUD/USD</v>
      </c>
      <c r="H475" s="15">
        <v>1259.93</v>
      </c>
      <c r="I475" s="11" t="s">
        <v>819</v>
      </c>
      <c r="J475" s="13">
        <f>IF(I475="Open",H475,IF(I475="Paid",0,"N/A"))</f>
        <v>1259.93</v>
      </c>
      <c r="L475" t="s">
        <v>822</v>
      </c>
    </row>
    <row r="476" spans="1:12" x14ac:dyDescent="0.35">
      <c r="A476" t="s">
        <v>483</v>
      </c>
      <c r="B476" t="s">
        <v>810</v>
      </c>
      <c r="C476" s="9">
        <v>45624</v>
      </c>
      <c r="D476" s="9">
        <v>45654</v>
      </c>
      <c r="E476">
        <v>3207.4</v>
      </c>
      <c r="F476" t="s">
        <v>818</v>
      </c>
      <c r="G476" t="str">
        <f>'Raw Data bck'!F476&amp;"/USD"</f>
        <v>AUD/USD</v>
      </c>
      <c r="H476" s="15">
        <v>2308.37</v>
      </c>
      <c r="I476" s="11" t="s">
        <v>821</v>
      </c>
      <c r="J476" s="13">
        <f>IF(I476="Open",H476,IF(I476="Paid",0,"N/A"))</f>
        <v>0</v>
      </c>
      <c r="K476" s="4">
        <v>45654</v>
      </c>
      <c r="L476" t="s">
        <v>822</v>
      </c>
    </row>
    <row r="477" spans="1:12" x14ac:dyDescent="0.35">
      <c r="A477" t="s">
        <v>484</v>
      </c>
      <c r="B477" t="s">
        <v>810</v>
      </c>
      <c r="C477" s="9">
        <v>45229</v>
      </c>
      <c r="D477" s="9">
        <v>45259</v>
      </c>
      <c r="E477">
        <v>2412.71</v>
      </c>
      <c r="F477" t="s">
        <v>814</v>
      </c>
      <c r="G477" t="str">
        <f>'Raw Data bck'!F477&amp;"/USD"</f>
        <v>EUR/USD</v>
      </c>
      <c r="H477" s="15">
        <v>2809.36</v>
      </c>
      <c r="I477" s="11" t="s">
        <v>821</v>
      </c>
      <c r="J477" s="13">
        <f>IF(I477="Open",H477,IF(I477="Paid",0,"N/A"))</f>
        <v>0</v>
      </c>
      <c r="K477" s="4">
        <v>45259</v>
      </c>
      <c r="L477" t="s">
        <v>822</v>
      </c>
    </row>
    <row r="478" spans="1:12" x14ac:dyDescent="0.35">
      <c r="A478" t="s">
        <v>485</v>
      </c>
      <c r="B478" t="s">
        <v>813</v>
      </c>
      <c r="C478" s="9">
        <v>45235</v>
      </c>
      <c r="D478" s="9">
        <v>45265</v>
      </c>
      <c r="E478">
        <v>382.4</v>
      </c>
      <c r="F478" t="s">
        <v>817</v>
      </c>
      <c r="G478" t="str">
        <f>'Raw Data bck'!F478&amp;"/USD"</f>
        <v>USD/USD</v>
      </c>
      <c r="H478" s="16">
        <v>382.4</v>
      </c>
      <c r="I478" s="11" t="s">
        <v>820</v>
      </c>
      <c r="J478" s="13" t="str">
        <f>IF(I478="Open",H478,IF(I478="Paid",0,"N/A"))</f>
        <v>N/A</v>
      </c>
      <c r="L478" t="s">
        <v>822</v>
      </c>
    </row>
    <row r="479" spans="1:12" x14ac:dyDescent="0.35">
      <c r="A479" t="s">
        <v>486</v>
      </c>
      <c r="B479" t="s">
        <v>811</v>
      </c>
      <c r="C479" s="9">
        <v>45106</v>
      </c>
      <c r="D479" s="9">
        <v>45136</v>
      </c>
      <c r="E479">
        <v>4004.66</v>
      </c>
      <c r="F479" t="s">
        <v>815</v>
      </c>
      <c r="G479" t="str">
        <f>'Raw Data bck'!F479&amp;"/USD"</f>
        <v>CAD/USD</v>
      </c>
      <c r="H479" s="15">
        <v>2891.36</v>
      </c>
      <c r="I479" s="11" t="s">
        <v>821</v>
      </c>
      <c r="J479" s="13">
        <f>IF(I479="Open",H479,IF(I479="Paid",0,"N/A"))</f>
        <v>0</v>
      </c>
      <c r="K479" s="4">
        <v>45136</v>
      </c>
      <c r="L479" t="s">
        <v>822</v>
      </c>
    </row>
    <row r="480" spans="1:12" x14ac:dyDescent="0.35">
      <c r="A480" t="s">
        <v>487</v>
      </c>
      <c r="B480" t="s">
        <v>812</v>
      </c>
      <c r="C480" s="9">
        <v>45342</v>
      </c>
      <c r="D480" s="9">
        <v>45372</v>
      </c>
      <c r="E480">
        <v>4777.58</v>
      </c>
      <c r="F480" t="s">
        <v>818</v>
      </c>
      <c r="G480" t="str">
        <f>'Raw Data bck'!F480&amp;"/USD"</f>
        <v>AUD/USD</v>
      </c>
      <c r="H480" s="15">
        <v>3438.42</v>
      </c>
      <c r="I480" s="11" t="s">
        <v>819</v>
      </c>
      <c r="J480" s="13">
        <f>IF(I480="Open",H480,IF(I480="Paid",0,"N/A"))</f>
        <v>3438.42</v>
      </c>
      <c r="L480" t="s">
        <v>822</v>
      </c>
    </row>
    <row r="481" spans="1:12" x14ac:dyDescent="0.35">
      <c r="A481" t="s">
        <v>488</v>
      </c>
      <c r="B481" t="s">
        <v>810</v>
      </c>
      <c r="C481" s="9">
        <v>45185</v>
      </c>
      <c r="D481" s="9">
        <v>45215</v>
      </c>
      <c r="E481">
        <v>1599.7</v>
      </c>
      <c r="F481" t="s">
        <v>816</v>
      </c>
      <c r="G481" t="str">
        <f>'Raw Data bck'!F481&amp;"/USD"</f>
        <v>GBP/USD</v>
      </c>
      <c r="H481" s="16">
        <v>2173.67</v>
      </c>
      <c r="I481" s="11" t="s">
        <v>820</v>
      </c>
      <c r="J481" s="13" t="str">
        <f>IF(I481="Open",H481,IF(I481="Paid",0,"N/A"))</f>
        <v>N/A</v>
      </c>
      <c r="L481" t="s">
        <v>822</v>
      </c>
    </row>
    <row r="482" spans="1:12" x14ac:dyDescent="0.35">
      <c r="A482" t="s">
        <v>489</v>
      </c>
      <c r="B482" t="s">
        <v>810</v>
      </c>
      <c r="C482" s="9">
        <v>45707</v>
      </c>
      <c r="D482" s="9">
        <v>45737</v>
      </c>
      <c r="E482">
        <v>4973.3</v>
      </c>
      <c r="F482" t="s">
        <v>817</v>
      </c>
      <c r="G482" t="str">
        <f>'Raw Data bck'!F482&amp;"/USD"</f>
        <v>USD/USD</v>
      </c>
      <c r="H482" s="15">
        <v>4973.3</v>
      </c>
      <c r="I482" s="11" t="s">
        <v>819</v>
      </c>
      <c r="J482" s="13">
        <f>IF(I482="Open",H482,IF(I482="Paid",0,"N/A"))</f>
        <v>4973.3</v>
      </c>
      <c r="L482" t="s">
        <v>822</v>
      </c>
    </row>
    <row r="483" spans="1:12" x14ac:dyDescent="0.35">
      <c r="A483" t="s">
        <v>490</v>
      </c>
      <c r="B483" t="s">
        <v>811</v>
      </c>
      <c r="C483" s="9">
        <v>45099</v>
      </c>
      <c r="D483" s="9">
        <v>45129</v>
      </c>
      <c r="E483">
        <v>717.91</v>
      </c>
      <c r="F483" t="s">
        <v>814</v>
      </c>
      <c r="G483" t="str">
        <f>'Raw Data bck'!F483&amp;"/USD"</f>
        <v>EUR/USD</v>
      </c>
      <c r="H483" s="15">
        <v>835.93</v>
      </c>
      <c r="I483" s="11" t="s">
        <v>819</v>
      </c>
      <c r="J483" s="13">
        <f>IF(I483="Open",H483,IF(I483="Paid",0,"N/A"))</f>
        <v>835.93</v>
      </c>
      <c r="L483" t="s">
        <v>822</v>
      </c>
    </row>
    <row r="484" spans="1:12" x14ac:dyDescent="0.35">
      <c r="A484" t="s">
        <v>491</v>
      </c>
      <c r="B484" t="s">
        <v>812</v>
      </c>
      <c r="C484" s="9">
        <v>45684</v>
      </c>
      <c r="D484" s="9">
        <v>45714</v>
      </c>
      <c r="E484">
        <v>1388.79</v>
      </c>
      <c r="F484" t="s">
        <v>816</v>
      </c>
      <c r="G484" t="str">
        <f>'Raw Data bck'!F484&amp;"/USD"</f>
        <v>GBP/USD</v>
      </c>
      <c r="H484" s="15">
        <v>1887.09</v>
      </c>
      <c r="I484" s="11" t="s">
        <v>821</v>
      </c>
      <c r="J484" s="13">
        <f>IF(I484="Open",H484,IF(I484="Paid",0,"N/A"))</f>
        <v>0</v>
      </c>
      <c r="K484" s="4">
        <v>45714</v>
      </c>
      <c r="L484" t="s">
        <v>822</v>
      </c>
    </row>
    <row r="485" spans="1:12" x14ac:dyDescent="0.35">
      <c r="A485" t="s">
        <v>492</v>
      </c>
      <c r="B485" t="s">
        <v>809</v>
      </c>
      <c r="C485" s="9">
        <v>45823</v>
      </c>
      <c r="D485" s="9">
        <v>45853</v>
      </c>
      <c r="E485">
        <v>669.06</v>
      </c>
      <c r="F485" t="s">
        <v>816</v>
      </c>
      <c r="G485" t="str">
        <f>'Raw Data bck'!F485&amp;"/USD"</f>
        <v>GBP/USD</v>
      </c>
      <c r="H485" s="15">
        <v>909.12</v>
      </c>
      <c r="I485" s="11" t="s">
        <v>821</v>
      </c>
      <c r="J485" s="13">
        <f>IF(I485="Open",H485,IF(I485="Paid",0,"N/A"))</f>
        <v>0</v>
      </c>
      <c r="K485" s="4">
        <v>45853</v>
      </c>
      <c r="L485" t="s">
        <v>822</v>
      </c>
    </row>
    <row r="486" spans="1:12" x14ac:dyDescent="0.35">
      <c r="A486" t="s">
        <v>493</v>
      </c>
      <c r="B486" t="s">
        <v>811</v>
      </c>
      <c r="C486" s="9">
        <v>45192</v>
      </c>
      <c r="D486" s="9">
        <v>45222</v>
      </c>
      <c r="E486">
        <v>158.72</v>
      </c>
      <c r="F486" t="s">
        <v>818</v>
      </c>
      <c r="G486" t="str">
        <f>'Raw Data bck'!F486&amp;"/USD"</f>
        <v>AUD/USD</v>
      </c>
      <c r="H486" s="15">
        <v>114.23</v>
      </c>
      <c r="I486" s="11" t="s">
        <v>821</v>
      </c>
      <c r="J486" s="13">
        <f>IF(I486="Open",H486,IF(I486="Paid",0,"N/A"))</f>
        <v>0</v>
      </c>
      <c r="K486" s="4">
        <v>45222</v>
      </c>
      <c r="L486" t="s">
        <v>822</v>
      </c>
    </row>
    <row r="487" spans="1:12" x14ac:dyDescent="0.35">
      <c r="A487" t="s">
        <v>494</v>
      </c>
      <c r="B487" t="s">
        <v>813</v>
      </c>
      <c r="C487" s="9">
        <v>45346</v>
      </c>
      <c r="D487" s="9">
        <v>45376</v>
      </c>
      <c r="E487">
        <v>502.65</v>
      </c>
      <c r="F487" t="s">
        <v>817</v>
      </c>
      <c r="G487" t="str">
        <f>'Raw Data bck'!F487&amp;"/USD"</f>
        <v>USD/USD</v>
      </c>
      <c r="H487" s="16">
        <v>502.65</v>
      </c>
      <c r="I487" s="11" t="s">
        <v>820</v>
      </c>
      <c r="J487" s="13" t="str">
        <f>IF(I487="Open",H487,IF(I487="Paid",0,"N/A"))</f>
        <v>N/A</v>
      </c>
      <c r="L487" t="s">
        <v>822</v>
      </c>
    </row>
    <row r="488" spans="1:12" x14ac:dyDescent="0.35">
      <c r="A488" t="s">
        <v>495</v>
      </c>
      <c r="B488" t="s">
        <v>812</v>
      </c>
      <c r="C488" s="9">
        <v>44971</v>
      </c>
      <c r="D488" s="9">
        <v>45001</v>
      </c>
      <c r="E488">
        <v>2135.0100000000002</v>
      </c>
      <c r="F488" t="s">
        <v>814</v>
      </c>
      <c r="G488" t="str">
        <f>'Raw Data bck'!F488&amp;"/USD"</f>
        <v>EUR/USD</v>
      </c>
      <c r="H488" s="15">
        <v>2486.0100000000002</v>
      </c>
      <c r="I488" s="11" t="s">
        <v>819</v>
      </c>
      <c r="J488" s="13">
        <f>IF(I488="Open",H488,IF(I488="Paid",0,"N/A"))</f>
        <v>2486.0100000000002</v>
      </c>
      <c r="L488" t="s">
        <v>822</v>
      </c>
    </row>
    <row r="489" spans="1:12" x14ac:dyDescent="0.35">
      <c r="A489" t="s">
        <v>496</v>
      </c>
      <c r="B489" t="s">
        <v>813</v>
      </c>
      <c r="C489" s="9">
        <v>44937</v>
      </c>
      <c r="D489" s="9">
        <v>44967</v>
      </c>
      <c r="E489">
        <v>386.6</v>
      </c>
      <c r="F489" t="s">
        <v>817</v>
      </c>
      <c r="G489" t="str">
        <f>'Raw Data bck'!F489&amp;"/USD"</f>
        <v>USD/USD</v>
      </c>
      <c r="H489" s="16">
        <v>386.6</v>
      </c>
      <c r="I489" s="11" t="s">
        <v>820</v>
      </c>
      <c r="J489" s="13" t="str">
        <f>IF(I489="Open",H489,IF(I489="Paid",0,"N/A"))</f>
        <v>N/A</v>
      </c>
      <c r="L489" t="s">
        <v>822</v>
      </c>
    </row>
    <row r="490" spans="1:12" x14ac:dyDescent="0.35">
      <c r="A490" t="s">
        <v>497</v>
      </c>
      <c r="B490" t="s">
        <v>812</v>
      </c>
      <c r="C490" s="9">
        <v>45131</v>
      </c>
      <c r="D490" s="9">
        <v>45161</v>
      </c>
      <c r="E490">
        <v>3185.2</v>
      </c>
      <c r="F490" t="s">
        <v>817</v>
      </c>
      <c r="G490" t="str">
        <f>'Raw Data bck'!F490&amp;"/USD"</f>
        <v>USD/USD</v>
      </c>
      <c r="H490" s="15">
        <v>3185.2</v>
      </c>
      <c r="I490" s="11" t="s">
        <v>819</v>
      </c>
      <c r="J490" s="13">
        <f>IF(I490="Open",H490,IF(I490="Paid",0,"N/A"))</f>
        <v>3185.2</v>
      </c>
      <c r="L490" t="s">
        <v>822</v>
      </c>
    </row>
    <row r="491" spans="1:12" x14ac:dyDescent="0.35">
      <c r="A491" t="s">
        <v>498</v>
      </c>
      <c r="B491" t="s">
        <v>812</v>
      </c>
      <c r="C491" s="9">
        <v>45387</v>
      </c>
      <c r="D491" s="9">
        <v>45417</v>
      </c>
      <c r="E491">
        <v>2817.08</v>
      </c>
      <c r="F491" t="s">
        <v>815</v>
      </c>
      <c r="G491" t="str">
        <f>'Raw Data bck'!F491&amp;"/USD"</f>
        <v>CAD/USD</v>
      </c>
      <c r="H491" s="16">
        <v>2033.93</v>
      </c>
      <c r="I491" s="11" t="s">
        <v>820</v>
      </c>
      <c r="J491" s="13" t="str">
        <f>IF(I491="Open",H491,IF(I491="Paid",0,"N/A"))</f>
        <v>N/A</v>
      </c>
      <c r="L491" t="s">
        <v>822</v>
      </c>
    </row>
    <row r="492" spans="1:12" x14ac:dyDescent="0.35">
      <c r="A492" t="s">
        <v>499</v>
      </c>
      <c r="B492" t="s">
        <v>813</v>
      </c>
      <c r="C492" s="9">
        <v>44991</v>
      </c>
      <c r="D492" s="9">
        <v>45021</v>
      </c>
      <c r="E492">
        <v>3897.98</v>
      </c>
      <c r="F492" t="s">
        <v>818</v>
      </c>
      <c r="G492" t="str">
        <f>'Raw Data bck'!F492&amp;"/USD"</f>
        <v>AUD/USD</v>
      </c>
      <c r="H492" s="15">
        <v>2805.38</v>
      </c>
      <c r="I492" s="11" t="s">
        <v>821</v>
      </c>
      <c r="J492" s="13">
        <f>IF(I492="Open",H492,IF(I492="Paid",0,"N/A"))</f>
        <v>0</v>
      </c>
      <c r="K492" s="4">
        <v>45021</v>
      </c>
      <c r="L492" t="s">
        <v>822</v>
      </c>
    </row>
    <row r="493" spans="1:12" x14ac:dyDescent="0.35">
      <c r="A493" t="s">
        <v>500</v>
      </c>
      <c r="B493" t="s">
        <v>812</v>
      </c>
      <c r="C493" s="9">
        <v>45631</v>
      </c>
      <c r="D493" s="9">
        <v>45661</v>
      </c>
      <c r="E493">
        <v>3623.95</v>
      </c>
      <c r="F493" t="s">
        <v>817</v>
      </c>
      <c r="G493" t="str">
        <f>'Raw Data bck'!F493&amp;"/USD"</f>
        <v>USD/USD</v>
      </c>
      <c r="H493" s="16">
        <v>3623.95</v>
      </c>
      <c r="I493" s="11" t="s">
        <v>820</v>
      </c>
      <c r="J493" s="13" t="str">
        <f>IF(I493="Open",H493,IF(I493="Paid",0,"N/A"))</f>
        <v>N/A</v>
      </c>
      <c r="L493" t="s">
        <v>822</v>
      </c>
    </row>
    <row r="494" spans="1:12" x14ac:dyDescent="0.35">
      <c r="A494" t="s">
        <v>501</v>
      </c>
      <c r="B494" t="s">
        <v>811</v>
      </c>
      <c r="C494" s="9">
        <v>45433</v>
      </c>
      <c r="D494" s="9">
        <v>45463</v>
      </c>
      <c r="E494">
        <v>1803.9</v>
      </c>
      <c r="F494" t="s">
        <v>817</v>
      </c>
      <c r="G494" t="str">
        <f>'Raw Data bck'!F494&amp;"/USD"</f>
        <v>USD/USD</v>
      </c>
      <c r="H494" s="16">
        <v>1803.9</v>
      </c>
      <c r="I494" s="11" t="s">
        <v>820</v>
      </c>
      <c r="J494" s="13" t="str">
        <f>IF(I494="Open",H494,IF(I494="Paid",0,"N/A"))</f>
        <v>N/A</v>
      </c>
      <c r="L494" t="s">
        <v>822</v>
      </c>
    </row>
    <row r="495" spans="1:12" x14ac:dyDescent="0.35">
      <c r="A495" t="s">
        <v>502</v>
      </c>
      <c r="B495" t="s">
        <v>809</v>
      </c>
      <c r="C495" s="9">
        <v>45106</v>
      </c>
      <c r="D495" s="9">
        <v>45136</v>
      </c>
      <c r="E495">
        <v>2543.84</v>
      </c>
      <c r="F495" t="s">
        <v>817</v>
      </c>
      <c r="G495" t="str">
        <f>'Raw Data bck'!F495&amp;"/USD"</f>
        <v>USD/USD</v>
      </c>
      <c r="H495" s="16">
        <v>2543.84</v>
      </c>
      <c r="I495" s="11" t="s">
        <v>820</v>
      </c>
      <c r="J495" s="13" t="str">
        <f>IF(I495="Open",H495,IF(I495="Paid",0,"N/A"))</f>
        <v>N/A</v>
      </c>
      <c r="L495" t="s">
        <v>822</v>
      </c>
    </row>
    <row r="496" spans="1:12" x14ac:dyDescent="0.35">
      <c r="A496" t="s">
        <v>503</v>
      </c>
      <c r="B496" t="s">
        <v>813</v>
      </c>
      <c r="C496" s="9">
        <v>45128</v>
      </c>
      <c r="D496" s="9">
        <v>45158</v>
      </c>
      <c r="E496">
        <v>292.57</v>
      </c>
      <c r="F496" t="s">
        <v>815</v>
      </c>
      <c r="G496" t="str">
        <f>'Raw Data bck'!F496&amp;"/USD"</f>
        <v>CAD/USD</v>
      </c>
      <c r="H496" s="15">
        <v>211.24</v>
      </c>
      <c r="I496" s="11" t="s">
        <v>819</v>
      </c>
      <c r="J496" s="13">
        <f>IF(I496="Open",H496,IF(I496="Paid",0,"N/A"))</f>
        <v>211.24</v>
      </c>
      <c r="L496" t="s">
        <v>822</v>
      </c>
    </row>
    <row r="497" spans="1:12" x14ac:dyDescent="0.35">
      <c r="A497" t="s">
        <v>504</v>
      </c>
      <c r="B497" t="s">
        <v>811</v>
      </c>
      <c r="C497" s="9">
        <v>45522</v>
      </c>
      <c r="D497" s="9">
        <v>45552</v>
      </c>
      <c r="E497">
        <v>688.61</v>
      </c>
      <c r="F497" t="s">
        <v>817</v>
      </c>
      <c r="G497" t="str">
        <f>'Raw Data bck'!F497&amp;"/USD"</f>
        <v>USD/USD</v>
      </c>
      <c r="H497" s="15">
        <v>688.61</v>
      </c>
      <c r="I497" s="11" t="s">
        <v>821</v>
      </c>
      <c r="J497" s="13">
        <f>IF(I497="Open",H497,IF(I497="Paid",0,"N/A"))</f>
        <v>0</v>
      </c>
      <c r="K497" s="4">
        <v>45552</v>
      </c>
      <c r="L497" t="s">
        <v>822</v>
      </c>
    </row>
    <row r="498" spans="1:12" x14ac:dyDescent="0.35">
      <c r="A498" t="s">
        <v>505</v>
      </c>
      <c r="B498" t="s">
        <v>812</v>
      </c>
      <c r="C498" s="9">
        <v>45288</v>
      </c>
      <c r="D498" s="9">
        <v>45318</v>
      </c>
      <c r="E498">
        <v>1121.18</v>
      </c>
      <c r="F498" t="s">
        <v>817</v>
      </c>
      <c r="G498" t="str">
        <f>'Raw Data bck'!F498&amp;"/USD"</f>
        <v>USD/USD</v>
      </c>
      <c r="H498" s="16">
        <v>1121.18</v>
      </c>
      <c r="I498" s="11" t="s">
        <v>820</v>
      </c>
      <c r="J498" s="13" t="str">
        <f>IF(I498="Open",H498,IF(I498="Paid",0,"N/A"))</f>
        <v>N/A</v>
      </c>
      <c r="L498" t="s">
        <v>822</v>
      </c>
    </row>
    <row r="499" spans="1:12" x14ac:dyDescent="0.35">
      <c r="A499" t="s">
        <v>506</v>
      </c>
      <c r="B499" t="s">
        <v>810</v>
      </c>
      <c r="C499" s="9">
        <v>45395</v>
      </c>
      <c r="D499" s="9">
        <v>45425</v>
      </c>
      <c r="E499">
        <v>3953.98</v>
      </c>
      <c r="F499" t="s">
        <v>814</v>
      </c>
      <c r="G499" t="str">
        <f>'Raw Data bck'!F499&amp;"/USD"</f>
        <v>EUR/USD</v>
      </c>
      <c r="H499" s="16">
        <v>4604.01</v>
      </c>
      <c r="I499" s="11" t="s">
        <v>820</v>
      </c>
      <c r="J499" s="13" t="str">
        <f>IF(I499="Open",H499,IF(I499="Paid",0,"N/A"))</f>
        <v>N/A</v>
      </c>
      <c r="L499" t="s">
        <v>822</v>
      </c>
    </row>
    <row r="500" spans="1:12" x14ac:dyDescent="0.35">
      <c r="A500" t="s">
        <v>507</v>
      </c>
      <c r="B500" t="s">
        <v>811</v>
      </c>
      <c r="C500" s="9">
        <v>45327</v>
      </c>
      <c r="D500" s="9">
        <v>45357</v>
      </c>
      <c r="E500">
        <v>597.75</v>
      </c>
      <c r="F500" t="s">
        <v>817</v>
      </c>
      <c r="G500" t="str">
        <f>'Raw Data bck'!F500&amp;"/USD"</f>
        <v>USD/USD</v>
      </c>
      <c r="H500" s="15">
        <v>597.75</v>
      </c>
      <c r="I500" s="11" t="s">
        <v>819</v>
      </c>
      <c r="J500" s="13">
        <f>IF(I500="Open",H500,IF(I500="Paid",0,"N/A"))</f>
        <v>597.75</v>
      </c>
      <c r="L500" t="s">
        <v>822</v>
      </c>
    </row>
    <row r="501" spans="1:12" x14ac:dyDescent="0.35">
      <c r="A501" t="s">
        <v>508</v>
      </c>
      <c r="B501" t="s">
        <v>809</v>
      </c>
      <c r="C501" s="9">
        <v>45680</v>
      </c>
      <c r="D501" s="9">
        <v>45710</v>
      </c>
      <c r="E501">
        <v>1752.55</v>
      </c>
      <c r="F501" t="s">
        <v>817</v>
      </c>
      <c r="G501" t="str">
        <f>'Raw Data bck'!F501&amp;"/USD"</f>
        <v>USD/USD</v>
      </c>
      <c r="H501" s="15">
        <v>1752.55</v>
      </c>
      <c r="I501" s="11" t="s">
        <v>819</v>
      </c>
      <c r="J501" s="13">
        <f>IF(I501="Open",H501,IF(I501="Paid",0,"N/A"))</f>
        <v>1752.55</v>
      </c>
      <c r="L501" t="s">
        <v>822</v>
      </c>
    </row>
    <row r="502" spans="1:12" x14ac:dyDescent="0.35">
      <c r="A502" t="s">
        <v>509</v>
      </c>
      <c r="B502" t="s">
        <v>811</v>
      </c>
      <c r="C502" s="9">
        <v>44998</v>
      </c>
      <c r="D502" s="9">
        <v>45028</v>
      </c>
      <c r="E502">
        <v>3490.73</v>
      </c>
      <c r="F502" t="s">
        <v>814</v>
      </c>
      <c r="G502" t="str">
        <f>'Raw Data bck'!F502&amp;"/USD"</f>
        <v>EUR/USD</v>
      </c>
      <c r="H502" s="15">
        <v>4064.61</v>
      </c>
      <c r="I502" s="11" t="s">
        <v>819</v>
      </c>
      <c r="J502" s="13">
        <f>IF(I502="Open",H502,IF(I502="Paid",0,"N/A"))</f>
        <v>4064.61</v>
      </c>
      <c r="L502" t="s">
        <v>822</v>
      </c>
    </row>
    <row r="503" spans="1:12" x14ac:dyDescent="0.35">
      <c r="A503" t="s">
        <v>510</v>
      </c>
      <c r="B503" t="s">
        <v>809</v>
      </c>
      <c r="C503" s="9">
        <v>45584</v>
      </c>
      <c r="D503" s="9">
        <v>45614</v>
      </c>
      <c r="E503">
        <v>1143.7</v>
      </c>
      <c r="F503" t="s">
        <v>818</v>
      </c>
      <c r="G503" t="str">
        <f>'Raw Data bck'!F503&amp;"/USD"</f>
        <v>AUD/USD</v>
      </c>
      <c r="H503" s="16">
        <v>823.12</v>
      </c>
      <c r="I503" s="11" t="s">
        <v>820</v>
      </c>
      <c r="J503" s="13" t="str">
        <f>IF(I503="Open",H503,IF(I503="Paid",0,"N/A"))</f>
        <v>N/A</v>
      </c>
      <c r="L503" t="s">
        <v>822</v>
      </c>
    </row>
    <row r="504" spans="1:12" x14ac:dyDescent="0.35">
      <c r="A504" t="s">
        <v>511</v>
      </c>
      <c r="B504" t="s">
        <v>813</v>
      </c>
      <c r="C504" s="9">
        <v>45555</v>
      </c>
      <c r="D504" s="9">
        <v>45585</v>
      </c>
      <c r="E504">
        <v>636.6</v>
      </c>
      <c r="F504" t="s">
        <v>814</v>
      </c>
      <c r="G504" t="str">
        <f>'Raw Data bck'!F504&amp;"/USD"</f>
        <v>EUR/USD</v>
      </c>
      <c r="H504" s="15">
        <v>741.26</v>
      </c>
      <c r="I504" s="11" t="s">
        <v>821</v>
      </c>
      <c r="J504" s="13">
        <f>IF(I504="Open",H504,IF(I504="Paid",0,"N/A"))</f>
        <v>0</v>
      </c>
      <c r="K504" s="4">
        <v>45585</v>
      </c>
      <c r="L504" t="s">
        <v>822</v>
      </c>
    </row>
    <row r="505" spans="1:12" x14ac:dyDescent="0.35">
      <c r="A505" t="s">
        <v>512</v>
      </c>
      <c r="B505" t="s">
        <v>810</v>
      </c>
      <c r="C505" s="9">
        <v>45761</v>
      </c>
      <c r="D505" s="9">
        <v>45791</v>
      </c>
      <c r="E505">
        <v>3339.54</v>
      </c>
      <c r="F505" t="s">
        <v>814</v>
      </c>
      <c r="G505" t="str">
        <f>'Raw Data bck'!F505&amp;"/USD"</f>
        <v>EUR/USD</v>
      </c>
      <c r="H505" s="15">
        <v>3888.56</v>
      </c>
      <c r="I505" s="11" t="s">
        <v>819</v>
      </c>
      <c r="J505" s="13">
        <f>IF(I505="Open",H505,IF(I505="Paid",0,"N/A"))</f>
        <v>3888.56</v>
      </c>
      <c r="L505" t="s">
        <v>822</v>
      </c>
    </row>
    <row r="506" spans="1:12" x14ac:dyDescent="0.35">
      <c r="A506" t="s">
        <v>513</v>
      </c>
      <c r="B506" t="s">
        <v>809</v>
      </c>
      <c r="C506" s="9">
        <v>45641</v>
      </c>
      <c r="D506" s="9">
        <v>45671</v>
      </c>
      <c r="E506">
        <v>3555.72</v>
      </c>
      <c r="F506" t="s">
        <v>814</v>
      </c>
      <c r="G506" t="str">
        <f>'Raw Data bck'!F506&amp;"/USD"</f>
        <v>EUR/USD</v>
      </c>
      <c r="H506" s="16">
        <v>4140.28</v>
      </c>
      <c r="I506" s="11" t="s">
        <v>820</v>
      </c>
      <c r="J506" s="13" t="str">
        <f>IF(I506="Open",H506,IF(I506="Paid",0,"N/A"))</f>
        <v>N/A</v>
      </c>
      <c r="L506" t="s">
        <v>822</v>
      </c>
    </row>
    <row r="507" spans="1:12" x14ac:dyDescent="0.35">
      <c r="A507" t="s">
        <v>514</v>
      </c>
      <c r="B507" t="s">
        <v>811</v>
      </c>
      <c r="C507" s="9">
        <v>45777</v>
      </c>
      <c r="D507" s="9">
        <v>45807</v>
      </c>
      <c r="E507">
        <v>2971.5</v>
      </c>
      <c r="F507" t="s">
        <v>817</v>
      </c>
      <c r="G507" t="str">
        <f>'Raw Data bck'!F507&amp;"/USD"</f>
        <v>USD/USD</v>
      </c>
      <c r="H507" s="15">
        <v>2971.5</v>
      </c>
      <c r="I507" s="11" t="s">
        <v>819</v>
      </c>
      <c r="J507" s="13">
        <f>IF(I507="Open",H507,IF(I507="Paid",0,"N/A"))</f>
        <v>2971.5</v>
      </c>
      <c r="L507" t="s">
        <v>822</v>
      </c>
    </row>
    <row r="508" spans="1:12" x14ac:dyDescent="0.35">
      <c r="A508" t="s">
        <v>515</v>
      </c>
      <c r="B508" t="s">
        <v>809</v>
      </c>
      <c r="C508" s="9">
        <v>45786</v>
      </c>
      <c r="D508" s="9">
        <v>45816</v>
      </c>
      <c r="E508">
        <v>2945.39</v>
      </c>
      <c r="F508" t="s">
        <v>818</v>
      </c>
      <c r="G508" t="str">
        <f>'Raw Data bck'!F508&amp;"/USD"</f>
        <v>AUD/USD</v>
      </c>
      <c r="H508" s="15">
        <v>2119.8000000000002</v>
      </c>
      <c r="I508" s="11" t="s">
        <v>821</v>
      </c>
      <c r="J508" s="13">
        <f>IF(I508="Open",H508,IF(I508="Paid",0,"N/A"))</f>
        <v>0</v>
      </c>
      <c r="K508" s="4">
        <v>45816</v>
      </c>
      <c r="L508" t="s">
        <v>822</v>
      </c>
    </row>
    <row r="509" spans="1:12" x14ac:dyDescent="0.35">
      <c r="A509" t="s">
        <v>516</v>
      </c>
      <c r="B509" t="s">
        <v>811</v>
      </c>
      <c r="C509" s="9">
        <v>45472</v>
      </c>
      <c r="D509" s="9">
        <v>45502</v>
      </c>
      <c r="E509">
        <v>4563.8</v>
      </c>
      <c r="F509" t="s">
        <v>816</v>
      </c>
      <c r="G509" t="str">
        <f>'Raw Data bck'!F509&amp;"/USD"</f>
        <v>GBP/USD</v>
      </c>
      <c r="H509" s="15">
        <v>6201.29</v>
      </c>
      <c r="I509" s="11" t="s">
        <v>821</v>
      </c>
      <c r="J509" s="13">
        <f>IF(I509="Open",H509,IF(I509="Paid",0,"N/A"))</f>
        <v>0</v>
      </c>
      <c r="K509" s="4">
        <v>45502</v>
      </c>
      <c r="L509" t="s">
        <v>822</v>
      </c>
    </row>
    <row r="510" spans="1:12" x14ac:dyDescent="0.35">
      <c r="A510" t="s">
        <v>517</v>
      </c>
      <c r="B510" t="s">
        <v>811</v>
      </c>
      <c r="C510" s="9">
        <v>45002</v>
      </c>
      <c r="D510" s="9">
        <v>45032</v>
      </c>
      <c r="E510">
        <v>3590.5</v>
      </c>
      <c r="F510" t="s">
        <v>818</v>
      </c>
      <c r="G510" t="str">
        <f>'Raw Data bck'!F510&amp;"/USD"</f>
        <v>AUD/USD</v>
      </c>
      <c r="H510" s="15">
        <v>2584.08</v>
      </c>
      <c r="I510" s="11" t="s">
        <v>819</v>
      </c>
      <c r="J510" s="13">
        <f>IF(I510="Open",H510,IF(I510="Paid",0,"N/A"))</f>
        <v>2584.08</v>
      </c>
      <c r="L510" t="s">
        <v>822</v>
      </c>
    </row>
    <row r="511" spans="1:12" x14ac:dyDescent="0.35">
      <c r="A511" t="s">
        <v>518</v>
      </c>
      <c r="B511" t="s">
        <v>811</v>
      </c>
      <c r="C511" s="9">
        <v>44948</v>
      </c>
      <c r="D511" s="9">
        <v>44978</v>
      </c>
      <c r="E511">
        <v>1989.22</v>
      </c>
      <c r="F511" t="s">
        <v>814</v>
      </c>
      <c r="G511" t="str">
        <f>'Raw Data bck'!F511&amp;"/USD"</f>
        <v>EUR/USD</v>
      </c>
      <c r="H511" s="16">
        <v>2316.25</v>
      </c>
      <c r="I511" s="11" t="s">
        <v>820</v>
      </c>
      <c r="J511" s="13" t="str">
        <f>IF(I511="Open",H511,IF(I511="Paid",0,"N/A"))</f>
        <v>N/A</v>
      </c>
      <c r="L511" t="s">
        <v>822</v>
      </c>
    </row>
    <row r="512" spans="1:12" x14ac:dyDescent="0.35">
      <c r="A512" t="s">
        <v>519</v>
      </c>
      <c r="B512" t="s">
        <v>809</v>
      </c>
      <c r="C512" s="9">
        <v>44930</v>
      </c>
      <c r="D512" s="9">
        <v>44960</v>
      </c>
      <c r="E512">
        <v>4650.78</v>
      </c>
      <c r="F512" t="s">
        <v>815</v>
      </c>
      <c r="G512" t="str">
        <f>'Raw Data bck'!F512&amp;"/USD"</f>
        <v>CAD/USD</v>
      </c>
      <c r="H512" s="15">
        <v>3357.86</v>
      </c>
      <c r="I512" s="11" t="s">
        <v>819</v>
      </c>
      <c r="J512" s="13">
        <f>IF(I512="Open",H512,IF(I512="Paid",0,"N/A"))</f>
        <v>3357.86</v>
      </c>
      <c r="L512" t="s">
        <v>822</v>
      </c>
    </row>
    <row r="513" spans="1:12" x14ac:dyDescent="0.35">
      <c r="A513" t="s">
        <v>520</v>
      </c>
      <c r="B513" t="s">
        <v>813</v>
      </c>
      <c r="C513" s="9">
        <v>45118</v>
      </c>
      <c r="D513" s="9">
        <v>45148</v>
      </c>
      <c r="E513">
        <v>3071.51</v>
      </c>
      <c r="F513" t="s">
        <v>815</v>
      </c>
      <c r="G513" t="str">
        <f>'Raw Data bck'!F513&amp;"/USD"</f>
        <v>CAD/USD</v>
      </c>
      <c r="H513" s="16">
        <v>2217.63</v>
      </c>
      <c r="I513" s="11" t="s">
        <v>820</v>
      </c>
      <c r="J513" s="13" t="str">
        <f>IF(I513="Open",H513,IF(I513="Paid",0,"N/A"))</f>
        <v>N/A</v>
      </c>
      <c r="L513" t="s">
        <v>822</v>
      </c>
    </row>
    <row r="514" spans="1:12" x14ac:dyDescent="0.35">
      <c r="A514" t="s">
        <v>521</v>
      </c>
      <c r="B514" t="s">
        <v>811</v>
      </c>
      <c r="C514" s="9">
        <v>45196</v>
      </c>
      <c r="D514" s="9">
        <v>45226</v>
      </c>
      <c r="E514">
        <v>4956.1099999999997</v>
      </c>
      <c r="F514" t="s">
        <v>816</v>
      </c>
      <c r="G514" t="str">
        <f>'Raw Data bck'!F514&amp;"/USD"</f>
        <v>GBP/USD</v>
      </c>
      <c r="H514" s="15">
        <v>6734.36</v>
      </c>
      <c r="I514" s="11" t="s">
        <v>819</v>
      </c>
      <c r="J514" s="13">
        <f>IF(I514="Open",H514,IF(I514="Paid",0,"N/A"))</f>
        <v>6734.36</v>
      </c>
      <c r="L514" t="s">
        <v>822</v>
      </c>
    </row>
    <row r="515" spans="1:12" x14ac:dyDescent="0.35">
      <c r="A515" t="s">
        <v>522</v>
      </c>
      <c r="B515" t="s">
        <v>809</v>
      </c>
      <c r="C515" s="9">
        <v>45446</v>
      </c>
      <c r="D515" s="9">
        <v>45476</v>
      </c>
      <c r="E515">
        <v>2561.35</v>
      </c>
      <c r="F515" t="s">
        <v>818</v>
      </c>
      <c r="G515" t="str">
        <f>'Raw Data bck'!F515&amp;"/USD"</f>
        <v>AUD/USD</v>
      </c>
      <c r="H515" s="15">
        <v>1843.4</v>
      </c>
      <c r="I515" s="11" t="s">
        <v>819</v>
      </c>
      <c r="J515" s="13">
        <f>IF(I515="Open",H515,IF(I515="Paid",0,"N/A"))</f>
        <v>1843.4</v>
      </c>
      <c r="L515" t="s">
        <v>822</v>
      </c>
    </row>
    <row r="516" spans="1:12" x14ac:dyDescent="0.35">
      <c r="A516" t="s">
        <v>523</v>
      </c>
      <c r="B516" t="s">
        <v>811</v>
      </c>
      <c r="C516" s="9">
        <v>45637</v>
      </c>
      <c r="D516" s="9">
        <v>45667</v>
      </c>
      <c r="E516">
        <v>3812.86</v>
      </c>
      <c r="F516" t="s">
        <v>816</v>
      </c>
      <c r="G516" t="str">
        <f>'Raw Data bck'!F516&amp;"/USD"</f>
        <v>GBP/USD</v>
      </c>
      <c r="H516" s="15">
        <v>5180.91</v>
      </c>
      <c r="I516" s="11" t="s">
        <v>819</v>
      </c>
      <c r="J516" s="13">
        <f>IF(I516="Open",H516,IF(I516="Paid",0,"N/A"))</f>
        <v>5180.91</v>
      </c>
      <c r="L516" t="s">
        <v>822</v>
      </c>
    </row>
    <row r="517" spans="1:12" x14ac:dyDescent="0.35">
      <c r="A517" t="s">
        <v>524</v>
      </c>
      <c r="B517" t="s">
        <v>810</v>
      </c>
      <c r="C517" s="9">
        <v>45291</v>
      </c>
      <c r="D517" s="9">
        <v>45321</v>
      </c>
      <c r="E517">
        <v>4798.3</v>
      </c>
      <c r="F517" t="s">
        <v>815</v>
      </c>
      <c r="G517" t="str">
        <f>'Raw Data bck'!F517&amp;"/USD"</f>
        <v>CAD/USD</v>
      </c>
      <c r="H517" s="15">
        <v>3464.37</v>
      </c>
      <c r="I517" s="11" t="s">
        <v>819</v>
      </c>
      <c r="J517" s="13">
        <f>IF(I517="Open",H517,IF(I517="Paid",0,"N/A"))</f>
        <v>3464.37</v>
      </c>
      <c r="L517" t="s">
        <v>822</v>
      </c>
    </row>
    <row r="518" spans="1:12" x14ac:dyDescent="0.35">
      <c r="A518" t="s">
        <v>525</v>
      </c>
      <c r="B518" t="s">
        <v>810</v>
      </c>
      <c r="C518" s="9">
        <v>45538</v>
      </c>
      <c r="D518" s="9">
        <v>45568</v>
      </c>
      <c r="E518">
        <v>2626.26</v>
      </c>
      <c r="F518" t="s">
        <v>815</v>
      </c>
      <c r="G518" t="str">
        <f>'Raw Data bck'!F518&amp;"/USD"</f>
        <v>CAD/USD</v>
      </c>
      <c r="H518" s="15">
        <v>1896.16</v>
      </c>
      <c r="I518" s="11" t="s">
        <v>819</v>
      </c>
      <c r="J518" s="13">
        <f>IF(I518="Open",H518,IF(I518="Paid",0,"N/A"))</f>
        <v>1896.16</v>
      </c>
      <c r="L518" t="s">
        <v>822</v>
      </c>
    </row>
    <row r="519" spans="1:12" x14ac:dyDescent="0.35">
      <c r="A519" t="s">
        <v>526</v>
      </c>
      <c r="B519" t="s">
        <v>813</v>
      </c>
      <c r="C519" s="9">
        <v>45173</v>
      </c>
      <c r="D519" s="9">
        <v>45203</v>
      </c>
      <c r="E519">
        <v>1667.91</v>
      </c>
      <c r="F519" t="s">
        <v>815</v>
      </c>
      <c r="G519" t="str">
        <f>'Raw Data bck'!F519&amp;"/USD"</f>
        <v>CAD/USD</v>
      </c>
      <c r="H519" s="15">
        <v>1204.23</v>
      </c>
      <c r="I519" s="11" t="s">
        <v>819</v>
      </c>
      <c r="J519" s="13">
        <f>IF(I519="Open",H519,IF(I519="Paid",0,"N/A"))</f>
        <v>1204.23</v>
      </c>
      <c r="L519" t="s">
        <v>822</v>
      </c>
    </row>
    <row r="520" spans="1:12" x14ac:dyDescent="0.35">
      <c r="A520" t="s">
        <v>527</v>
      </c>
      <c r="B520" t="s">
        <v>809</v>
      </c>
      <c r="C520" s="9">
        <v>45825</v>
      </c>
      <c r="D520" s="9">
        <v>45855</v>
      </c>
      <c r="E520">
        <v>556.64</v>
      </c>
      <c r="F520" t="s">
        <v>817</v>
      </c>
      <c r="G520" t="str">
        <f>'Raw Data bck'!F520&amp;"/USD"</f>
        <v>USD/USD</v>
      </c>
      <c r="H520" s="16">
        <v>556.64</v>
      </c>
      <c r="I520" s="11" t="s">
        <v>820</v>
      </c>
      <c r="J520" s="13" t="str">
        <f>IF(I520="Open",H520,IF(I520="Paid",0,"N/A"))</f>
        <v>N/A</v>
      </c>
      <c r="L520" t="s">
        <v>822</v>
      </c>
    </row>
    <row r="521" spans="1:12" x14ac:dyDescent="0.35">
      <c r="A521" t="s">
        <v>528</v>
      </c>
      <c r="B521" t="s">
        <v>812</v>
      </c>
      <c r="C521" s="9">
        <v>45671</v>
      </c>
      <c r="D521" s="9">
        <v>45701</v>
      </c>
      <c r="E521">
        <v>2084.02</v>
      </c>
      <c r="F521" t="s">
        <v>814</v>
      </c>
      <c r="G521" t="str">
        <f>'Raw Data bck'!F521&amp;"/USD"</f>
        <v>EUR/USD</v>
      </c>
      <c r="H521" s="16">
        <v>2426.63</v>
      </c>
      <c r="I521" s="11" t="s">
        <v>820</v>
      </c>
      <c r="J521" s="13" t="str">
        <f>IF(I521="Open",H521,IF(I521="Paid",0,"N/A"))</f>
        <v>N/A</v>
      </c>
      <c r="L521" t="s">
        <v>822</v>
      </c>
    </row>
    <row r="522" spans="1:12" x14ac:dyDescent="0.35">
      <c r="A522" t="s">
        <v>529</v>
      </c>
      <c r="B522" t="s">
        <v>813</v>
      </c>
      <c r="C522" s="9">
        <v>45348</v>
      </c>
      <c r="D522" s="9">
        <v>45378</v>
      </c>
      <c r="E522">
        <v>1225.05</v>
      </c>
      <c r="F522" t="s">
        <v>816</v>
      </c>
      <c r="G522" t="str">
        <f>'Raw Data bck'!F522&amp;"/USD"</f>
        <v>GBP/USD</v>
      </c>
      <c r="H522" s="16">
        <v>1664.6</v>
      </c>
      <c r="I522" s="11" t="s">
        <v>820</v>
      </c>
      <c r="J522" s="13" t="str">
        <f>IF(I522="Open",H522,IF(I522="Paid",0,"N/A"))</f>
        <v>N/A</v>
      </c>
      <c r="L522" t="s">
        <v>822</v>
      </c>
    </row>
    <row r="523" spans="1:12" x14ac:dyDescent="0.35">
      <c r="A523" t="s">
        <v>530</v>
      </c>
      <c r="B523" t="s">
        <v>810</v>
      </c>
      <c r="C523" s="9">
        <v>44937</v>
      </c>
      <c r="D523" s="9">
        <v>44967</v>
      </c>
      <c r="E523">
        <v>1607.66</v>
      </c>
      <c r="F523" t="s">
        <v>818</v>
      </c>
      <c r="G523" t="str">
        <f>'Raw Data bck'!F523&amp;"/USD"</f>
        <v>AUD/USD</v>
      </c>
      <c r="H523" s="16">
        <v>1157.03</v>
      </c>
      <c r="I523" s="11" t="s">
        <v>820</v>
      </c>
      <c r="J523" s="13" t="str">
        <f>IF(I523="Open",H523,IF(I523="Paid",0,"N/A"))</f>
        <v>N/A</v>
      </c>
      <c r="L523" t="s">
        <v>822</v>
      </c>
    </row>
    <row r="524" spans="1:12" x14ac:dyDescent="0.35">
      <c r="A524" t="s">
        <v>531</v>
      </c>
      <c r="B524" t="s">
        <v>809</v>
      </c>
      <c r="C524" s="9">
        <v>45452</v>
      </c>
      <c r="D524" s="9">
        <v>45482</v>
      </c>
      <c r="E524">
        <v>2772.97</v>
      </c>
      <c r="F524" t="s">
        <v>816</v>
      </c>
      <c r="G524" t="str">
        <f>'Raw Data bck'!F524&amp;"/USD"</f>
        <v>GBP/USD</v>
      </c>
      <c r="H524" s="15">
        <v>3767.91</v>
      </c>
      <c r="I524" s="11" t="s">
        <v>821</v>
      </c>
      <c r="J524" s="13">
        <f>IF(I524="Open",H524,IF(I524="Paid",0,"N/A"))</f>
        <v>0</v>
      </c>
      <c r="K524" s="4">
        <v>45482</v>
      </c>
      <c r="L524" t="s">
        <v>822</v>
      </c>
    </row>
    <row r="525" spans="1:12" x14ac:dyDescent="0.35">
      <c r="A525" t="s">
        <v>532</v>
      </c>
      <c r="B525" t="s">
        <v>812</v>
      </c>
      <c r="C525" s="9">
        <v>45596</v>
      </c>
      <c r="D525" s="9">
        <v>45626</v>
      </c>
      <c r="E525">
        <v>1641.38</v>
      </c>
      <c r="F525" t="s">
        <v>818</v>
      </c>
      <c r="G525" t="str">
        <f>'Raw Data bck'!F525&amp;"/USD"</f>
        <v>AUD/USD</v>
      </c>
      <c r="H525" s="16">
        <v>1181.3</v>
      </c>
      <c r="I525" s="11" t="s">
        <v>820</v>
      </c>
      <c r="J525" s="13" t="str">
        <f>IF(I525="Open",H525,IF(I525="Paid",0,"N/A"))</f>
        <v>N/A</v>
      </c>
      <c r="L525" t="s">
        <v>822</v>
      </c>
    </row>
    <row r="526" spans="1:12" x14ac:dyDescent="0.35">
      <c r="A526" t="s">
        <v>533</v>
      </c>
      <c r="B526" t="s">
        <v>811</v>
      </c>
      <c r="C526" s="9">
        <v>45539</v>
      </c>
      <c r="D526" s="9">
        <v>45569</v>
      </c>
      <c r="E526">
        <v>549.14</v>
      </c>
      <c r="F526" t="s">
        <v>818</v>
      </c>
      <c r="G526" t="str">
        <f>'Raw Data bck'!F526&amp;"/USD"</f>
        <v>AUD/USD</v>
      </c>
      <c r="H526" s="15">
        <v>395.22</v>
      </c>
      <c r="I526" s="11" t="s">
        <v>821</v>
      </c>
      <c r="J526" s="13">
        <f>IF(I526="Open",H526,IF(I526="Paid",0,"N/A"))</f>
        <v>0</v>
      </c>
      <c r="K526" s="4">
        <v>45569</v>
      </c>
      <c r="L526" t="s">
        <v>822</v>
      </c>
    </row>
    <row r="527" spans="1:12" x14ac:dyDescent="0.35">
      <c r="A527" t="s">
        <v>534</v>
      </c>
      <c r="B527" t="s">
        <v>813</v>
      </c>
      <c r="C527" s="9">
        <v>45558</v>
      </c>
      <c r="D527" s="9">
        <v>45588</v>
      </c>
      <c r="E527">
        <v>3700.73</v>
      </c>
      <c r="F527" t="s">
        <v>816</v>
      </c>
      <c r="G527" t="str">
        <f>'Raw Data bck'!F527&amp;"/USD"</f>
        <v>GBP/USD</v>
      </c>
      <c r="H527" s="15">
        <v>5028.55</v>
      </c>
      <c r="I527" s="11" t="s">
        <v>819</v>
      </c>
      <c r="J527" s="13">
        <f>IF(I527="Open",H527,IF(I527="Paid",0,"N/A"))</f>
        <v>5028.55</v>
      </c>
      <c r="L527" t="s">
        <v>822</v>
      </c>
    </row>
    <row r="528" spans="1:12" x14ac:dyDescent="0.35">
      <c r="A528" t="s">
        <v>535</v>
      </c>
      <c r="B528" t="s">
        <v>813</v>
      </c>
      <c r="C528" s="9">
        <v>45315</v>
      </c>
      <c r="D528" s="9">
        <v>45345</v>
      </c>
      <c r="E528">
        <v>1616.2</v>
      </c>
      <c r="F528" t="s">
        <v>815</v>
      </c>
      <c r="G528" t="str">
        <f>'Raw Data bck'!F528&amp;"/USD"</f>
        <v>CAD/USD</v>
      </c>
      <c r="H528" s="16">
        <v>1166.9000000000001</v>
      </c>
      <c r="I528" s="11" t="s">
        <v>820</v>
      </c>
      <c r="J528" s="13" t="str">
        <f>IF(I528="Open",H528,IF(I528="Paid",0,"N/A"))</f>
        <v>N/A</v>
      </c>
      <c r="L528" t="s">
        <v>822</v>
      </c>
    </row>
    <row r="529" spans="1:12" x14ac:dyDescent="0.35">
      <c r="A529" t="s">
        <v>536</v>
      </c>
      <c r="B529" t="s">
        <v>809</v>
      </c>
      <c r="C529" s="9">
        <v>45718</v>
      </c>
      <c r="D529" s="9">
        <v>45748</v>
      </c>
      <c r="E529">
        <v>233.75</v>
      </c>
      <c r="F529" t="s">
        <v>814</v>
      </c>
      <c r="G529" t="str">
        <f>'Raw Data bck'!F529&amp;"/USD"</f>
        <v>EUR/USD</v>
      </c>
      <c r="H529" s="16">
        <v>272.18</v>
      </c>
      <c r="I529" s="11" t="s">
        <v>820</v>
      </c>
      <c r="J529" s="13" t="str">
        <f>IF(I529="Open",H529,IF(I529="Paid",0,"N/A"))</f>
        <v>N/A</v>
      </c>
      <c r="L529" t="s">
        <v>822</v>
      </c>
    </row>
    <row r="530" spans="1:12" x14ac:dyDescent="0.35">
      <c r="A530" t="s">
        <v>537</v>
      </c>
      <c r="B530" t="s">
        <v>809</v>
      </c>
      <c r="C530" s="9">
        <v>45581</v>
      </c>
      <c r="D530" s="9">
        <v>45611</v>
      </c>
      <c r="E530">
        <v>1198.76</v>
      </c>
      <c r="F530" t="s">
        <v>818</v>
      </c>
      <c r="G530" t="str">
        <f>'Raw Data bck'!F530&amp;"/USD"</f>
        <v>AUD/USD</v>
      </c>
      <c r="H530" s="16">
        <v>862.75</v>
      </c>
      <c r="I530" s="11" t="s">
        <v>820</v>
      </c>
      <c r="J530" s="13" t="str">
        <f>IF(I530="Open",H530,IF(I530="Paid",0,"N/A"))</f>
        <v>N/A</v>
      </c>
      <c r="L530" t="s">
        <v>822</v>
      </c>
    </row>
    <row r="531" spans="1:12" x14ac:dyDescent="0.35">
      <c r="A531" t="s">
        <v>538</v>
      </c>
      <c r="B531" t="s">
        <v>813</v>
      </c>
      <c r="C531" s="9">
        <v>45826</v>
      </c>
      <c r="D531" s="9">
        <v>45856</v>
      </c>
      <c r="E531">
        <v>1819.59</v>
      </c>
      <c r="F531" t="s">
        <v>816</v>
      </c>
      <c r="G531" t="str">
        <f>'Raw Data bck'!F531&amp;"/USD"</f>
        <v>GBP/USD</v>
      </c>
      <c r="H531" s="16">
        <v>2472.46</v>
      </c>
      <c r="I531" s="11" t="s">
        <v>820</v>
      </c>
      <c r="J531" s="13" t="str">
        <f>IF(I531="Open",H531,IF(I531="Paid",0,"N/A"))</f>
        <v>N/A</v>
      </c>
      <c r="L531" t="s">
        <v>822</v>
      </c>
    </row>
    <row r="532" spans="1:12" x14ac:dyDescent="0.35">
      <c r="A532" t="s">
        <v>539</v>
      </c>
      <c r="B532" t="s">
        <v>813</v>
      </c>
      <c r="C532" s="9">
        <v>45690</v>
      </c>
      <c r="D532" s="9">
        <v>45720</v>
      </c>
      <c r="E532">
        <v>3747.3</v>
      </c>
      <c r="F532" t="s">
        <v>815</v>
      </c>
      <c r="G532" t="str">
        <f>'Raw Data bck'!F532&amp;"/USD"</f>
        <v>CAD/USD</v>
      </c>
      <c r="H532" s="15">
        <v>2705.55</v>
      </c>
      <c r="I532" s="11" t="s">
        <v>821</v>
      </c>
      <c r="J532" s="13">
        <f>IF(I532="Open",H532,IF(I532="Paid",0,"N/A"))</f>
        <v>0</v>
      </c>
      <c r="K532" s="4">
        <v>45720</v>
      </c>
      <c r="L532" t="s">
        <v>822</v>
      </c>
    </row>
    <row r="533" spans="1:12" x14ac:dyDescent="0.35">
      <c r="A533" t="s">
        <v>540</v>
      </c>
      <c r="B533" t="s">
        <v>810</v>
      </c>
      <c r="C533" s="9">
        <v>45154</v>
      </c>
      <c r="D533" s="9">
        <v>45184</v>
      </c>
      <c r="E533">
        <v>4706.8100000000004</v>
      </c>
      <c r="F533" t="s">
        <v>814</v>
      </c>
      <c r="G533" t="str">
        <f>'Raw Data bck'!F533&amp;"/USD"</f>
        <v>EUR/USD</v>
      </c>
      <c r="H533" s="15">
        <v>5480.61</v>
      </c>
      <c r="I533" s="11" t="s">
        <v>821</v>
      </c>
      <c r="J533" s="13">
        <f>IF(I533="Open",H533,IF(I533="Paid",0,"N/A"))</f>
        <v>0</v>
      </c>
      <c r="K533" s="4">
        <v>45184</v>
      </c>
      <c r="L533" t="s">
        <v>822</v>
      </c>
    </row>
    <row r="534" spans="1:12" x14ac:dyDescent="0.35">
      <c r="A534" t="s">
        <v>541</v>
      </c>
      <c r="B534" t="s">
        <v>812</v>
      </c>
      <c r="C534" s="9">
        <v>45782</v>
      </c>
      <c r="D534" s="9">
        <v>45812</v>
      </c>
      <c r="E534">
        <v>2329.4299999999998</v>
      </c>
      <c r="F534" t="s">
        <v>815</v>
      </c>
      <c r="G534" t="str">
        <f>'Raw Data bck'!F534&amp;"/USD"</f>
        <v>CAD/USD</v>
      </c>
      <c r="H534" s="16">
        <v>1681.85</v>
      </c>
      <c r="I534" s="11" t="s">
        <v>820</v>
      </c>
      <c r="J534" s="13" t="str">
        <f>IF(I534="Open",H534,IF(I534="Paid",0,"N/A"))</f>
        <v>N/A</v>
      </c>
      <c r="L534" t="s">
        <v>822</v>
      </c>
    </row>
    <row r="535" spans="1:12" x14ac:dyDescent="0.35">
      <c r="A535" t="s">
        <v>542</v>
      </c>
      <c r="B535" t="s">
        <v>811</v>
      </c>
      <c r="C535" s="9">
        <v>45516</v>
      </c>
      <c r="D535" s="9">
        <v>45546</v>
      </c>
      <c r="E535">
        <v>3499.14</v>
      </c>
      <c r="F535" t="s">
        <v>816</v>
      </c>
      <c r="G535" t="str">
        <f>'Raw Data bck'!F535&amp;"/USD"</f>
        <v>GBP/USD</v>
      </c>
      <c r="H535" s="16">
        <v>4754.63</v>
      </c>
      <c r="I535" s="11" t="s">
        <v>820</v>
      </c>
      <c r="J535" s="13" t="str">
        <f>IF(I535="Open",H535,IF(I535="Paid",0,"N/A"))</f>
        <v>N/A</v>
      </c>
      <c r="L535" t="s">
        <v>822</v>
      </c>
    </row>
    <row r="536" spans="1:12" x14ac:dyDescent="0.35">
      <c r="A536" t="s">
        <v>543</v>
      </c>
      <c r="B536" t="s">
        <v>812</v>
      </c>
      <c r="C536" s="9">
        <v>45146</v>
      </c>
      <c r="D536" s="9">
        <v>45176</v>
      </c>
      <c r="E536">
        <v>3732.67</v>
      </c>
      <c r="F536" t="s">
        <v>816</v>
      </c>
      <c r="G536" t="str">
        <f>'Raw Data bck'!F536&amp;"/USD"</f>
        <v>GBP/USD</v>
      </c>
      <c r="H536" s="15">
        <v>5071.95</v>
      </c>
      <c r="I536" s="11" t="s">
        <v>821</v>
      </c>
      <c r="J536" s="13">
        <f>IF(I536="Open",H536,IF(I536="Paid",0,"N/A"))</f>
        <v>0</v>
      </c>
      <c r="K536" s="4">
        <v>45176</v>
      </c>
      <c r="L536" t="s">
        <v>822</v>
      </c>
    </row>
    <row r="537" spans="1:12" x14ac:dyDescent="0.35">
      <c r="A537" t="s">
        <v>544</v>
      </c>
      <c r="B537" t="s">
        <v>812</v>
      </c>
      <c r="C537" s="9">
        <v>45542</v>
      </c>
      <c r="D537" s="9">
        <v>45572</v>
      </c>
      <c r="E537">
        <v>365.59</v>
      </c>
      <c r="F537" t="s">
        <v>815</v>
      </c>
      <c r="G537" t="str">
        <f>'Raw Data bck'!F537&amp;"/USD"</f>
        <v>CAD/USD</v>
      </c>
      <c r="H537" s="15">
        <v>263.95999999999998</v>
      </c>
      <c r="I537" s="11" t="s">
        <v>819</v>
      </c>
      <c r="J537" s="13">
        <f>IF(I537="Open",H537,IF(I537="Paid",0,"N/A"))</f>
        <v>263.95999999999998</v>
      </c>
      <c r="L537" t="s">
        <v>822</v>
      </c>
    </row>
    <row r="538" spans="1:12" x14ac:dyDescent="0.35">
      <c r="A538" t="s">
        <v>545</v>
      </c>
      <c r="B538" t="s">
        <v>813</v>
      </c>
      <c r="C538" s="9">
        <v>45383</v>
      </c>
      <c r="D538" s="9">
        <v>45413</v>
      </c>
      <c r="E538">
        <v>3778.67</v>
      </c>
      <c r="F538" t="s">
        <v>814</v>
      </c>
      <c r="G538" t="str">
        <f>'Raw Data bck'!F538&amp;"/USD"</f>
        <v>EUR/USD</v>
      </c>
      <c r="H538" s="15">
        <v>4399.88</v>
      </c>
      <c r="I538" s="11" t="s">
        <v>819</v>
      </c>
      <c r="J538" s="13">
        <f>IF(I538="Open",H538,IF(I538="Paid",0,"N/A"))</f>
        <v>4399.88</v>
      </c>
      <c r="L538" t="s">
        <v>822</v>
      </c>
    </row>
    <row r="539" spans="1:12" x14ac:dyDescent="0.35">
      <c r="A539" t="s">
        <v>546</v>
      </c>
      <c r="B539" t="s">
        <v>811</v>
      </c>
      <c r="C539" s="9">
        <v>45397</v>
      </c>
      <c r="D539" s="9">
        <v>45427</v>
      </c>
      <c r="E539">
        <v>4324.6400000000003</v>
      </c>
      <c r="F539" t="s">
        <v>814</v>
      </c>
      <c r="G539" t="str">
        <f>'Raw Data bck'!F539&amp;"/USD"</f>
        <v>EUR/USD</v>
      </c>
      <c r="H539" s="16">
        <v>5035.6099999999997</v>
      </c>
      <c r="I539" s="11" t="s">
        <v>820</v>
      </c>
      <c r="J539" s="13" t="str">
        <f>IF(I539="Open",H539,IF(I539="Paid",0,"N/A"))</f>
        <v>N/A</v>
      </c>
      <c r="L539" t="s">
        <v>822</v>
      </c>
    </row>
    <row r="540" spans="1:12" x14ac:dyDescent="0.35">
      <c r="A540" t="s">
        <v>547</v>
      </c>
      <c r="B540" t="s">
        <v>813</v>
      </c>
      <c r="C540" s="9">
        <v>45500</v>
      </c>
      <c r="D540" s="9">
        <v>45530</v>
      </c>
      <c r="E540">
        <v>3648.16</v>
      </c>
      <c r="F540" t="s">
        <v>815</v>
      </c>
      <c r="G540" t="str">
        <f>'Raw Data bck'!F540&amp;"/USD"</f>
        <v>CAD/USD</v>
      </c>
      <c r="H540" s="15">
        <v>2633.97</v>
      </c>
      <c r="I540" s="11" t="s">
        <v>821</v>
      </c>
      <c r="J540" s="13">
        <f>IF(I540="Open",H540,IF(I540="Paid",0,"N/A"))</f>
        <v>0</v>
      </c>
      <c r="K540" s="4">
        <v>45530</v>
      </c>
      <c r="L540" t="s">
        <v>822</v>
      </c>
    </row>
    <row r="541" spans="1:12" x14ac:dyDescent="0.35">
      <c r="A541" t="s">
        <v>548</v>
      </c>
      <c r="B541" t="s">
        <v>810</v>
      </c>
      <c r="C541" s="9">
        <v>45727</v>
      </c>
      <c r="D541" s="9">
        <v>45757</v>
      </c>
      <c r="E541">
        <v>106.75</v>
      </c>
      <c r="F541" t="s">
        <v>818</v>
      </c>
      <c r="G541" t="str">
        <f>'Raw Data bck'!F541&amp;"/USD"</f>
        <v>AUD/USD</v>
      </c>
      <c r="H541" s="15">
        <v>76.83</v>
      </c>
      <c r="I541" s="11" t="s">
        <v>821</v>
      </c>
      <c r="J541" s="13">
        <f>IF(I541="Open",H541,IF(I541="Paid",0,"N/A"))</f>
        <v>0</v>
      </c>
      <c r="K541" s="4">
        <v>45757</v>
      </c>
      <c r="L541" t="s">
        <v>822</v>
      </c>
    </row>
    <row r="542" spans="1:12" x14ac:dyDescent="0.35">
      <c r="A542" t="s">
        <v>549</v>
      </c>
      <c r="B542" t="s">
        <v>810</v>
      </c>
      <c r="C542" s="9">
        <v>44947</v>
      </c>
      <c r="D542" s="9">
        <v>44977</v>
      </c>
      <c r="E542">
        <v>2259.02</v>
      </c>
      <c r="F542" t="s">
        <v>815</v>
      </c>
      <c r="G542" t="str">
        <f>'Raw Data bck'!F542&amp;"/USD"</f>
        <v>CAD/USD</v>
      </c>
      <c r="H542" s="16">
        <v>1631.01</v>
      </c>
      <c r="I542" s="11" t="s">
        <v>820</v>
      </c>
      <c r="J542" s="13" t="str">
        <f>IF(I542="Open",H542,IF(I542="Paid",0,"N/A"))</f>
        <v>N/A</v>
      </c>
      <c r="L542" t="s">
        <v>822</v>
      </c>
    </row>
    <row r="543" spans="1:12" x14ac:dyDescent="0.35">
      <c r="A543" t="s">
        <v>550</v>
      </c>
      <c r="B543" t="s">
        <v>812</v>
      </c>
      <c r="C543" s="9">
        <v>44941</v>
      </c>
      <c r="D543" s="9">
        <v>44971</v>
      </c>
      <c r="E543">
        <v>2046.68</v>
      </c>
      <c r="F543" t="s">
        <v>815</v>
      </c>
      <c r="G543" t="str">
        <f>'Raw Data bck'!F543&amp;"/USD"</f>
        <v>CAD/USD</v>
      </c>
      <c r="H543" s="15">
        <v>1477.7</v>
      </c>
      <c r="I543" s="11" t="s">
        <v>819</v>
      </c>
      <c r="J543" s="13">
        <f>IF(I543="Open",H543,IF(I543="Paid",0,"N/A"))</f>
        <v>1477.7</v>
      </c>
      <c r="L543" t="s">
        <v>822</v>
      </c>
    </row>
    <row r="544" spans="1:12" x14ac:dyDescent="0.35">
      <c r="A544" t="s">
        <v>551</v>
      </c>
      <c r="B544" t="s">
        <v>812</v>
      </c>
      <c r="C544" s="9">
        <v>45782</v>
      </c>
      <c r="D544" s="9">
        <v>45812</v>
      </c>
      <c r="E544">
        <v>3776.36</v>
      </c>
      <c r="F544" t="s">
        <v>816</v>
      </c>
      <c r="G544" t="str">
        <f>'Raw Data bck'!F544&amp;"/USD"</f>
        <v>GBP/USD</v>
      </c>
      <c r="H544" s="15">
        <v>5131.32</v>
      </c>
      <c r="I544" s="11" t="s">
        <v>821</v>
      </c>
      <c r="J544" s="13">
        <f>IF(I544="Open",H544,IF(I544="Paid",0,"N/A"))</f>
        <v>0</v>
      </c>
      <c r="K544" s="4">
        <v>45812</v>
      </c>
      <c r="L544" t="s">
        <v>822</v>
      </c>
    </row>
    <row r="545" spans="1:12" x14ac:dyDescent="0.35">
      <c r="A545" t="s">
        <v>552</v>
      </c>
      <c r="B545" t="s">
        <v>810</v>
      </c>
      <c r="C545" s="9">
        <v>45815</v>
      </c>
      <c r="D545" s="9">
        <v>45845</v>
      </c>
      <c r="E545">
        <v>2839.95</v>
      </c>
      <c r="F545" t="s">
        <v>814</v>
      </c>
      <c r="G545" t="str">
        <f>'Raw Data bck'!F545&amp;"/USD"</f>
        <v>EUR/USD</v>
      </c>
      <c r="H545" s="15">
        <v>3306.84</v>
      </c>
      <c r="I545" s="11" t="s">
        <v>821</v>
      </c>
      <c r="J545" s="13">
        <f>IF(I545="Open",H545,IF(I545="Paid",0,"N/A"))</f>
        <v>0</v>
      </c>
      <c r="K545" s="4">
        <v>45845</v>
      </c>
      <c r="L545" t="s">
        <v>822</v>
      </c>
    </row>
    <row r="546" spans="1:12" x14ac:dyDescent="0.35">
      <c r="A546" t="s">
        <v>553</v>
      </c>
      <c r="B546" t="s">
        <v>810</v>
      </c>
      <c r="C546" s="9">
        <v>45122</v>
      </c>
      <c r="D546" s="9">
        <v>45152</v>
      </c>
      <c r="E546">
        <v>2261.9499999999998</v>
      </c>
      <c r="F546" t="s">
        <v>816</v>
      </c>
      <c r="G546" t="str">
        <f>'Raw Data bck'!F546&amp;"/USD"</f>
        <v>GBP/USD</v>
      </c>
      <c r="H546" s="15">
        <v>3073.54</v>
      </c>
      <c r="I546" s="11" t="s">
        <v>819</v>
      </c>
      <c r="J546" s="13">
        <f>IF(I546="Open",H546,IF(I546="Paid",0,"N/A"))</f>
        <v>3073.54</v>
      </c>
      <c r="L546" t="s">
        <v>822</v>
      </c>
    </row>
    <row r="547" spans="1:12" x14ac:dyDescent="0.35">
      <c r="A547" t="s">
        <v>554</v>
      </c>
      <c r="B547" t="s">
        <v>810</v>
      </c>
      <c r="C547" s="9">
        <v>45686</v>
      </c>
      <c r="D547" s="9">
        <v>45716</v>
      </c>
      <c r="E547">
        <v>104.02</v>
      </c>
      <c r="F547" t="s">
        <v>814</v>
      </c>
      <c r="G547" t="str">
        <f>'Raw Data bck'!F547&amp;"/USD"</f>
        <v>EUR/USD</v>
      </c>
      <c r="H547" s="16">
        <v>121.12</v>
      </c>
      <c r="I547" s="11" t="s">
        <v>820</v>
      </c>
      <c r="J547" s="13" t="str">
        <f>IF(I547="Open",H547,IF(I547="Paid",0,"N/A"))</f>
        <v>N/A</v>
      </c>
      <c r="L547" t="s">
        <v>822</v>
      </c>
    </row>
    <row r="548" spans="1:12" x14ac:dyDescent="0.35">
      <c r="A548" t="s">
        <v>555</v>
      </c>
      <c r="B548" t="s">
        <v>813</v>
      </c>
      <c r="C548" s="9">
        <v>45818</v>
      </c>
      <c r="D548" s="9">
        <v>45848</v>
      </c>
      <c r="E548">
        <v>3899.93</v>
      </c>
      <c r="F548" t="s">
        <v>816</v>
      </c>
      <c r="G548" t="str">
        <f>'Raw Data bck'!F548&amp;"/USD"</f>
        <v>GBP/USD</v>
      </c>
      <c r="H548" s="16">
        <v>5299.22</v>
      </c>
      <c r="I548" s="11" t="s">
        <v>820</v>
      </c>
      <c r="J548" s="13" t="str">
        <f>IF(I548="Open",H548,IF(I548="Paid",0,"N/A"))</f>
        <v>N/A</v>
      </c>
      <c r="L548" t="s">
        <v>822</v>
      </c>
    </row>
    <row r="549" spans="1:12" x14ac:dyDescent="0.35">
      <c r="A549" t="s">
        <v>556</v>
      </c>
      <c r="B549" t="s">
        <v>812</v>
      </c>
      <c r="C549" s="9">
        <v>45476</v>
      </c>
      <c r="D549" s="9">
        <v>45506</v>
      </c>
      <c r="E549">
        <v>276.7</v>
      </c>
      <c r="F549" t="s">
        <v>814</v>
      </c>
      <c r="G549" t="str">
        <f>'Raw Data bck'!F549&amp;"/USD"</f>
        <v>EUR/USD</v>
      </c>
      <c r="H549" s="15">
        <v>322.19</v>
      </c>
      <c r="I549" s="11" t="s">
        <v>819</v>
      </c>
      <c r="J549" s="13">
        <f>IF(I549="Open",H549,IF(I549="Paid",0,"N/A"))</f>
        <v>322.19</v>
      </c>
      <c r="L549" t="s">
        <v>822</v>
      </c>
    </row>
    <row r="550" spans="1:12" x14ac:dyDescent="0.35">
      <c r="A550" t="s">
        <v>557</v>
      </c>
      <c r="B550" t="s">
        <v>809</v>
      </c>
      <c r="C550" s="9">
        <v>45096</v>
      </c>
      <c r="D550" s="9">
        <v>45126</v>
      </c>
      <c r="E550">
        <v>4610.3100000000004</v>
      </c>
      <c r="F550" t="s">
        <v>817</v>
      </c>
      <c r="G550" t="str">
        <f>'Raw Data bck'!F550&amp;"/USD"</f>
        <v>USD/USD</v>
      </c>
      <c r="H550" s="16">
        <v>4610.3100000000004</v>
      </c>
      <c r="I550" s="11" t="s">
        <v>820</v>
      </c>
      <c r="J550" s="13" t="str">
        <f>IF(I550="Open",H550,IF(I550="Paid",0,"N/A"))</f>
        <v>N/A</v>
      </c>
      <c r="L550" t="s">
        <v>822</v>
      </c>
    </row>
    <row r="551" spans="1:12" x14ac:dyDescent="0.35">
      <c r="A551" t="s">
        <v>558</v>
      </c>
      <c r="B551" t="s">
        <v>811</v>
      </c>
      <c r="C551" s="9">
        <v>45812</v>
      </c>
      <c r="D551" s="9">
        <v>45842</v>
      </c>
      <c r="E551">
        <v>1285.1300000000001</v>
      </c>
      <c r="F551" t="s">
        <v>816</v>
      </c>
      <c r="G551" t="str">
        <f>'Raw Data bck'!F551&amp;"/USD"</f>
        <v>GBP/USD</v>
      </c>
      <c r="H551" s="15">
        <v>1746.23</v>
      </c>
      <c r="I551" s="11" t="s">
        <v>821</v>
      </c>
      <c r="J551" s="13">
        <f>IF(I551="Open",H551,IF(I551="Paid",0,"N/A"))</f>
        <v>0</v>
      </c>
      <c r="K551" s="4">
        <v>45842</v>
      </c>
      <c r="L551" t="s">
        <v>822</v>
      </c>
    </row>
    <row r="552" spans="1:12" x14ac:dyDescent="0.35">
      <c r="A552" t="s">
        <v>559</v>
      </c>
      <c r="B552" t="s">
        <v>813</v>
      </c>
      <c r="C552" s="9">
        <v>45069</v>
      </c>
      <c r="D552" s="9">
        <v>45099</v>
      </c>
      <c r="E552">
        <v>3752.28</v>
      </c>
      <c r="F552" t="s">
        <v>816</v>
      </c>
      <c r="G552" t="str">
        <f>'Raw Data bck'!F552&amp;"/USD"</f>
        <v>GBP/USD</v>
      </c>
      <c r="H552" s="16">
        <v>5098.6000000000004</v>
      </c>
      <c r="I552" s="11" t="s">
        <v>820</v>
      </c>
      <c r="J552" s="13" t="str">
        <f>IF(I552="Open",H552,IF(I552="Paid",0,"N/A"))</f>
        <v>N/A</v>
      </c>
      <c r="L552" t="s">
        <v>822</v>
      </c>
    </row>
    <row r="553" spans="1:12" x14ac:dyDescent="0.35">
      <c r="A553" t="s">
        <v>560</v>
      </c>
      <c r="B553" t="s">
        <v>810</v>
      </c>
      <c r="C553" s="9">
        <v>45234</v>
      </c>
      <c r="D553" s="9">
        <v>45264</v>
      </c>
      <c r="E553">
        <v>3746.16</v>
      </c>
      <c r="F553" t="s">
        <v>816</v>
      </c>
      <c r="G553" t="str">
        <f>'Raw Data bck'!F553&amp;"/USD"</f>
        <v>GBP/USD</v>
      </c>
      <c r="H553" s="15">
        <v>5090.28</v>
      </c>
      <c r="I553" s="11" t="s">
        <v>819</v>
      </c>
      <c r="J553" s="13">
        <f>IF(I553="Open",H553,IF(I553="Paid",0,"N/A"))</f>
        <v>5090.28</v>
      </c>
      <c r="L553" t="s">
        <v>822</v>
      </c>
    </row>
    <row r="554" spans="1:12" x14ac:dyDescent="0.35">
      <c r="A554" t="s">
        <v>561</v>
      </c>
      <c r="B554" t="s">
        <v>809</v>
      </c>
      <c r="C554" s="9">
        <v>45644</v>
      </c>
      <c r="D554" s="9">
        <v>45674</v>
      </c>
      <c r="E554">
        <v>4464.8999999999996</v>
      </c>
      <c r="F554" t="s">
        <v>817</v>
      </c>
      <c r="G554" t="str">
        <f>'Raw Data bck'!F554&amp;"/USD"</f>
        <v>USD/USD</v>
      </c>
      <c r="H554" s="15">
        <v>4464.8999999999996</v>
      </c>
      <c r="I554" s="11" t="s">
        <v>821</v>
      </c>
      <c r="J554" s="13">
        <f>IF(I554="Open",H554,IF(I554="Paid",0,"N/A"))</f>
        <v>0</v>
      </c>
      <c r="K554" s="4">
        <v>45674</v>
      </c>
      <c r="L554" t="s">
        <v>822</v>
      </c>
    </row>
    <row r="555" spans="1:12" x14ac:dyDescent="0.35">
      <c r="A555" t="s">
        <v>562</v>
      </c>
      <c r="B555" t="s">
        <v>813</v>
      </c>
      <c r="C555" s="9">
        <v>45471</v>
      </c>
      <c r="D555" s="9">
        <v>45501</v>
      </c>
      <c r="E555">
        <v>4957.1499999999996</v>
      </c>
      <c r="F555" t="s">
        <v>817</v>
      </c>
      <c r="G555" t="str">
        <f>'Raw Data bck'!F555&amp;"/USD"</f>
        <v>USD/USD</v>
      </c>
      <c r="H555" s="15">
        <v>4957.1499999999996</v>
      </c>
      <c r="I555" s="11" t="s">
        <v>819</v>
      </c>
      <c r="J555" s="13">
        <f>IF(I555="Open",H555,IF(I555="Paid",0,"N/A"))</f>
        <v>4957.1499999999996</v>
      </c>
      <c r="L555" t="s">
        <v>822</v>
      </c>
    </row>
    <row r="556" spans="1:12" x14ac:dyDescent="0.35">
      <c r="A556" t="s">
        <v>563</v>
      </c>
      <c r="B556" t="s">
        <v>812</v>
      </c>
      <c r="C556" s="9">
        <v>45503</v>
      </c>
      <c r="D556" s="9">
        <v>45533</v>
      </c>
      <c r="E556">
        <v>129.91</v>
      </c>
      <c r="F556" t="s">
        <v>816</v>
      </c>
      <c r="G556" t="str">
        <f>'Raw Data bck'!F556&amp;"/USD"</f>
        <v>GBP/USD</v>
      </c>
      <c r="H556" s="15">
        <v>176.52</v>
      </c>
      <c r="I556" s="11" t="s">
        <v>819</v>
      </c>
      <c r="J556" s="13">
        <f>IF(I556="Open",H556,IF(I556="Paid",0,"N/A"))</f>
        <v>176.52</v>
      </c>
      <c r="L556" t="s">
        <v>822</v>
      </c>
    </row>
    <row r="557" spans="1:12" x14ac:dyDescent="0.35">
      <c r="A557" t="s">
        <v>564</v>
      </c>
      <c r="B557" t="s">
        <v>810</v>
      </c>
      <c r="C557" s="9">
        <v>45080</v>
      </c>
      <c r="D557" s="9">
        <v>45110</v>
      </c>
      <c r="E557">
        <v>4151.46</v>
      </c>
      <c r="F557" t="s">
        <v>818</v>
      </c>
      <c r="G557" t="str">
        <f>'Raw Data bck'!F557&amp;"/USD"</f>
        <v>AUD/USD</v>
      </c>
      <c r="H557" s="15">
        <v>2987.81</v>
      </c>
      <c r="I557" s="11" t="s">
        <v>821</v>
      </c>
      <c r="J557" s="13">
        <f>IF(I557="Open",H557,IF(I557="Paid",0,"N/A"))</f>
        <v>0</v>
      </c>
      <c r="K557" s="4">
        <v>45110</v>
      </c>
      <c r="L557" t="s">
        <v>822</v>
      </c>
    </row>
    <row r="558" spans="1:12" x14ac:dyDescent="0.35">
      <c r="A558" t="s">
        <v>565</v>
      </c>
      <c r="B558" t="s">
        <v>813</v>
      </c>
      <c r="C558" s="9">
        <v>45345</v>
      </c>
      <c r="D558" s="9">
        <v>45375</v>
      </c>
      <c r="E558">
        <v>4386</v>
      </c>
      <c r="F558" t="s">
        <v>818</v>
      </c>
      <c r="G558" t="str">
        <f>'Raw Data bck'!F558&amp;"/USD"</f>
        <v>AUD/USD</v>
      </c>
      <c r="H558" s="15">
        <v>3156.6</v>
      </c>
      <c r="I558" s="11" t="s">
        <v>819</v>
      </c>
      <c r="J558" s="13">
        <f>IF(I558="Open",H558,IF(I558="Paid",0,"N/A"))</f>
        <v>3156.6</v>
      </c>
      <c r="L558" t="s">
        <v>822</v>
      </c>
    </row>
    <row r="559" spans="1:12" x14ac:dyDescent="0.35">
      <c r="A559" t="s">
        <v>566</v>
      </c>
      <c r="B559" t="s">
        <v>812</v>
      </c>
      <c r="C559" s="9">
        <v>45452</v>
      </c>
      <c r="D559" s="9">
        <v>45482</v>
      </c>
      <c r="E559">
        <v>2792.29</v>
      </c>
      <c r="F559" t="s">
        <v>818</v>
      </c>
      <c r="G559" t="str">
        <f>'Raw Data bck'!F559&amp;"/USD"</f>
        <v>AUD/USD</v>
      </c>
      <c r="H559" s="15">
        <v>2009.61</v>
      </c>
      <c r="I559" s="11" t="s">
        <v>821</v>
      </c>
      <c r="J559" s="13">
        <f>IF(I559="Open",H559,IF(I559="Paid",0,"N/A"))</f>
        <v>0</v>
      </c>
      <c r="K559" s="4">
        <v>45482</v>
      </c>
      <c r="L559" t="s">
        <v>822</v>
      </c>
    </row>
    <row r="560" spans="1:12" x14ac:dyDescent="0.35">
      <c r="A560" t="s">
        <v>567</v>
      </c>
      <c r="B560" t="s">
        <v>813</v>
      </c>
      <c r="C560" s="9">
        <v>45738</v>
      </c>
      <c r="D560" s="9">
        <v>45768</v>
      </c>
      <c r="E560">
        <v>2307.9</v>
      </c>
      <c r="F560" t="s">
        <v>816</v>
      </c>
      <c r="G560" t="str">
        <f>'Raw Data bck'!F560&amp;"/USD"</f>
        <v>GBP/USD</v>
      </c>
      <c r="H560" s="15">
        <v>3135.97</v>
      </c>
      <c r="I560" s="11" t="s">
        <v>819</v>
      </c>
      <c r="J560" s="13">
        <f>IF(I560="Open",H560,IF(I560="Paid",0,"N/A"))</f>
        <v>3135.97</v>
      </c>
      <c r="L560" t="s">
        <v>822</v>
      </c>
    </row>
    <row r="561" spans="1:12" x14ac:dyDescent="0.35">
      <c r="A561" t="s">
        <v>568</v>
      </c>
      <c r="B561" t="s">
        <v>809</v>
      </c>
      <c r="C561" s="9">
        <v>45537</v>
      </c>
      <c r="D561" s="9">
        <v>45567</v>
      </c>
      <c r="E561">
        <v>1432.07</v>
      </c>
      <c r="F561" t="s">
        <v>818</v>
      </c>
      <c r="G561" t="str">
        <f>'Raw Data bck'!F561&amp;"/USD"</f>
        <v>AUD/USD</v>
      </c>
      <c r="H561" s="15">
        <v>1030.6600000000001</v>
      </c>
      <c r="I561" s="11" t="s">
        <v>821</v>
      </c>
      <c r="J561" s="13">
        <f>IF(I561="Open",H561,IF(I561="Paid",0,"N/A"))</f>
        <v>0</v>
      </c>
      <c r="K561" s="4">
        <v>45567</v>
      </c>
      <c r="L561" t="s">
        <v>822</v>
      </c>
    </row>
    <row r="562" spans="1:12" x14ac:dyDescent="0.35">
      <c r="A562" t="s">
        <v>569</v>
      </c>
      <c r="B562" t="s">
        <v>812</v>
      </c>
      <c r="C562" s="9">
        <v>45472</v>
      </c>
      <c r="D562" s="9">
        <v>45502</v>
      </c>
      <c r="E562">
        <v>2127.41</v>
      </c>
      <c r="F562" t="s">
        <v>817</v>
      </c>
      <c r="G562" t="str">
        <f>'Raw Data bck'!F562&amp;"/USD"</f>
        <v>USD/USD</v>
      </c>
      <c r="H562" s="15">
        <v>2127.41</v>
      </c>
      <c r="I562" s="11" t="s">
        <v>819</v>
      </c>
      <c r="J562" s="13">
        <f>IF(I562="Open",H562,IF(I562="Paid",0,"N/A"))</f>
        <v>2127.41</v>
      </c>
      <c r="L562" t="s">
        <v>822</v>
      </c>
    </row>
    <row r="563" spans="1:12" x14ac:dyDescent="0.35">
      <c r="A563" t="s">
        <v>570</v>
      </c>
      <c r="B563" t="s">
        <v>811</v>
      </c>
      <c r="C563" s="9">
        <v>45623</v>
      </c>
      <c r="D563" s="9">
        <v>45653</v>
      </c>
      <c r="E563">
        <v>254.96</v>
      </c>
      <c r="F563" t="s">
        <v>816</v>
      </c>
      <c r="G563" t="str">
        <f>'Raw Data bck'!F563&amp;"/USD"</f>
        <v>GBP/USD</v>
      </c>
      <c r="H563" s="15">
        <v>346.44</v>
      </c>
      <c r="I563" s="11" t="s">
        <v>821</v>
      </c>
      <c r="J563" s="13">
        <f>IF(I563="Open",H563,IF(I563="Paid",0,"N/A"))</f>
        <v>0</v>
      </c>
      <c r="K563" s="4">
        <v>45653</v>
      </c>
      <c r="L563" t="s">
        <v>822</v>
      </c>
    </row>
    <row r="564" spans="1:12" x14ac:dyDescent="0.35">
      <c r="A564" t="s">
        <v>571</v>
      </c>
      <c r="B564" t="s">
        <v>812</v>
      </c>
      <c r="C564" s="9">
        <v>45160</v>
      </c>
      <c r="D564" s="9">
        <v>45190</v>
      </c>
      <c r="E564">
        <v>2704.91</v>
      </c>
      <c r="F564" t="s">
        <v>818</v>
      </c>
      <c r="G564" t="str">
        <f>'Raw Data bck'!F564&amp;"/USD"</f>
        <v>AUD/USD</v>
      </c>
      <c r="H564" s="15">
        <v>1946.72</v>
      </c>
      <c r="I564" s="11" t="s">
        <v>819</v>
      </c>
      <c r="J564" s="13">
        <f>IF(I564="Open",H564,IF(I564="Paid",0,"N/A"))</f>
        <v>1946.72</v>
      </c>
      <c r="L564" t="s">
        <v>822</v>
      </c>
    </row>
    <row r="565" spans="1:12" x14ac:dyDescent="0.35">
      <c r="A565" t="s">
        <v>572</v>
      </c>
      <c r="B565" t="s">
        <v>811</v>
      </c>
      <c r="C565" s="9">
        <v>45438</v>
      </c>
      <c r="D565" s="9">
        <v>45468</v>
      </c>
      <c r="E565">
        <v>1222.6300000000001</v>
      </c>
      <c r="F565" t="s">
        <v>815</v>
      </c>
      <c r="G565" t="str">
        <f>'Raw Data bck'!F565&amp;"/USD"</f>
        <v>CAD/USD</v>
      </c>
      <c r="H565" s="15">
        <v>882.74</v>
      </c>
      <c r="I565" s="11" t="s">
        <v>821</v>
      </c>
      <c r="J565" s="13">
        <f>IF(I565="Open",H565,IF(I565="Paid",0,"N/A"))</f>
        <v>0</v>
      </c>
      <c r="K565" s="4">
        <v>45468</v>
      </c>
      <c r="L565" t="s">
        <v>822</v>
      </c>
    </row>
    <row r="566" spans="1:12" x14ac:dyDescent="0.35">
      <c r="A566" t="s">
        <v>573</v>
      </c>
      <c r="B566" t="s">
        <v>810</v>
      </c>
      <c r="C566" s="9">
        <v>44951</v>
      </c>
      <c r="D566" s="9">
        <v>44981</v>
      </c>
      <c r="E566">
        <v>2660.77</v>
      </c>
      <c r="F566" t="s">
        <v>817</v>
      </c>
      <c r="G566" t="str">
        <f>'Raw Data bck'!F566&amp;"/USD"</f>
        <v>USD/USD</v>
      </c>
      <c r="H566" s="16">
        <v>2660.77</v>
      </c>
      <c r="I566" s="11" t="s">
        <v>820</v>
      </c>
      <c r="J566" s="13" t="str">
        <f>IF(I566="Open",H566,IF(I566="Paid",0,"N/A"))</f>
        <v>N/A</v>
      </c>
      <c r="L566" t="s">
        <v>822</v>
      </c>
    </row>
    <row r="567" spans="1:12" x14ac:dyDescent="0.35">
      <c r="A567" t="s">
        <v>574</v>
      </c>
      <c r="B567" t="s">
        <v>812</v>
      </c>
      <c r="C567" s="9">
        <v>45120</v>
      </c>
      <c r="D567" s="9">
        <v>45150</v>
      </c>
      <c r="E567">
        <v>1359</v>
      </c>
      <c r="F567" t="s">
        <v>814</v>
      </c>
      <c r="G567" t="str">
        <f>'Raw Data bck'!F567&amp;"/USD"</f>
        <v>EUR/USD</v>
      </c>
      <c r="H567" s="15">
        <v>1582.42</v>
      </c>
      <c r="I567" s="11" t="s">
        <v>819</v>
      </c>
      <c r="J567" s="13">
        <f>IF(I567="Open",H567,IF(I567="Paid",0,"N/A"))</f>
        <v>1582.42</v>
      </c>
      <c r="L567" t="s">
        <v>822</v>
      </c>
    </row>
    <row r="568" spans="1:12" x14ac:dyDescent="0.35">
      <c r="A568" t="s">
        <v>575</v>
      </c>
      <c r="B568" t="s">
        <v>812</v>
      </c>
      <c r="C568" s="9">
        <v>45182</v>
      </c>
      <c r="D568" s="9">
        <v>45212</v>
      </c>
      <c r="E568">
        <v>1597.59</v>
      </c>
      <c r="F568" t="s">
        <v>814</v>
      </c>
      <c r="G568" t="str">
        <f>'Raw Data bck'!F568&amp;"/USD"</f>
        <v>EUR/USD</v>
      </c>
      <c r="H568" s="15">
        <v>1860.23</v>
      </c>
      <c r="I568" s="11" t="s">
        <v>821</v>
      </c>
      <c r="J568" s="13">
        <f>IF(I568="Open",H568,IF(I568="Paid",0,"N/A"))</f>
        <v>0</v>
      </c>
      <c r="K568" s="4">
        <v>45212</v>
      </c>
      <c r="L568" t="s">
        <v>822</v>
      </c>
    </row>
    <row r="569" spans="1:12" x14ac:dyDescent="0.35">
      <c r="A569" t="s">
        <v>576</v>
      </c>
      <c r="B569" t="s">
        <v>809</v>
      </c>
      <c r="C569" s="9">
        <v>44997</v>
      </c>
      <c r="D569" s="9">
        <v>45027</v>
      </c>
      <c r="E569">
        <v>4456.2</v>
      </c>
      <c r="F569" t="s">
        <v>815</v>
      </c>
      <c r="G569" t="str">
        <f>'Raw Data bck'!F569&amp;"/USD"</f>
        <v>CAD/USD</v>
      </c>
      <c r="H569" s="16">
        <v>3217.38</v>
      </c>
      <c r="I569" s="11" t="s">
        <v>820</v>
      </c>
      <c r="J569" s="13" t="str">
        <f>IF(I569="Open",H569,IF(I569="Paid",0,"N/A"))</f>
        <v>N/A</v>
      </c>
      <c r="L569" t="s">
        <v>822</v>
      </c>
    </row>
    <row r="570" spans="1:12" x14ac:dyDescent="0.35">
      <c r="A570" t="s">
        <v>577</v>
      </c>
      <c r="B570" t="s">
        <v>813</v>
      </c>
      <c r="C570" s="9">
        <v>45587</v>
      </c>
      <c r="D570" s="9">
        <v>45617</v>
      </c>
      <c r="E570">
        <v>583.61</v>
      </c>
      <c r="F570" t="s">
        <v>816</v>
      </c>
      <c r="G570" t="str">
        <f>'Raw Data bck'!F570&amp;"/USD"</f>
        <v>GBP/USD</v>
      </c>
      <c r="H570" s="16">
        <v>793.01</v>
      </c>
      <c r="I570" s="11" t="s">
        <v>820</v>
      </c>
      <c r="J570" s="13" t="str">
        <f>IF(I570="Open",H570,IF(I570="Paid",0,"N/A"))</f>
        <v>N/A</v>
      </c>
      <c r="L570" t="s">
        <v>822</v>
      </c>
    </row>
    <row r="571" spans="1:12" x14ac:dyDescent="0.35">
      <c r="A571" t="s">
        <v>578</v>
      </c>
      <c r="B571" t="s">
        <v>813</v>
      </c>
      <c r="C571" s="9">
        <v>45511</v>
      </c>
      <c r="D571" s="9">
        <v>45541</v>
      </c>
      <c r="E571">
        <v>3912.65</v>
      </c>
      <c r="F571" t="s">
        <v>817</v>
      </c>
      <c r="G571" t="str">
        <f>'Raw Data bck'!F571&amp;"/USD"</f>
        <v>USD/USD</v>
      </c>
      <c r="H571" s="16">
        <v>3912.65</v>
      </c>
      <c r="I571" s="11" t="s">
        <v>820</v>
      </c>
      <c r="J571" s="13" t="str">
        <f>IF(I571="Open",H571,IF(I571="Paid",0,"N/A"))</f>
        <v>N/A</v>
      </c>
      <c r="L571" t="s">
        <v>822</v>
      </c>
    </row>
    <row r="572" spans="1:12" x14ac:dyDescent="0.35">
      <c r="A572" t="s">
        <v>579</v>
      </c>
      <c r="B572" t="s">
        <v>812</v>
      </c>
      <c r="C572" s="9">
        <v>45070</v>
      </c>
      <c r="D572" s="9">
        <v>45100</v>
      </c>
      <c r="E572">
        <v>2835.21</v>
      </c>
      <c r="F572" t="s">
        <v>817</v>
      </c>
      <c r="G572" t="str">
        <f>'Raw Data bck'!F572&amp;"/USD"</f>
        <v>USD/USD</v>
      </c>
      <c r="H572" s="15">
        <v>2835.21</v>
      </c>
      <c r="I572" s="11" t="s">
        <v>821</v>
      </c>
      <c r="J572" s="13">
        <f>IF(I572="Open",H572,IF(I572="Paid",0,"N/A"))</f>
        <v>0</v>
      </c>
      <c r="K572" s="4">
        <v>45100</v>
      </c>
      <c r="L572" t="s">
        <v>822</v>
      </c>
    </row>
    <row r="573" spans="1:12" x14ac:dyDescent="0.35">
      <c r="A573" t="s">
        <v>580</v>
      </c>
      <c r="B573" t="s">
        <v>812</v>
      </c>
      <c r="C573" s="9">
        <v>45461</v>
      </c>
      <c r="D573" s="9">
        <v>45491</v>
      </c>
      <c r="E573">
        <v>865.54</v>
      </c>
      <c r="F573" t="s">
        <v>814</v>
      </c>
      <c r="G573" t="str">
        <f>'Raw Data bck'!F573&amp;"/USD"</f>
        <v>EUR/USD</v>
      </c>
      <c r="H573" s="16">
        <v>1007.83</v>
      </c>
      <c r="I573" s="11" t="s">
        <v>820</v>
      </c>
      <c r="J573" s="13" t="str">
        <f>IF(I573="Open",H573,IF(I573="Paid",0,"N/A"))</f>
        <v>N/A</v>
      </c>
      <c r="L573" t="s">
        <v>822</v>
      </c>
    </row>
    <row r="574" spans="1:12" x14ac:dyDescent="0.35">
      <c r="A574" t="s">
        <v>581</v>
      </c>
      <c r="B574" t="s">
        <v>812</v>
      </c>
      <c r="C574" s="9">
        <v>45455</v>
      </c>
      <c r="D574" s="9">
        <v>45485</v>
      </c>
      <c r="E574">
        <v>3671.15</v>
      </c>
      <c r="F574" t="s">
        <v>816</v>
      </c>
      <c r="G574" t="str">
        <f>'Raw Data bck'!F574&amp;"/USD"</f>
        <v>GBP/USD</v>
      </c>
      <c r="H574" s="16">
        <v>4988.3599999999997</v>
      </c>
      <c r="I574" s="11" t="s">
        <v>820</v>
      </c>
      <c r="J574" s="13" t="str">
        <f>IF(I574="Open",H574,IF(I574="Paid",0,"N/A"))</f>
        <v>N/A</v>
      </c>
      <c r="L574" t="s">
        <v>822</v>
      </c>
    </row>
    <row r="575" spans="1:12" x14ac:dyDescent="0.35">
      <c r="A575" t="s">
        <v>582</v>
      </c>
      <c r="B575" t="s">
        <v>811</v>
      </c>
      <c r="C575" s="9">
        <v>45775</v>
      </c>
      <c r="D575" s="9">
        <v>45805</v>
      </c>
      <c r="E575">
        <v>2131.81</v>
      </c>
      <c r="F575" t="s">
        <v>817</v>
      </c>
      <c r="G575" t="str">
        <f>'Raw Data bck'!F575&amp;"/USD"</f>
        <v>USD/USD</v>
      </c>
      <c r="H575" s="15">
        <v>2131.81</v>
      </c>
      <c r="I575" s="11" t="s">
        <v>821</v>
      </c>
      <c r="J575" s="13">
        <f>IF(I575="Open",H575,IF(I575="Paid",0,"N/A"))</f>
        <v>0</v>
      </c>
      <c r="K575" s="4">
        <v>45805</v>
      </c>
      <c r="L575" t="s">
        <v>822</v>
      </c>
    </row>
    <row r="576" spans="1:12" x14ac:dyDescent="0.35">
      <c r="A576" t="s">
        <v>583</v>
      </c>
      <c r="B576" t="s">
        <v>810</v>
      </c>
      <c r="C576" s="9">
        <v>45616</v>
      </c>
      <c r="D576" s="9">
        <v>45646</v>
      </c>
      <c r="E576">
        <v>4512.54</v>
      </c>
      <c r="F576" t="s">
        <v>818</v>
      </c>
      <c r="G576" t="str">
        <f>'Raw Data bck'!F576&amp;"/USD"</f>
        <v>AUD/USD</v>
      </c>
      <c r="H576" s="16">
        <v>3247.68</v>
      </c>
      <c r="I576" s="11" t="s">
        <v>820</v>
      </c>
      <c r="J576" s="13" t="str">
        <f>IF(I576="Open",H576,IF(I576="Paid",0,"N/A"))</f>
        <v>N/A</v>
      </c>
      <c r="L576" t="s">
        <v>822</v>
      </c>
    </row>
    <row r="577" spans="1:12" x14ac:dyDescent="0.35">
      <c r="A577" t="s">
        <v>584</v>
      </c>
      <c r="B577" t="s">
        <v>809</v>
      </c>
      <c r="C577" s="9">
        <v>45491</v>
      </c>
      <c r="D577" s="9">
        <v>45521</v>
      </c>
      <c r="E577">
        <v>4516.3100000000004</v>
      </c>
      <c r="F577" t="s">
        <v>817</v>
      </c>
      <c r="G577" t="str">
        <f>'Raw Data bck'!F577&amp;"/USD"</f>
        <v>USD/USD</v>
      </c>
      <c r="H577" s="15">
        <v>4516.3100000000004</v>
      </c>
      <c r="I577" s="11" t="s">
        <v>819</v>
      </c>
      <c r="J577" s="13">
        <f>IF(I577="Open",H577,IF(I577="Paid",0,"N/A"))</f>
        <v>4516.3100000000004</v>
      </c>
      <c r="L577" t="s">
        <v>822</v>
      </c>
    </row>
    <row r="578" spans="1:12" x14ac:dyDescent="0.35">
      <c r="A578" t="s">
        <v>585</v>
      </c>
      <c r="B578" t="s">
        <v>810</v>
      </c>
      <c r="C578" s="9">
        <v>45554</v>
      </c>
      <c r="D578" s="9">
        <v>45584</v>
      </c>
      <c r="E578">
        <v>1978.27</v>
      </c>
      <c r="F578" t="s">
        <v>817</v>
      </c>
      <c r="G578" t="str">
        <f>'Raw Data bck'!F578&amp;"/USD"</f>
        <v>USD/USD</v>
      </c>
      <c r="H578" s="15">
        <v>1978.27</v>
      </c>
      <c r="I578" s="11" t="s">
        <v>821</v>
      </c>
      <c r="J578" s="13">
        <f>IF(I578="Open",H578,IF(I578="Paid",0,"N/A"))</f>
        <v>0</v>
      </c>
      <c r="K578" s="4">
        <v>45584</v>
      </c>
      <c r="L578" t="s">
        <v>822</v>
      </c>
    </row>
    <row r="579" spans="1:12" x14ac:dyDescent="0.35">
      <c r="A579" t="s">
        <v>586</v>
      </c>
      <c r="B579" t="s">
        <v>811</v>
      </c>
      <c r="C579" s="9">
        <v>45417</v>
      </c>
      <c r="D579" s="9">
        <v>45447</v>
      </c>
      <c r="E579">
        <v>1703.15</v>
      </c>
      <c r="F579" t="s">
        <v>816</v>
      </c>
      <c r="G579" t="str">
        <f>'Raw Data bck'!F579&amp;"/USD"</f>
        <v>GBP/USD</v>
      </c>
      <c r="H579" s="15">
        <v>2314.2399999999998</v>
      </c>
      <c r="I579" s="11" t="s">
        <v>821</v>
      </c>
      <c r="J579" s="13">
        <f>IF(I579="Open",H579,IF(I579="Paid",0,"N/A"))</f>
        <v>0</v>
      </c>
      <c r="K579" s="4">
        <v>45447</v>
      </c>
      <c r="L579" t="s">
        <v>822</v>
      </c>
    </row>
    <row r="580" spans="1:12" x14ac:dyDescent="0.35">
      <c r="A580" t="s">
        <v>587</v>
      </c>
      <c r="B580" t="s">
        <v>809</v>
      </c>
      <c r="C580" s="9">
        <v>45287</v>
      </c>
      <c r="D580" s="9">
        <v>45317</v>
      </c>
      <c r="E580">
        <v>765.18</v>
      </c>
      <c r="F580" t="s">
        <v>817</v>
      </c>
      <c r="G580" t="str">
        <f>'Raw Data bck'!F580&amp;"/USD"</f>
        <v>USD/USD</v>
      </c>
      <c r="H580" s="15">
        <v>765.18</v>
      </c>
      <c r="I580" s="11" t="s">
        <v>819</v>
      </c>
      <c r="J580" s="13">
        <f>IF(I580="Open",H580,IF(I580="Paid",0,"N/A"))</f>
        <v>765.18</v>
      </c>
      <c r="L580" t="s">
        <v>822</v>
      </c>
    </row>
    <row r="581" spans="1:12" x14ac:dyDescent="0.35">
      <c r="A581" t="s">
        <v>588</v>
      </c>
      <c r="B581" t="s">
        <v>810</v>
      </c>
      <c r="C581" s="9">
        <v>44992</v>
      </c>
      <c r="D581" s="9">
        <v>45022</v>
      </c>
      <c r="E581">
        <v>4823.6099999999997</v>
      </c>
      <c r="F581" t="s">
        <v>818</v>
      </c>
      <c r="G581" t="str">
        <f>'Raw Data bck'!F581&amp;"/USD"</f>
        <v>AUD/USD</v>
      </c>
      <c r="H581" s="15">
        <v>3471.55</v>
      </c>
      <c r="I581" s="11" t="s">
        <v>819</v>
      </c>
      <c r="J581" s="13">
        <f>IF(I581="Open",H581,IF(I581="Paid",0,"N/A"))</f>
        <v>3471.55</v>
      </c>
      <c r="L581" t="s">
        <v>822</v>
      </c>
    </row>
    <row r="582" spans="1:12" x14ac:dyDescent="0.35">
      <c r="A582" t="s">
        <v>589</v>
      </c>
      <c r="B582" t="s">
        <v>813</v>
      </c>
      <c r="C582" s="9">
        <v>45813</v>
      </c>
      <c r="D582" s="9">
        <v>45843</v>
      </c>
      <c r="E582">
        <v>929.8</v>
      </c>
      <c r="F582" t="s">
        <v>817</v>
      </c>
      <c r="G582" t="str">
        <f>'Raw Data bck'!F582&amp;"/USD"</f>
        <v>USD/USD</v>
      </c>
      <c r="H582" s="15">
        <v>929.8</v>
      </c>
      <c r="I582" s="11" t="s">
        <v>821</v>
      </c>
      <c r="J582" s="13">
        <f>IF(I582="Open",H582,IF(I582="Paid",0,"N/A"))</f>
        <v>0</v>
      </c>
      <c r="K582" s="4">
        <v>45843</v>
      </c>
      <c r="L582" t="s">
        <v>822</v>
      </c>
    </row>
    <row r="583" spans="1:12" x14ac:dyDescent="0.35">
      <c r="A583" t="s">
        <v>590</v>
      </c>
      <c r="B583" t="s">
        <v>812</v>
      </c>
      <c r="C583" s="9">
        <v>45349</v>
      </c>
      <c r="D583" s="9">
        <v>45379</v>
      </c>
      <c r="E583">
        <v>4543.1099999999997</v>
      </c>
      <c r="F583" t="s">
        <v>817</v>
      </c>
      <c r="G583" t="str">
        <f>'Raw Data bck'!F583&amp;"/USD"</f>
        <v>USD/USD</v>
      </c>
      <c r="H583" s="15">
        <v>4543.1099999999997</v>
      </c>
      <c r="I583" s="11" t="s">
        <v>821</v>
      </c>
      <c r="J583" s="13">
        <f>IF(I583="Open",H583,IF(I583="Paid",0,"N/A"))</f>
        <v>0</v>
      </c>
      <c r="K583" s="4">
        <v>45379</v>
      </c>
      <c r="L583" t="s">
        <v>822</v>
      </c>
    </row>
    <row r="584" spans="1:12" x14ac:dyDescent="0.35">
      <c r="A584" t="s">
        <v>591</v>
      </c>
      <c r="B584" t="s">
        <v>809</v>
      </c>
      <c r="C584" s="9">
        <v>45354</v>
      </c>
      <c r="D584" s="9">
        <v>45384</v>
      </c>
      <c r="E584">
        <v>3165.91</v>
      </c>
      <c r="F584" t="s">
        <v>818</v>
      </c>
      <c r="G584" t="str">
        <f>'Raw Data bck'!F584&amp;"/USD"</f>
        <v>AUD/USD</v>
      </c>
      <c r="H584" s="16">
        <v>2278.5100000000002</v>
      </c>
      <c r="I584" s="11" t="s">
        <v>820</v>
      </c>
      <c r="J584" s="13" t="str">
        <f>IF(I584="Open",H584,IF(I584="Paid",0,"N/A"))</f>
        <v>N/A</v>
      </c>
      <c r="L584" t="s">
        <v>822</v>
      </c>
    </row>
    <row r="585" spans="1:12" x14ac:dyDescent="0.35">
      <c r="A585" t="s">
        <v>592</v>
      </c>
      <c r="B585" t="s">
        <v>813</v>
      </c>
      <c r="C585" s="9">
        <v>45749</v>
      </c>
      <c r="D585" s="9">
        <v>45779</v>
      </c>
      <c r="E585">
        <v>674.53</v>
      </c>
      <c r="F585" t="s">
        <v>817</v>
      </c>
      <c r="G585" t="str">
        <f>'Raw Data bck'!F585&amp;"/USD"</f>
        <v>USD/USD</v>
      </c>
      <c r="H585" s="16">
        <v>674.53</v>
      </c>
      <c r="I585" s="11" t="s">
        <v>820</v>
      </c>
      <c r="J585" s="13" t="str">
        <f>IF(I585="Open",H585,IF(I585="Paid",0,"N/A"))</f>
        <v>N/A</v>
      </c>
      <c r="L585" t="s">
        <v>822</v>
      </c>
    </row>
    <row r="586" spans="1:12" x14ac:dyDescent="0.35">
      <c r="A586" t="s">
        <v>593</v>
      </c>
      <c r="B586" t="s">
        <v>809</v>
      </c>
      <c r="C586" s="9">
        <v>45342</v>
      </c>
      <c r="D586" s="9">
        <v>45372</v>
      </c>
      <c r="E586">
        <v>860.37</v>
      </c>
      <c r="F586" t="s">
        <v>814</v>
      </c>
      <c r="G586" t="str">
        <f>'Raw Data bck'!F586&amp;"/USD"</f>
        <v>EUR/USD</v>
      </c>
      <c r="H586" s="15">
        <v>1001.81</v>
      </c>
      <c r="I586" s="11" t="s">
        <v>821</v>
      </c>
      <c r="J586" s="13">
        <f>IF(I586="Open",H586,IF(I586="Paid",0,"N/A"))</f>
        <v>0</v>
      </c>
      <c r="K586" s="4">
        <v>45372</v>
      </c>
      <c r="L586" t="s">
        <v>822</v>
      </c>
    </row>
    <row r="587" spans="1:12" x14ac:dyDescent="0.35">
      <c r="A587" t="s">
        <v>594</v>
      </c>
      <c r="B587" t="s">
        <v>809</v>
      </c>
      <c r="C587" s="9">
        <v>44953</v>
      </c>
      <c r="D587" s="9">
        <v>44983</v>
      </c>
      <c r="E587">
        <v>1506.08</v>
      </c>
      <c r="F587" t="s">
        <v>814</v>
      </c>
      <c r="G587" t="str">
        <f>'Raw Data bck'!F587&amp;"/USD"</f>
        <v>EUR/USD</v>
      </c>
      <c r="H587" s="16">
        <v>1753.68</v>
      </c>
      <c r="I587" s="11" t="s">
        <v>820</v>
      </c>
      <c r="J587" s="13" t="str">
        <f>IF(I587="Open",H587,IF(I587="Paid",0,"N/A"))</f>
        <v>N/A</v>
      </c>
      <c r="L587" t="s">
        <v>822</v>
      </c>
    </row>
    <row r="588" spans="1:12" x14ac:dyDescent="0.35">
      <c r="A588" t="s">
        <v>595</v>
      </c>
      <c r="B588" t="s">
        <v>812</v>
      </c>
      <c r="C588" s="9">
        <v>45163</v>
      </c>
      <c r="D588" s="9">
        <v>45193</v>
      </c>
      <c r="E588">
        <v>1413.73</v>
      </c>
      <c r="F588" t="s">
        <v>818</v>
      </c>
      <c r="G588" t="str">
        <f>'Raw Data bck'!F588&amp;"/USD"</f>
        <v>AUD/USD</v>
      </c>
      <c r="H588" s="15">
        <v>1017.46</v>
      </c>
      <c r="I588" s="11" t="s">
        <v>819</v>
      </c>
      <c r="J588" s="13">
        <f>IF(I588="Open",H588,IF(I588="Paid",0,"N/A"))</f>
        <v>1017.46</v>
      </c>
      <c r="L588" t="s">
        <v>822</v>
      </c>
    </row>
    <row r="589" spans="1:12" x14ac:dyDescent="0.35">
      <c r="A589" t="s">
        <v>596</v>
      </c>
      <c r="B589" t="s">
        <v>811</v>
      </c>
      <c r="C589" s="9">
        <v>45230</v>
      </c>
      <c r="D589" s="9">
        <v>45260</v>
      </c>
      <c r="E589">
        <v>3386.32</v>
      </c>
      <c r="F589" t="s">
        <v>814</v>
      </c>
      <c r="G589" t="str">
        <f>'Raw Data bck'!F589&amp;"/USD"</f>
        <v>EUR/USD</v>
      </c>
      <c r="H589" s="15">
        <v>3943.03</v>
      </c>
      <c r="I589" s="11" t="s">
        <v>821</v>
      </c>
      <c r="J589" s="13">
        <f>IF(I589="Open",H589,IF(I589="Paid",0,"N/A"))</f>
        <v>0</v>
      </c>
      <c r="K589" s="4">
        <v>45260</v>
      </c>
      <c r="L589" t="s">
        <v>822</v>
      </c>
    </row>
    <row r="590" spans="1:12" x14ac:dyDescent="0.35">
      <c r="A590" t="s">
        <v>597</v>
      </c>
      <c r="B590" t="s">
        <v>809</v>
      </c>
      <c r="C590" s="9">
        <v>45633</v>
      </c>
      <c r="D590" s="9">
        <v>45663</v>
      </c>
      <c r="E590">
        <v>3632.78</v>
      </c>
      <c r="F590" t="s">
        <v>817</v>
      </c>
      <c r="G590" t="str">
        <f>'Raw Data bck'!F590&amp;"/USD"</f>
        <v>USD/USD</v>
      </c>
      <c r="H590" s="15">
        <v>3632.78</v>
      </c>
      <c r="I590" s="11" t="s">
        <v>821</v>
      </c>
      <c r="J590" s="13">
        <f>IF(I590="Open",H590,IF(I590="Paid",0,"N/A"))</f>
        <v>0</v>
      </c>
      <c r="K590" s="4">
        <v>45663</v>
      </c>
      <c r="L590" t="s">
        <v>822</v>
      </c>
    </row>
    <row r="591" spans="1:12" x14ac:dyDescent="0.35">
      <c r="A591" t="s">
        <v>598</v>
      </c>
      <c r="B591" t="s">
        <v>813</v>
      </c>
      <c r="C591" s="9">
        <v>45474</v>
      </c>
      <c r="D591" s="9">
        <v>45504</v>
      </c>
      <c r="E591">
        <v>994.97</v>
      </c>
      <c r="F591" t="s">
        <v>815</v>
      </c>
      <c r="G591" t="str">
        <f>'Raw Data bck'!F591&amp;"/USD"</f>
        <v>CAD/USD</v>
      </c>
      <c r="H591" s="15">
        <v>718.37</v>
      </c>
      <c r="I591" s="11" t="s">
        <v>821</v>
      </c>
      <c r="J591" s="13">
        <f>IF(I591="Open",H591,IF(I591="Paid",0,"N/A"))</f>
        <v>0</v>
      </c>
      <c r="K591" s="4">
        <v>45504</v>
      </c>
      <c r="L591" t="s">
        <v>822</v>
      </c>
    </row>
    <row r="592" spans="1:12" x14ac:dyDescent="0.35">
      <c r="A592" t="s">
        <v>599</v>
      </c>
      <c r="B592" t="s">
        <v>813</v>
      </c>
      <c r="C592" s="9">
        <v>45282</v>
      </c>
      <c r="D592" s="9">
        <v>45312</v>
      </c>
      <c r="E592">
        <v>2164.98</v>
      </c>
      <c r="F592" t="s">
        <v>818</v>
      </c>
      <c r="G592" t="str">
        <f>'Raw Data bck'!F592&amp;"/USD"</f>
        <v>AUD/USD</v>
      </c>
      <c r="H592" s="15">
        <v>1558.14</v>
      </c>
      <c r="I592" s="11" t="s">
        <v>821</v>
      </c>
      <c r="J592" s="13">
        <f>IF(I592="Open",H592,IF(I592="Paid",0,"N/A"))</f>
        <v>0</v>
      </c>
      <c r="K592" s="4">
        <v>45312</v>
      </c>
      <c r="L592" t="s">
        <v>822</v>
      </c>
    </row>
    <row r="593" spans="1:12" x14ac:dyDescent="0.35">
      <c r="A593" t="s">
        <v>600</v>
      </c>
      <c r="B593" t="s">
        <v>812</v>
      </c>
      <c r="C593" s="9">
        <v>45510</v>
      </c>
      <c r="D593" s="9">
        <v>45540</v>
      </c>
      <c r="E593">
        <v>3042.89</v>
      </c>
      <c r="F593" t="s">
        <v>818</v>
      </c>
      <c r="G593" t="str">
        <f>'Raw Data bck'!F593&amp;"/USD"</f>
        <v>AUD/USD</v>
      </c>
      <c r="H593" s="15">
        <v>2189.9699999999998</v>
      </c>
      <c r="I593" s="11" t="s">
        <v>821</v>
      </c>
      <c r="J593" s="13">
        <f>IF(I593="Open",H593,IF(I593="Paid",0,"N/A"))</f>
        <v>0</v>
      </c>
      <c r="K593" s="4">
        <v>45540</v>
      </c>
      <c r="L593" t="s">
        <v>822</v>
      </c>
    </row>
    <row r="594" spans="1:12" x14ac:dyDescent="0.35">
      <c r="A594" t="s">
        <v>601</v>
      </c>
      <c r="B594" t="s">
        <v>809</v>
      </c>
      <c r="C594" s="9">
        <v>45245</v>
      </c>
      <c r="D594" s="9">
        <v>45275</v>
      </c>
      <c r="E594">
        <v>4101.79</v>
      </c>
      <c r="F594" t="s">
        <v>818</v>
      </c>
      <c r="G594" t="str">
        <f>'Raw Data bck'!F594&amp;"/USD"</f>
        <v>AUD/USD</v>
      </c>
      <c r="H594" s="15">
        <v>2952.06</v>
      </c>
      <c r="I594" s="11" t="s">
        <v>821</v>
      </c>
      <c r="J594" s="13">
        <f>IF(I594="Open",H594,IF(I594="Paid",0,"N/A"))</f>
        <v>0</v>
      </c>
      <c r="K594" s="4">
        <v>45275</v>
      </c>
      <c r="L594" t="s">
        <v>822</v>
      </c>
    </row>
    <row r="595" spans="1:12" x14ac:dyDescent="0.35">
      <c r="A595" t="s">
        <v>602</v>
      </c>
      <c r="B595" t="s">
        <v>813</v>
      </c>
      <c r="C595" s="9">
        <v>45190</v>
      </c>
      <c r="D595" s="9">
        <v>45220</v>
      </c>
      <c r="E595">
        <v>3506.57</v>
      </c>
      <c r="F595" t="s">
        <v>816</v>
      </c>
      <c r="G595" t="str">
        <f>'Raw Data bck'!F595&amp;"/USD"</f>
        <v>GBP/USD</v>
      </c>
      <c r="H595" s="15">
        <v>4764.7299999999996</v>
      </c>
      <c r="I595" s="11" t="s">
        <v>821</v>
      </c>
      <c r="J595" s="13">
        <f>IF(I595="Open",H595,IF(I595="Paid",0,"N/A"))</f>
        <v>0</v>
      </c>
      <c r="K595" s="4">
        <v>45220</v>
      </c>
      <c r="L595" t="s">
        <v>822</v>
      </c>
    </row>
    <row r="596" spans="1:12" x14ac:dyDescent="0.35">
      <c r="A596" t="s">
        <v>603</v>
      </c>
      <c r="B596" t="s">
        <v>813</v>
      </c>
      <c r="C596" s="9">
        <v>45797</v>
      </c>
      <c r="D596" s="9">
        <v>45827</v>
      </c>
      <c r="E596">
        <v>3352.25</v>
      </c>
      <c r="F596" t="s">
        <v>814</v>
      </c>
      <c r="G596" t="str">
        <f>'Raw Data bck'!F596&amp;"/USD"</f>
        <v>EUR/USD</v>
      </c>
      <c r="H596" s="16">
        <v>3903.36</v>
      </c>
      <c r="I596" s="11" t="s">
        <v>820</v>
      </c>
      <c r="J596" s="13" t="str">
        <f>IF(I596="Open",H596,IF(I596="Paid",0,"N/A"))</f>
        <v>N/A</v>
      </c>
      <c r="L596" t="s">
        <v>822</v>
      </c>
    </row>
    <row r="597" spans="1:12" x14ac:dyDescent="0.35">
      <c r="A597" t="s">
        <v>604</v>
      </c>
      <c r="B597" t="s">
        <v>813</v>
      </c>
      <c r="C597" s="9">
        <v>45220</v>
      </c>
      <c r="D597" s="9">
        <v>45250</v>
      </c>
      <c r="E597">
        <v>940.15</v>
      </c>
      <c r="F597" t="s">
        <v>817</v>
      </c>
      <c r="G597" t="str">
        <f>'Raw Data bck'!F597&amp;"/USD"</f>
        <v>USD/USD</v>
      </c>
      <c r="H597" s="15">
        <v>940.15</v>
      </c>
      <c r="I597" s="11" t="s">
        <v>819</v>
      </c>
      <c r="J597" s="13">
        <f>IF(I597="Open",H597,IF(I597="Paid",0,"N/A"))</f>
        <v>940.15</v>
      </c>
      <c r="L597" t="s">
        <v>822</v>
      </c>
    </row>
    <row r="598" spans="1:12" x14ac:dyDescent="0.35">
      <c r="A598" t="s">
        <v>605</v>
      </c>
      <c r="B598" t="s">
        <v>809</v>
      </c>
      <c r="C598" s="9">
        <v>45162</v>
      </c>
      <c r="D598" s="9">
        <v>45192</v>
      </c>
      <c r="E598">
        <v>3505.16</v>
      </c>
      <c r="F598" t="s">
        <v>817</v>
      </c>
      <c r="G598" t="str">
        <f>'Raw Data bck'!F598&amp;"/USD"</f>
        <v>USD/USD</v>
      </c>
      <c r="H598" s="15">
        <v>3505.16</v>
      </c>
      <c r="I598" s="11" t="s">
        <v>819</v>
      </c>
      <c r="J598" s="13">
        <f>IF(I598="Open",H598,IF(I598="Paid",0,"N/A"))</f>
        <v>3505.16</v>
      </c>
      <c r="L598" t="s">
        <v>822</v>
      </c>
    </row>
    <row r="599" spans="1:12" x14ac:dyDescent="0.35">
      <c r="A599" t="s">
        <v>606</v>
      </c>
      <c r="B599" t="s">
        <v>812</v>
      </c>
      <c r="C599" s="9">
        <v>45420</v>
      </c>
      <c r="D599" s="9">
        <v>45450</v>
      </c>
      <c r="E599">
        <v>319.55</v>
      </c>
      <c r="F599" t="s">
        <v>814</v>
      </c>
      <c r="G599" t="str">
        <f>'Raw Data bck'!F599&amp;"/USD"</f>
        <v>EUR/USD</v>
      </c>
      <c r="H599" s="16">
        <v>372.08</v>
      </c>
      <c r="I599" s="11" t="s">
        <v>820</v>
      </c>
      <c r="J599" s="13" t="str">
        <f>IF(I599="Open",H599,IF(I599="Paid",0,"N/A"))</f>
        <v>N/A</v>
      </c>
      <c r="L599" t="s">
        <v>822</v>
      </c>
    </row>
    <row r="600" spans="1:12" x14ac:dyDescent="0.35">
      <c r="A600" t="s">
        <v>607</v>
      </c>
      <c r="B600" t="s">
        <v>811</v>
      </c>
      <c r="C600" s="9">
        <v>45223</v>
      </c>
      <c r="D600" s="9">
        <v>45253</v>
      </c>
      <c r="E600">
        <v>1360.57</v>
      </c>
      <c r="F600" t="s">
        <v>815</v>
      </c>
      <c r="G600" t="str">
        <f>'Raw Data bck'!F600&amp;"/USD"</f>
        <v>CAD/USD</v>
      </c>
      <c r="H600" s="15">
        <v>982.33</v>
      </c>
      <c r="I600" s="11" t="s">
        <v>821</v>
      </c>
      <c r="J600" s="13">
        <f>IF(I600="Open",H600,IF(I600="Paid",0,"N/A"))</f>
        <v>0</v>
      </c>
      <c r="K600" s="4">
        <v>45253</v>
      </c>
      <c r="L600" t="s">
        <v>822</v>
      </c>
    </row>
    <row r="601" spans="1:12" x14ac:dyDescent="0.35">
      <c r="A601" t="s">
        <v>608</v>
      </c>
      <c r="B601" t="s">
        <v>811</v>
      </c>
      <c r="C601" s="9">
        <v>45277</v>
      </c>
      <c r="D601" s="9">
        <v>45307</v>
      </c>
      <c r="E601">
        <v>2177.67</v>
      </c>
      <c r="F601" t="s">
        <v>817</v>
      </c>
      <c r="G601" t="str">
        <f>'Raw Data bck'!F601&amp;"/USD"</f>
        <v>USD/USD</v>
      </c>
      <c r="H601" s="15">
        <v>2177.67</v>
      </c>
      <c r="I601" s="11" t="s">
        <v>821</v>
      </c>
      <c r="J601" s="13">
        <f>IF(I601="Open",H601,IF(I601="Paid",0,"N/A"))</f>
        <v>0</v>
      </c>
      <c r="K601" s="4">
        <v>45307</v>
      </c>
      <c r="L601" t="s">
        <v>822</v>
      </c>
    </row>
    <row r="602" spans="1:12" x14ac:dyDescent="0.35">
      <c r="A602" t="s">
        <v>609</v>
      </c>
      <c r="B602" t="s">
        <v>812</v>
      </c>
      <c r="C602" s="9">
        <v>45004</v>
      </c>
      <c r="D602" s="9">
        <v>45034</v>
      </c>
      <c r="E602">
        <v>203.9</v>
      </c>
      <c r="F602" t="s">
        <v>815</v>
      </c>
      <c r="G602" t="str">
        <f>'Raw Data bck'!F602&amp;"/USD"</f>
        <v>CAD/USD</v>
      </c>
      <c r="H602" s="15">
        <v>147.22</v>
      </c>
      <c r="I602" s="11" t="s">
        <v>819</v>
      </c>
      <c r="J602" s="13">
        <f>IF(I602="Open",H602,IF(I602="Paid",0,"N/A"))</f>
        <v>147.22</v>
      </c>
      <c r="L602" t="s">
        <v>822</v>
      </c>
    </row>
    <row r="603" spans="1:12" x14ac:dyDescent="0.35">
      <c r="A603" t="s">
        <v>610</v>
      </c>
      <c r="B603" t="s">
        <v>809</v>
      </c>
      <c r="C603" s="9">
        <v>45227</v>
      </c>
      <c r="D603" s="9">
        <v>45257</v>
      </c>
      <c r="E603">
        <v>868.73</v>
      </c>
      <c r="F603" t="s">
        <v>818</v>
      </c>
      <c r="G603" t="str">
        <f>'Raw Data bck'!F603&amp;"/USD"</f>
        <v>AUD/USD</v>
      </c>
      <c r="H603" s="15">
        <v>625.22</v>
      </c>
      <c r="I603" s="11" t="s">
        <v>821</v>
      </c>
      <c r="J603" s="13">
        <f>IF(I603="Open",H603,IF(I603="Paid",0,"N/A"))</f>
        <v>0</v>
      </c>
      <c r="K603" s="4">
        <v>45257</v>
      </c>
      <c r="L603" t="s">
        <v>822</v>
      </c>
    </row>
    <row r="604" spans="1:12" x14ac:dyDescent="0.35">
      <c r="A604" t="s">
        <v>611</v>
      </c>
      <c r="B604" t="s">
        <v>813</v>
      </c>
      <c r="C604" s="9">
        <v>45082</v>
      </c>
      <c r="D604" s="9">
        <v>45112</v>
      </c>
      <c r="E604">
        <v>283.51</v>
      </c>
      <c r="F604" t="s">
        <v>818</v>
      </c>
      <c r="G604" t="str">
        <f>'Raw Data bck'!F604&amp;"/USD"</f>
        <v>AUD/USD</v>
      </c>
      <c r="H604" s="15">
        <v>204.04</v>
      </c>
      <c r="I604" s="11" t="s">
        <v>819</v>
      </c>
      <c r="J604" s="13">
        <f>IF(I604="Open",H604,IF(I604="Paid",0,"N/A"))</f>
        <v>204.04</v>
      </c>
      <c r="L604" t="s">
        <v>822</v>
      </c>
    </row>
    <row r="605" spans="1:12" x14ac:dyDescent="0.35">
      <c r="A605" t="s">
        <v>612</v>
      </c>
      <c r="B605" t="s">
        <v>810</v>
      </c>
      <c r="C605" s="9">
        <v>45625</v>
      </c>
      <c r="D605" s="9">
        <v>45655</v>
      </c>
      <c r="E605">
        <v>1373.89</v>
      </c>
      <c r="F605" t="s">
        <v>817</v>
      </c>
      <c r="G605" t="str">
        <f>'Raw Data bck'!F605&amp;"/USD"</f>
        <v>USD/USD</v>
      </c>
      <c r="H605" s="16">
        <v>1373.89</v>
      </c>
      <c r="I605" s="11" t="s">
        <v>820</v>
      </c>
      <c r="J605" s="13" t="str">
        <f>IF(I605="Open",H605,IF(I605="Paid",0,"N/A"))</f>
        <v>N/A</v>
      </c>
      <c r="L605" t="s">
        <v>822</v>
      </c>
    </row>
    <row r="606" spans="1:12" x14ac:dyDescent="0.35">
      <c r="A606" t="s">
        <v>613</v>
      </c>
      <c r="B606" t="s">
        <v>809</v>
      </c>
      <c r="C606" s="9">
        <v>45794</v>
      </c>
      <c r="D606" s="9">
        <v>45824</v>
      </c>
      <c r="E606">
        <v>1032.8399999999999</v>
      </c>
      <c r="F606" t="s">
        <v>817</v>
      </c>
      <c r="G606" t="str">
        <f>'Raw Data bck'!F606&amp;"/USD"</f>
        <v>USD/USD</v>
      </c>
      <c r="H606" s="16">
        <v>1032.8399999999999</v>
      </c>
      <c r="I606" s="11" t="s">
        <v>820</v>
      </c>
      <c r="J606" s="13" t="str">
        <f>IF(I606="Open",H606,IF(I606="Paid",0,"N/A"))</f>
        <v>N/A</v>
      </c>
      <c r="L606" t="s">
        <v>822</v>
      </c>
    </row>
    <row r="607" spans="1:12" x14ac:dyDescent="0.35">
      <c r="A607" t="s">
        <v>614</v>
      </c>
      <c r="B607" t="s">
        <v>811</v>
      </c>
      <c r="C607" s="9">
        <v>45623</v>
      </c>
      <c r="D607" s="9">
        <v>45653</v>
      </c>
      <c r="E607">
        <v>389.67</v>
      </c>
      <c r="F607" t="s">
        <v>816</v>
      </c>
      <c r="G607" t="str">
        <f>'Raw Data bck'!F607&amp;"/USD"</f>
        <v>GBP/USD</v>
      </c>
      <c r="H607" s="16">
        <v>529.48</v>
      </c>
      <c r="I607" s="11" t="s">
        <v>820</v>
      </c>
      <c r="J607" s="13" t="str">
        <f>IF(I607="Open",H607,IF(I607="Paid",0,"N/A"))</f>
        <v>N/A</v>
      </c>
      <c r="L607" t="s">
        <v>822</v>
      </c>
    </row>
    <row r="608" spans="1:12" x14ac:dyDescent="0.35">
      <c r="A608" t="s">
        <v>615</v>
      </c>
      <c r="B608" t="s">
        <v>809</v>
      </c>
      <c r="C608" s="9">
        <v>44988</v>
      </c>
      <c r="D608" s="9">
        <v>45018</v>
      </c>
      <c r="E608">
        <v>3748.86</v>
      </c>
      <c r="F608" t="s">
        <v>814</v>
      </c>
      <c r="G608" t="str">
        <f>'Raw Data bck'!F608&amp;"/USD"</f>
        <v>EUR/USD</v>
      </c>
      <c r="H608" s="16">
        <v>4365.17</v>
      </c>
      <c r="I608" s="11" t="s">
        <v>820</v>
      </c>
      <c r="J608" s="13" t="str">
        <f>IF(I608="Open",H608,IF(I608="Paid",0,"N/A"))</f>
        <v>N/A</v>
      </c>
      <c r="L608" t="s">
        <v>822</v>
      </c>
    </row>
    <row r="609" spans="1:12" x14ac:dyDescent="0.35">
      <c r="A609" t="s">
        <v>616</v>
      </c>
      <c r="B609" t="s">
        <v>813</v>
      </c>
      <c r="C609" s="9">
        <v>45635</v>
      </c>
      <c r="D609" s="9">
        <v>45665</v>
      </c>
      <c r="E609">
        <v>4546.88</v>
      </c>
      <c r="F609" t="s">
        <v>817</v>
      </c>
      <c r="G609" t="str">
        <f>'Raw Data bck'!F609&amp;"/USD"</f>
        <v>USD/USD</v>
      </c>
      <c r="H609" s="15">
        <v>4546.88</v>
      </c>
      <c r="I609" s="11" t="s">
        <v>819</v>
      </c>
      <c r="J609" s="13">
        <f>IF(I609="Open",H609,IF(I609="Paid",0,"N/A"))</f>
        <v>4546.88</v>
      </c>
      <c r="L609" t="s">
        <v>822</v>
      </c>
    </row>
    <row r="610" spans="1:12" x14ac:dyDescent="0.35">
      <c r="A610" t="s">
        <v>617</v>
      </c>
      <c r="B610" t="s">
        <v>812</v>
      </c>
      <c r="C610" s="9">
        <v>45299</v>
      </c>
      <c r="D610" s="9">
        <v>45329</v>
      </c>
      <c r="E610">
        <v>3439.51</v>
      </c>
      <c r="F610" t="s">
        <v>818</v>
      </c>
      <c r="G610" t="str">
        <f>'Raw Data bck'!F610&amp;"/USD"</f>
        <v>AUD/USD</v>
      </c>
      <c r="H610" s="16">
        <v>2475.42</v>
      </c>
      <c r="I610" s="11" t="s">
        <v>820</v>
      </c>
      <c r="J610" s="13" t="str">
        <f>IF(I610="Open",H610,IF(I610="Paid",0,"N/A"))</f>
        <v>N/A</v>
      </c>
      <c r="L610" t="s">
        <v>822</v>
      </c>
    </row>
    <row r="611" spans="1:12" x14ac:dyDescent="0.35">
      <c r="A611" t="s">
        <v>618</v>
      </c>
      <c r="B611" t="s">
        <v>813</v>
      </c>
      <c r="C611" s="9">
        <v>44976</v>
      </c>
      <c r="D611" s="9">
        <v>45006</v>
      </c>
      <c r="E611">
        <v>3319.57</v>
      </c>
      <c r="F611" t="s">
        <v>816</v>
      </c>
      <c r="G611" t="str">
        <f>'Raw Data bck'!F611&amp;"/USD"</f>
        <v>GBP/USD</v>
      </c>
      <c r="H611" s="15">
        <v>4510.63</v>
      </c>
      <c r="I611" s="11" t="s">
        <v>819</v>
      </c>
      <c r="J611" s="13">
        <f>IF(I611="Open",H611,IF(I611="Paid",0,"N/A"))</f>
        <v>4510.63</v>
      </c>
      <c r="L611" t="s">
        <v>822</v>
      </c>
    </row>
    <row r="612" spans="1:12" x14ac:dyDescent="0.35">
      <c r="A612" t="s">
        <v>619</v>
      </c>
      <c r="B612" t="s">
        <v>812</v>
      </c>
      <c r="C612" s="9">
        <v>44929</v>
      </c>
      <c r="D612" s="9">
        <v>44959</v>
      </c>
      <c r="E612">
        <v>3057.93</v>
      </c>
      <c r="F612" t="s">
        <v>815</v>
      </c>
      <c r="G612" t="str">
        <f>'Raw Data bck'!F612&amp;"/USD"</f>
        <v>CAD/USD</v>
      </c>
      <c r="H612" s="15">
        <v>2207.83</v>
      </c>
      <c r="I612" s="11" t="s">
        <v>821</v>
      </c>
      <c r="J612" s="13">
        <f>IF(I612="Open",H612,IF(I612="Paid",0,"N/A"))</f>
        <v>0</v>
      </c>
      <c r="K612" s="4">
        <v>44959</v>
      </c>
      <c r="L612" t="s">
        <v>822</v>
      </c>
    </row>
    <row r="613" spans="1:12" x14ac:dyDescent="0.35">
      <c r="A613" t="s">
        <v>620</v>
      </c>
      <c r="B613" t="s">
        <v>811</v>
      </c>
      <c r="C613" s="9">
        <v>45495</v>
      </c>
      <c r="D613" s="9">
        <v>45525</v>
      </c>
      <c r="E613">
        <v>1043.05</v>
      </c>
      <c r="F613" t="s">
        <v>818</v>
      </c>
      <c r="G613" t="str">
        <f>'Raw Data bck'!F613&amp;"/USD"</f>
        <v>AUD/USD</v>
      </c>
      <c r="H613" s="16">
        <v>750.68</v>
      </c>
      <c r="I613" s="11" t="s">
        <v>820</v>
      </c>
      <c r="J613" s="13" t="str">
        <f>IF(I613="Open",H613,IF(I613="Paid",0,"N/A"))</f>
        <v>N/A</v>
      </c>
      <c r="L613" t="s">
        <v>822</v>
      </c>
    </row>
    <row r="614" spans="1:12" x14ac:dyDescent="0.35">
      <c r="A614" t="s">
        <v>621</v>
      </c>
      <c r="B614" t="s">
        <v>812</v>
      </c>
      <c r="C614" s="9">
        <v>45401</v>
      </c>
      <c r="D614" s="9">
        <v>45431</v>
      </c>
      <c r="E614">
        <v>1216.7</v>
      </c>
      <c r="F614" t="s">
        <v>816</v>
      </c>
      <c r="G614" t="str">
        <f>'Raw Data bck'!F614&amp;"/USD"</f>
        <v>GBP/USD</v>
      </c>
      <c r="H614" s="15">
        <v>1653.25</v>
      </c>
      <c r="I614" s="11" t="s">
        <v>819</v>
      </c>
      <c r="J614" s="13">
        <f>IF(I614="Open",H614,IF(I614="Paid",0,"N/A"))</f>
        <v>1653.25</v>
      </c>
      <c r="L614" t="s">
        <v>822</v>
      </c>
    </row>
    <row r="615" spans="1:12" x14ac:dyDescent="0.35">
      <c r="A615" t="s">
        <v>622</v>
      </c>
      <c r="B615" t="s">
        <v>813</v>
      </c>
      <c r="C615" s="9">
        <v>45085</v>
      </c>
      <c r="D615" s="9">
        <v>45115</v>
      </c>
      <c r="E615">
        <v>1242.77</v>
      </c>
      <c r="F615" t="s">
        <v>818</v>
      </c>
      <c r="G615" t="str">
        <f>'Raw Data bck'!F615&amp;"/USD"</f>
        <v>AUD/USD</v>
      </c>
      <c r="H615" s="15">
        <v>894.42</v>
      </c>
      <c r="I615" s="11" t="s">
        <v>819</v>
      </c>
      <c r="J615" s="13">
        <f>IF(I615="Open",H615,IF(I615="Paid",0,"N/A"))</f>
        <v>894.42</v>
      </c>
      <c r="L615" t="s">
        <v>822</v>
      </c>
    </row>
    <row r="616" spans="1:12" x14ac:dyDescent="0.35">
      <c r="A616" t="s">
        <v>623</v>
      </c>
      <c r="B616" t="s">
        <v>812</v>
      </c>
      <c r="C616" s="9">
        <v>44943</v>
      </c>
      <c r="D616" s="9">
        <v>44973</v>
      </c>
      <c r="E616">
        <v>1253.18</v>
      </c>
      <c r="F616" t="s">
        <v>814</v>
      </c>
      <c r="G616" t="str">
        <f>'Raw Data bck'!F616&amp;"/USD"</f>
        <v>EUR/USD</v>
      </c>
      <c r="H616" s="15">
        <v>1459.2</v>
      </c>
      <c r="I616" s="11" t="s">
        <v>819</v>
      </c>
      <c r="J616" s="13">
        <f>IF(I616="Open",H616,IF(I616="Paid",0,"N/A"))</f>
        <v>1459.2</v>
      </c>
      <c r="L616" t="s">
        <v>822</v>
      </c>
    </row>
    <row r="617" spans="1:12" x14ac:dyDescent="0.35">
      <c r="A617" t="s">
        <v>624</v>
      </c>
      <c r="B617" t="s">
        <v>811</v>
      </c>
      <c r="C617" s="9">
        <v>45278</v>
      </c>
      <c r="D617" s="9">
        <v>45308</v>
      </c>
      <c r="E617">
        <v>1423.03</v>
      </c>
      <c r="F617" t="s">
        <v>816</v>
      </c>
      <c r="G617" t="str">
        <f>'Raw Data bck'!F617&amp;"/USD"</f>
        <v>GBP/USD</v>
      </c>
      <c r="H617" s="15">
        <v>1933.61</v>
      </c>
      <c r="I617" s="11" t="s">
        <v>819</v>
      </c>
      <c r="J617" s="13">
        <f>IF(I617="Open",H617,IF(I617="Paid",0,"N/A"))</f>
        <v>1933.61</v>
      </c>
      <c r="L617" t="s">
        <v>822</v>
      </c>
    </row>
    <row r="618" spans="1:12" x14ac:dyDescent="0.35">
      <c r="A618" t="s">
        <v>625</v>
      </c>
      <c r="B618" t="s">
        <v>812</v>
      </c>
      <c r="C618" s="9">
        <v>44940</v>
      </c>
      <c r="D618" s="9">
        <v>44970</v>
      </c>
      <c r="E618">
        <v>908.37</v>
      </c>
      <c r="F618" t="s">
        <v>814</v>
      </c>
      <c r="G618" t="str">
        <f>'Raw Data bck'!F618&amp;"/USD"</f>
        <v>EUR/USD</v>
      </c>
      <c r="H618" s="15">
        <v>1057.71</v>
      </c>
      <c r="I618" s="11" t="s">
        <v>821</v>
      </c>
      <c r="J618" s="13">
        <f>IF(I618="Open",H618,IF(I618="Paid",0,"N/A"))</f>
        <v>0</v>
      </c>
      <c r="K618" s="4">
        <v>44970</v>
      </c>
      <c r="L618" t="s">
        <v>822</v>
      </c>
    </row>
    <row r="619" spans="1:12" x14ac:dyDescent="0.35">
      <c r="A619" t="s">
        <v>626</v>
      </c>
      <c r="B619" t="s">
        <v>809</v>
      </c>
      <c r="C619" s="9">
        <v>45607</v>
      </c>
      <c r="D619" s="9">
        <v>45637</v>
      </c>
      <c r="E619">
        <v>4103.24</v>
      </c>
      <c r="F619" t="s">
        <v>816</v>
      </c>
      <c r="G619" t="str">
        <f>'Raw Data bck'!F619&amp;"/USD"</f>
        <v>GBP/USD</v>
      </c>
      <c r="H619" s="15">
        <v>5575.48</v>
      </c>
      <c r="I619" s="11" t="s">
        <v>819</v>
      </c>
      <c r="J619" s="13">
        <f>IF(I619="Open",H619,IF(I619="Paid",0,"N/A"))</f>
        <v>5575.48</v>
      </c>
      <c r="L619" t="s">
        <v>822</v>
      </c>
    </row>
    <row r="620" spans="1:12" x14ac:dyDescent="0.35">
      <c r="A620" t="s">
        <v>627</v>
      </c>
      <c r="B620" t="s">
        <v>812</v>
      </c>
      <c r="C620" s="9">
        <v>45591</v>
      </c>
      <c r="D620" s="9">
        <v>45621</v>
      </c>
      <c r="E620">
        <v>2557.84</v>
      </c>
      <c r="F620" t="s">
        <v>816</v>
      </c>
      <c r="G620" t="str">
        <f>'Raw Data bck'!F620&amp;"/USD"</f>
        <v>GBP/USD</v>
      </c>
      <c r="H620" s="16">
        <v>3475.59</v>
      </c>
      <c r="I620" s="11" t="s">
        <v>820</v>
      </c>
      <c r="J620" s="13" t="str">
        <f>IF(I620="Open",H620,IF(I620="Paid",0,"N/A"))</f>
        <v>N/A</v>
      </c>
      <c r="L620" t="s">
        <v>822</v>
      </c>
    </row>
    <row r="621" spans="1:12" x14ac:dyDescent="0.35">
      <c r="A621" t="s">
        <v>628</v>
      </c>
      <c r="B621" t="s">
        <v>810</v>
      </c>
      <c r="C621" s="9">
        <v>44927</v>
      </c>
      <c r="D621" s="9">
        <v>44957</v>
      </c>
      <c r="E621">
        <v>4192.79</v>
      </c>
      <c r="F621" t="s">
        <v>818</v>
      </c>
      <c r="G621" t="str">
        <f>'Raw Data bck'!F621&amp;"/USD"</f>
        <v>AUD/USD</v>
      </c>
      <c r="H621" s="16">
        <v>3017.55</v>
      </c>
      <c r="I621" s="11" t="s">
        <v>820</v>
      </c>
      <c r="J621" s="13" t="str">
        <f>IF(I621="Open",H621,IF(I621="Paid",0,"N/A"))</f>
        <v>N/A</v>
      </c>
      <c r="L621" t="s">
        <v>822</v>
      </c>
    </row>
    <row r="622" spans="1:12" x14ac:dyDescent="0.35">
      <c r="A622" t="s">
        <v>629</v>
      </c>
      <c r="B622" t="s">
        <v>811</v>
      </c>
      <c r="C622" s="9">
        <v>45605</v>
      </c>
      <c r="D622" s="9">
        <v>45635</v>
      </c>
      <c r="E622">
        <v>2144.7199999999998</v>
      </c>
      <c r="F622" t="s">
        <v>818</v>
      </c>
      <c r="G622" t="str">
        <f>'Raw Data bck'!F622&amp;"/USD"</f>
        <v>AUD/USD</v>
      </c>
      <c r="H622" s="16">
        <v>1543.55</v>
      </c>
      <c r="I622" s="11" t="s">
        <v>820</v>
      </c>
      <c r="J622" s="13" t="str">
        <f>IF(I622="Open",H622,IF(I622="Paid",0,"N/A"))</f>
        <v>N/A</v>
      </c>
      <c r="L622" t="s">
        <v>822</v>
      </c>
    </row>
    <row r="623" spans="1:12" x14ac:dyDescent="0.35">
      <c r="A623" t="s">
        <v>630</v>
      </c>
      <c r="B623" t="s">
        <v>811</v>
      </c>
      <c r="C623" s="9">
        <v>45604</v>
      </c>
      <c r="D623" s="9">
        <v>45634</v>
      </c>
      <c r="E623">
        <v>669.43</v>
      </c>
      <c r="F623" t="s">
        <v>817</v>
      </c>
      <c r="G623" t="str">
        <f>'Raw Data bck'!F623&amp;"/USD"</f>
        <v>USD/USD</v>
      </c>
      <c r="H623" s="15">
        <v>669.43</v>
      </c>
      <c r="I623" s="11" t="s">
        <v>819</v>
      </c>
      <c r="J623" s="13">
        <f>IF(I623="Open",H623,IF(I623="Paid",0,"N/A"))</f>
        <v>669.43</v>
      </c>
      <c r="L623" t="s">
        <v>822</v>
      </c>
    </row>
    <row r="624" spans="1:12" x14ac:dyDescent="0.35">
      <c r="A624" t="s">
        <v>631</v>
      </c>
      <c r="B624" t="s">
        <v>809</v>
      </c>
      <c r="C624" s="9">
        <v>45717</v>
      </c>
      <c r="D624" s="9">
        <v>45747</v>
      </c>
      <c r="E624">
        <v>2583.87</v>
      </c>
      <c r="F624" t="s">
        <v>818</v>
      </c>
      <c r="G624" t="str">
        <f>'Raw Data bck'!F624&amp;"/USD"</f>
        <v>AUD/USD</v>
      </c>
      <c r="H624" s="15">
        <v>1859.61</v>
      </c>
      <c r="I624" s="11" t="s">
        <v>821</v>
      </c>
      <c r="J624" s="13">
        <f>IF(I624="Open",H624,IF(I624="Paid",0,"N/A"))</f>
        <v>0</v>
      </c>
      <c r="K624" s="4">
        <v>45747</v>
      </c>
      <c r="L624" t="s">
        <v>822</v>
      </c>
    </row>
    <row r="625" spans="1:12" x14ac:dyDescent="0.35">
      <c r="A625" t="s">
        <v>632</v>
      </c>
      <c r="B625" t="s">
        <v>810</v>
      </c>
      <c r="C625" s="9">
        <v>45683</v>
      </c>
      <c r="D625" s="9">
        <v>45713</v>
      </c>
      <c r="E625">
        <v>2870.13</v>
      </c>
      <c r="F625" t="s">
        <v>816</v>
      </c>
      <c r="G625" t="str">
        <f>'Raw Data bck'!F625&amp;"/USD"</f>
        <v>GBP/USD</v>
      </c>
      <c r="H625" s="15">
        <v>3899.93</v>
      </c>
      <c r="I625" s="11" t="s">
        <v>819</v>
      </c>
      <c r="J625" s="13">
        <f>IF(I625="Open",H625,IF(I625="Paid",0,"N/A"))</f>
        <v>3899.93</v>
      </c>
      <c r="L625" t="s">
        <v>822</v>
      </c>
    </row>
    <row r="626" spans="1:12" x14ac:dyDescent="0.35">
      <c r="A626" t="s">
        <v>633</v>
      </c>
      <c r="B626" t="s">
        <v>812</v>
      </c>
      <c r="C626" s="9">
        <v>45748</v>
      </c>
      <c r="D626" s="9">
        <v>45778</v>
      </c>
      <c r="E626">
        <v>308.64</v>
      </c>
      <c r="F626" t="s">
        <v>815</v>
      </c>
      <c r="G626" t="str">
        <f>'Raw Data bck'!F626&amp;"/USD"</f>
        <v>CAD/USD</v>
      </c>
      <c r="H626" s="15">
        <v>222.84</v>
      </c>
      <c r="I626" s="11" t="s">
        <v>819</v>
      </c>
      <c r="J626" s="13">
        <f>IF(I626="Open",H626,IF(I626="Paid",0,"N/A"))</f>
        <v>222.84</v>
      </c>
      <c r="L626" t="s">
        <v>822</v>
      </c>
    </row>
    <row r="627" spans="1:12" x14ac:dyDescent="0.35">
      <c r="A627" t="s">
        <v>634</v>
      </c>
      <c r="B627" t="s">
        <v>810</v>
      </c>
      <c r="C627" s="9">
        <v>45542</v>
      </c>
      <c r="D627" s="9">
        <v>45572</v>
      </c>
      <c r="E627">
        <v>754.61</v>
      </c>
      <c r="F627" t="s">
        <v>817</v>
      </c>
      <c r="G627" t="str">
        <f>'Raw Data bck'!F627&amp;"/USD"</f>
        <v>USD/USD</v>
      </c>
      <c r="H627" s="15">
        <v>754.61</v>
      </c>
      <c r="I627" s="11" t="s">
        <v>821</v>
      </c>
      <c r="J627" s="13">
        <f>IF(I627="Open",H627,IF(I627="Paid",0,"N/A"))</f>
        <v>0</v>
      </c>
      <c r="K627" s="4">
        <v>45572</v>
      </c>
      <c r="L627" t="s">
        <v>822</v>
      </c>
    </row>
    <row r="628" spans="1:12" x14ac:dyDescent="0.35">
      <c r="A628" t="s">
        <v>635</v>
      </c>
      <c r="B628" t="s">
        <v>812</v>
      </c>
      <c r="C628" s="9">
        <v>45799</v>
      </c>
      <c r="D628" s="9">
        <v>45829</v>
      </c>
      <c r="E628">
        <v>1564.86</v>
      </c>
      <c r="F628" t="s">
        <v>814</v>
      </c>
      <c r="G628" t="str">
        <f>'Raw Data bck'!F628&amp;"/USD"</f>
        <v>EUR/USD</v>
      </c>
      <c r="H628" s="15">
        <v>1822.12</v>
      </c>
      <c r="I628" s="11" t="s">
        <v>819</v>
      </c>
      <c r="J628" s="13">
        <f>IF(I628="Open",H628,IF(I628="Paid",0,"N/A"))</f>
        <v>1822.12</v>
      </c>
      <c r="L628" t="s">
        <v>822</v>
      </c>
    </row>
    <row r="629" spans="1:12" x14ac:dyDescent="0.35">
      <c r="A629" t="s">
        <v>636</v>
      </c>
      <c r="B629" t="s">
        <v>810</v>
      </c>
      <c r="C629" s="9">
        <v>44941</v>
      </c>
      <c r="D629" s="9">
        <v>44971</v>
      </c>
      <c r="E629">
        <v>2205.11</v>
      </c>
      <c r="F629" t="s">
        <v>816</v>
      </c>
      <c r="G629" t="str">
        <f>'Raw Data bck'!F629&amp;"/USD"</f>
        <v>GBP/USD</v>
      </c>
      <c r="H629" s="16">
        <v>2996.3</v>
      </c>
      <c r="I629" s="11" t="s">
        <v>820</v>
      </c>
      <c r="J629" s="13" t="str">
        <f>IF(I629="Open",H629,IF(I629="Paid",0,"N/A"))</f>
        <v>N/A</v>
      </c>
      <c r="L629" t="s">
        <v>822</v>
      </c>
    </row>
    <row r="630" spans="1:12" x14ac:dyDescent="0.35">
      <c r="A630" t="s">
        <v>637</v>
      </c>
      <c r="B630" t="s">
        <v>812</v>
      </c>
      <c r="C630" s="9">
        <v>45421</v>
      </c>
      <c r="D630" s="9">
        <v>45451</v>
      </c>
      <c r="E630">
        <v>562.79999999999995</v>
      </c>
      <c r="F630" t="s">
        <v>816</v>
      </c>
      <c r="G630" t="str">
        <f>'Raw Data bck'!F630&amp;"/USD"</f>
        <v>GBP/USD</v>
      </c>
      <c r="H630" s="16">
        <v>764.73</v>
      </c>
      <c r="I630" s="11" t="s">
        <v>820</v>
      </c>
      <c r="J630" s="13" t="str">
        <f>IF(I630="Open",H630,IF(I630="Paid",0,"N/A"))</f>
        <v>N/A</v>
      </c>
      <c r="L630" t="s">
        <v>822</v>
      </c>
    </row>
    <row r="631" spans="1:12" x14ac:dyDescent="0.35">
      <c r="A631" t="s">
        <v>638</v>
      </c>
      <c r="B631" t="s">
        <v>809</v>
      </c>
      <c r="C631" s="9">
        <v>44987</v>
      </c>
      <c r="D631" s="9">
        <v>45017</v>
      </c>
      <c r="E631">
        <v>3911.54</v>
      </c>
      <c r="F631" t="s">
        <v>817</v>
      </c>
      <c r="G631" t="str">
        <f>'Raw Data bck'!F631&amp;"/USD"</f>
        <v>USD/USD</v>
      </c>
      <c r="H631" s="16">
        <v>3911.54</v>
      </c>
      <c r="I631" s="11" t="s">
        <v>820</v>
      </c>
      <c r="J631" s="13" t="str">
        <f>IF(I631="Open",H631,IF(I631="Paid",0,"N/A"))</f>
        <v>N/A</v>
      </c>
      <c r="L631" t="s">
        <v>822</v>
      </c>
    </row>
    <row r="632" spans="1:12" x14ac:dyDescent="0.35">
      <c r="A632" t="s">
        <v>639</v>
      </c>
      <c r="B632" t="s">
        <v>813</v>
      </c>
      <c r="C632" s="9">
        <v>45836</v>
      </c>
      <c r="D632" s="9">
        <v>45866</v>
      </c>
      <c r="E632">
        <v>3891.61</v>
      </c>
      <c r="F632" t="s">
        <v>815</v>
      </c>
      <c r="G632" t="str">
        <f>'Raw Data bck'!F632&amp;"/USD"</f>
        <v>CAD/USD</v>
      </c>
      <c r="H632" s="16">
        <v>2809.74</v>
      </c>
      <c r="I632" s="11" t="s">
        <v>820</v>
      </c>
      <c r="J632" s="13" t="str">
        <f>IF(I632="Open",H632,IF(I632="Paid",0,"N/A"))</f>
        <v>N/A</v>
      </c>
      <c r="L632" t="s">
        <v>822</v>
      </c>
    </row>
    <row r="633" spans="1:12" x14ac:dyDescent="0.35">
      <c r="A633" t="s">
        <v>640</v>
      </c>
      <c r="B633" t="s">
        <v>811</v>
      </c>
      <c r="C633" s="9">
        <v>44972</v>
      </c>
      <c r="D633" s="9">
        <v>45002</v>
      </c>
      <c r="E633">
        <v>2302.46</v>
      </c>
      <c r="F633" t="s">
        <v>816</v>
      </c>
      <c r="G633" t="str">
        <f>'Raw Data bck'!F633&amp;"/USD"</f>
        <v>GBP/USD</v>
      </c>
      <c r="H633" s="15">
        <v>3128.58</v>
      </c>
      <c r="I633" s="11" t="s">
        <v>819</v>
      </c>
      <c r="J633" s="13">
        <f>IF(I633="Open",H633,IF(I633="Paid",0,"N/A"))</f>
        <v>3128.58</v>
      </c>
      <c r="L633" t="s">
        <v>822</v>
      </c>
    </row>
    <row r="634" spans="1:12" x14ac:dyDescent="0.35">
      <c r="A634" t="s">
        <v>641</v>
      </c>
      <c r="B634" t="s">
        <v>812</v>
      </c>
      <c r="C634" s="9">
        <v>45388</v>
      </c>
      <c r="D634" s="9">
        <v>45418</v>
      </c>
      <c r="E634">
        <v>3723.61</v>
      </c>
      <c r="F634" t="s">
        <v>817</v>
      </c>
      <c r="G634" t="str">
        <f>'Raw Data bck'!F634&amp;"/USD"</f>
        <v>USD/USD</v>
      </c>
      <c r="H634" s="15">
        <v>3723.61</v>
      </c>
      <c r="I634" s="11" t="s">
        <v>819</v>
      </c>
      <c r="J634" s="13">
        <f>IF(I634="Open",H634,IF(I634="Paid",0,"N/A"))</f>
        <v>3723.61</v>
      </c>
      <c r="L634" t="s">
        <v>822</v>
      </c>
    </row>
    <row r="635" spans="1:12" x14ac:dyDescent="0.35">
      <c r="A635" t="s">
        <v>642</v>
      </c>
      <c r="B635" t="s">
        <v>809</v>
      </c>
      <c r="C635" s="9">
        <v>45348</v>
      </c>
      <c r="D635" s="9">
        <v>45378</v>
      </c>
      <c r="E635">
        <v>2892.87</v>
      </c>
      <c r="F635" t="s">
        <v>814</v>
      </c>
      <c r="G635" t="str">
        <f>'Raw Data bck'!F635&amp;"/USD"</f>
        <v>EUR/USD</v>
      </c>
      <c r="H635" s="15">
        <v>3368.46</v>
      </c>
      <c r="I635" s="11" t="s">
        <v>819</v>
      </c>
      <c r="J635" s="13">
        <f>IF(I635="Open",H635,IF(I635="Paid",0,"N/A"))</f>
        <v>3368.46</v>
      </c>
      <c r="L635" t="s">
        <v>822</v>
      </c>
    </row>
    <row r="636" spans="1:12" x14ac:dyDescent="0.35">
      <c r="A636" t="s">
        <v>643</v>
      </c>
      <c r="B636" t="s">
        <v>811</v>
      </c>
      <c r="C636" s="9">
        <v>45650</v>
      </c>
      <c r="D636" s="9">
        <v>45680</v>
      </c>
      <c r="E636">
        <v>2261.7399999999998</v>
      </c>
      <c r="F636" t="s">
        <v>816</v>
      </c>
      <c r="G636" t="str">
        <f>'Raw Data bck'!F636&amp;"/USD"</f>
        <v>GBP/USD</v>
      </c>
      <c r="H636" s="15">
        <v>3073.25</v>
      </c>
      <c r="I636" s="11" t="s">
        <v>819</v>
      </c>
      <c r="J636" s="13">
        <f>IF(I636="Open",H636,IF(I636="Paid",0,"N/A"))</f>
        <v>3073.25</v>
      </c>
      <c r="L636" t="s">
        <v>822</v>
      </c>
    </row>
    <row r="637" spans="1:12" x14ac:dyDescent="0.35">
      <c r="A637" t="s">
        <v>644</v>
      </c>
      <c r="B637" t="s">
        <v>812</v>
      </c>
      <c r="C637" s="9">
        <v>45361</v>
      </c>
      <c r="D637" s="9">
        <v>45391</v>
      </c>
      <c r="E637">
        <v>3900.62</v>
      </c>
      <c r="F637" t="s">
        <v>818</v>
      </c>
      <c r="G637" t="str">
        <f>'Raw Data bck'!F637&amp;"/USD"</f>
        <v>AUD/USD</v>
      </c>
      <c r="H637" s="16">
        <v>2807.28</v>
      </c>
      <c r="I637" s="11" t="s">
        <v>820</v>
      </c>
      <c r="J637" s="13" t="str">
        <f>IF(I637="Open",H637,IF(I637="Paid",0,"N/A"))</f>
        <v>N/A</v>
      </c>
      <c r="L637" t="s">
        <v>822</v>
      </c>
    </row>
    <row r="638" spans="1:12" x14ac:dyDescent="0.35">
      <c r="A638" t="s">
        <v>645</v>
      </c>
      <c r="B638" t="s">
        <v>812</v>
      </c>
      <c r="C638" s="9">
        <v>45419</v>
      </c>
      <c r="D638" s="9">
        <v>45449</v>
      </c>
      <c r="E638">
        <v>4377.2</v>
      </c>
      <c r="F638" t="s">
        <v>816</v>
      </c>
      <c r="G638" t="str">
        <f>'Raw Data bck'!F638&amp;"/USD"</f>
        <v>GBP/USD</v>
      </c>
      <c r="H638" s="15">
        <v>5947.74</v>
      </c>
      <c r="I638" s="11" t="s">
        <v>819</v>
      </c>
      <c r="J638" s="13">
        <f>IF(I638="Open",H638,IF(I638="Paid",0,"N/A"))</f>
        <v>5947.74</v>
      </c>
      <c r="L638" t="s">
        <v>822</v>
      </c>
    </row>
    <row r="639" spans="1:12" x14ac:dyDescent="0.35">
      <c r="A639" t="s">
        <v>646</v>
      </c>
      <c r="B639" t="s">
        <v>813</v>
      </c>
      <c r="C639" s="9">
        <v>45670</v>
      </c>
      <c r="D639" s="9">
        <v>45700</v>
      </c>
      <c r="E639">
        <v>4656.51</v>
      </c>
      <c r="F639" t="s">
        <v>818</v>
      </c>
      <c r="G639" t="str">
        <f>'Raw Data bck'!F639&amp;"/USD"</f>
        <v>AUD/USD</v>
      </c>
      <c r="H639" s="15">
        <v>3351.29</v>
      </c>
      <c r="I639" s="11" t="s">
        <v>821</v>
      </c>
      <c r="J639" s="13">
        <f>IF(I639="Open",H639,IF(I639="Paid",0,"N/A"))</f>
        <v>0</v>
      </c>
      <c r="K639" s="4">
        <v>45700</v>
      </c>
      <c r="L639" t="s">
        <v>822</v>
      </c>
    </row>
    <row r="640" spans="1:12" x14ac:dyDescent="0.35">
      <c r="A640" t="s">
        <v>647</v>
      </c>
      <c r="B640" t="s">
        <v>811</v>
      </c>
      <c r="C640" s="9">
        <v>45704</v>
      </c>
      <c r="D640" s="9">
        <v>45734</v>
      </c>
      <c r="E640">
        <v>4576.1099999999997</v>
      </c>
      <c r="F640" t="s">
        <v>817</v>
      </c>
      <c r="G640" t="str">
        <f>'Raw Data bck'!F640&amp;"/USD"</f>
        <v>USD/USD</v>
      </c>
      <c r="H640" s="15">
        <v>4576.1099999999997</v>
      </c>
      <c r="I640" s="11" t="s">
        <v>819</v>
      </c>
      <c r="J640" s="13">
        <f>IF(I640="Open",H640,IF(I640="Paid",0,"N/A"))</f>
        <v>4576.1099999999997</v>
      </c>
      <c r="L640" t="s">
        <v>822</v>
      </c>
    </row>
    <row r="641" spans="1:12" x14ac:dyDescent="0.35">
      <c r="A641" t="s">
        <v>648</v>
      </c>
      <c r="B641" t="s">
        <v>812</v>
      </c>
      <c r="C641" s="9">
        <v>45781</v>
      </c>
      <c r="D641" s="9">
        <v>45811</v>
      </c>
      <c r="E641">
        <v>1039.52</v>
      </c>
      <c r="F641" t="s">
        <v>814</v>
      </c>
      <c r="G641" t="str">
        <f>'Raw Data bck'!F641&amp;"/USD"</f>
        <v>EUR/USD</v>
      </c>
      <c r="H641" s="16">
        <v>1210.42</v>
      </c>
      <c r="I641" s="11" t="s">
        <v>820</v>
      </c>
      <c r="J641" s="13" t="str">
        <f>IF(I641="Open",H641,IF(I641="Paid",0,"N/A"))</f>
        <v>N/A</v>
      </c>
      <c r="L641" t="s">
        <v>822</v>
      </c>
    </row>
    <row r="642" spans="1:12" x14ac:dyDescent="0.35">
      <c r="A642" t="s">
        <v>649</v>
      </c>
      <c r="B642" t="s">
        <v>813</v>
      </c>
      <c r="C642" s="9">
        <v>45171</v>
      </c>
      <c r="D642" s="9">
        <v>45201</v>
      </c>
      <c r="E642">
        <v>179.18</v>
      </c>
      <c r="F642" t="s">
        <v>816</v>
      </c>
      <c r="G642" t="str">
        <f>'Raw Data bck'!F642&amp;"/USD"</f>
        <v>GBP/USD</v>
      </c>
      <c r="H642" s="15">
        <v>243.47</v>
      </c>
      <c r="I642" s="11" t="s">
        <v>821</v>
      </c>
      <c r="J642" s="13">
        <f>IF(I642="Open",H642,IF(I642="Paid",0,"N/A"))</f>
        <v>0</v>
      </c>
      <c r="K642" s="4">
        <v>45201</v>
      </c>
      <c r="L642" t="s">
        <v>822</v>
      </c>
    </row>
    <row r="643" spans="1:12" x14ac:dyDescent="0.35">
      <c r="A643" t="s">
        <v>650</v>
      </c>
      <c r="B643" t="s">
        <v>811</v>
      </c>
      <c r="C643" s="9">
        <v>45235</v>
      </c>
      <c r="D643" s="9">
        <v>45265</v>
      </c>
      <c r="E643">
        <v>2198.02</v>
      </c>
      <c r="F643" t="s">
        <v>818</v>
      </c>
      <c r="G643" t="str">
        <f>'Raw Data bck'!F643&amp;"/USD"</f>
        <v>AUD/USD</v>
      </c>
      <c r="H643" s="15">
        <v>1581.91</v>
      </c>
      <c r="I643" s="11" t="s">
        <v>821</v>
      </c>
      <c r="J643" s="13">
        <f>IF(I643="Open",H643,IF(I643="Paid",0,"N/A"))</f>
        <v>0</v>
      </c>
      <c r="K643" s="4">
        <v>45265</v>
      </c>
      <c r="L643" t="s">
        <v>822</v>
      </c>
    </row>
    <row r="644" spans="1:12" x14ac:dyDescent="0.35">
      <c r="A644" t="s">
        <v>651</v>
      </c>
      <c r="B644" t="s">
        <v>810</v>
      </c>
      <c r="C644" s="9">
        <v>45362</v>
      </c>
      <c r="D644" s="9">
        <v>45392</v>
      </c>
      <c r="E644">
        <v>3150.23</v>
      </c>
      <c r="F644" t="s">
        <v>818</v>
      </c>
      <c r="G644" t="str">
        <f>'Raw Data bck'!F644&amp;"/USD"</f>
        <v>AUD/USD</v>
      </c>
      <c r="H644" s="16">
        <v>2267.2199999999998</v>
      </c>
      <c r="I644" s="11" t="s">
        <v>820</v>
      </c>
      <c r="J644" s="13" t="str">
        <f>IF(I644="Open",H644,IF(I644="Paid",0,"N/A"))</f>
        <v>N/A</v>
      </c>
      <c r="L644" t="s">
        <v>822</v>
      </c>
    </row>
    <row r="645" spans="1:12" x14ac:dyDescent="0.35">
      <c r="A645" t="s">
        <v>652</v>
      </c>
      <c r="B645" t="s">
        <v>810</v>
      </c>
      <c r="C645" s="9">
        <v>45236</v>
      </c>
      <c r="D645" s="9">
        <v>45266</v>
      </c>
      <c r="E645">
        <v>4973.37</v>
      </c>
      <c r="F645" t="s">
        <v>818</v>
      </c>
      <c r="G645" t="str">
        <f>'Raw Data bck'!F645&amp;"/USD"</f>
        <v>AUD/USD</v>
      </c>
      <c r="H645" s="16">
        <v>3579.33</v>
      </c>
      <c r="I645" s="11" t="s">
        <v>820</v>
      </c>
      <c r="J645" s="13" t="str">
        <f>IF(I645="Open",H645,IF(I645="Paid",0,"N/A"))</f>
        <v>N/A</v>
      </c>
      <c r="L645" t="s">
        <v>822</v>
      </c>
    </row>
    <row r="646" spans="1:12" x14ac:dyDescent="0.35">
      <c r="A646" t="s">
        <v>653</v>
      </c>
      <c r="B646" t="s">
        <v>811</v>
      </c>
      <c r="C646" s="9">
        <v>45757</v>
      </c>
      <c r="D646" s="9">
        <v>45787</v>
      </c>
      <c r="E646">
        <v>4507.3999999999996</v>
      </c>
      <c r="F646" t="s">
        <v>815</v>
      </c>
      <c r="G646" t="str">
        <f>'Raw Data bck'!F646&amp;"/USD"</f>
        <v>CAD/USD</v>
      </c>
      <c r="H646" s="15">
        <v>3254.34</v>
      </c>
      <c r="I646" s="11" t="s">
        <v>821</v>
      </c>
      <c r="J646" s="13">
        <f>IF(I646="Open",H646,IF(I646="Paid",0,"N/A"))</f>
        <v>0</v>
      </c>
      <c r="K646" s="4">
        <v>45787</v>
      </c>
      <c r="L646" t="s">
        <v>822</v>
      </c>
    </row>
    <row r="647" spans="1:12" x14ac:dyDescent="0.35">
      <c r="A647" t="s">
        <v>654</v>
      </c>
      <c r="B647" t="s">
        <v>809</v>
      </c>
      <c r="C647" s="9">
        <v>45125</v>
      </c>
      <c r="D647" s="9">
        <v>45155</v>
      </c>
      <c r="E647">
        <v>2432.37</v>
      </c>
      <c r="F647" t="s">
        <v>816</v>
      </c>
      <c r="G647" t="str">
        <f>'Raw Data bck'!F647&amp;"/USD"</f>
        <v>GBP/USD</v>
      </c>
      <c r="H647" s="16">
        <v>3305.1</v>
      </c>
      <c r="I647" s="11" t="s">
        <v>820</v>
      </c>
      <c r="J647" s="13" t="str">
        <f>IF(I647="Open",H647,IF(I647="Paid",0,"N/A"))</f>
        <v>N/A</v>
      </c>
      <c r="L647" t="s">
        <v>822</v>
      </c>
    </row>
    <row r="648" spans="1:12" x14ac:dyDescent="0.35">
      <c r="A648" t="s">
        <v>655</v>
      </c>
      <c r="B648" t="s">
        <v>812</v>
      </c>
      <c r="C648" s="9">
        <v>45171</v>
      </c>
      <c r="D648" s="9">
        <v>45201</v>
      </c>
      <c r="E648">
        <v>3421.02</v>
      </c>
      <c r="F648" t="s">
        <v>818</v>
      </c>
      <c r="G648" t="str">
        <f>'Raw Data bck'!F648&amp;"/USD"</f>
        <v>AUD/USD</v>
      </c>
      <c r="H648" s="15">
        <v>2462.11</v>
      </c>
      <c r="I648" s="11" t="s">
        <v>819</v>
      </c>
      <c r="J648" s="13">
        <f>IF(I648="Open",H648,IF(I648="Paid",0,"N/A"))</f>
        <v>2462.11</v>
      </c>
      <c r="L648" t="s">
        <v>822</v>
      </c>
    </row>
    <row r="649" spans="1:12" x14ac:dyDescent="0.35">
      <c r="A649" t="s">
        <v>656</v>
      </c>
      <c r="B649" t="s">
        <v>812</v>
      </c>
      <c r="C649" s="9">
        <v>45146</v>
      </c>
      <c r="D649" s="9">
        <v>45176</v>
      </c>
      <c r="E649">
        <v>223.05</v>
      </c>
      <c r="F649" t="s">
        <v>816</v>
      </c>
      <c r="G649" t="str">
        <f>'Raw Data bck'!F649&amp;"/USD"</f>
        <v>GBP/USD</v>
      </c>
      <c r="H649" s="15">
        <v>303.08</v>
      </c>
      <c r="I649" s="11" t="s">
        <v>821</v>
      </c>
      <c r="J649" s="13">
        <f>IF(I649="Open",H649,IF(I649="Paid",0,"N/A"))</f>
        <v>0</v>
      </c>
      <c r="K649" s="4">
        <v>45176</v>
      </c>
      <c r="L649" t="s">
        <v>822</v>
      </c>
    </row>
    <row r="650" spans="1:12" x14ac:dyDescent="0.35">
      <c r="A650" t="s">
        <v>657</v>
      </c>
      <c r="B650" t="s">
        <v>809</v>
      </c>
      <c r="C650" s="9">
        <v>45455</v>
      </c>
      <c r="D650" s="9">
        <v>45485</v>
      </c>
      <c r="E650">
        <v>599.71</v>
      </c>
      <c r="F650" t="s">
        <v>817</v>
      </c>
      <c r="G650" t="str">
        <f>'Raw Data bck'!F650&amp;"/USD"</f>
        <v>USD/USD</v>
      </c>
      <c r="H650" s="15">
        <v>599.71</v>
      </c>
      <c r="I650" s="11" t="s">
        <v>819</v>
      </c>
      <c r="J650" s="13">
        <f>IF(I650="Open",H650,IF(I650="Paid",0,"N/A"))</f>
        <v>599.71</v>
      </c>
      <c r="L650" t="s">
        <v>822</v>
      </c>
    </row>
    <row r="651" spans="1:12" x14ac:dyDescent="0.35">
      <c r="A651" t="s">
        <v>658</v>
      </c>
      <c r="B651" t="s">
        <v>809</v>
      </c>
      <c r="C651" s="9">
        <v>45029</v>
      </c>
      <c r="D651" s="9">
        <v>45059</v>
      </c>
      <c r="E651">
        <v>4739.08</v>
      </c>
      <c r="F651" t="s">
        <v>814</v>
      </c>
      <c r="G651" t="str">
        <f>'Raw Data bck'!F651&amp;"/USD"</f>
        <v>EUR/USD</v>
      </c>
      <c r="H651" s="16">
        <v>5518.18</v>
      </c>
      <c r="I651" s="11" t="s">
        <v>820</v>
      </c>
      <c r="J651" s="13" t="str">
        <f>IF(I651="Open",H651,IF(I651="Paid",0,"N/A"))</f>
        <v>N/A</v>
      </c>
      <c r="L651" t="s">
        <v>822</v>
      </c>
    </row>
    <row r="652" spans="1:12" x14ac:dyDescent="0.35">
      <c r="A652" t="s">
        <v>659</v>
      </c>
      <c r="B652" t="s">
        <v>811</v>
      </c>
      <c r="C652" s="9">
        <v>45609</v>
      </c>
      <c r="D652" s="9">
        <v>45639</v>
      </c>
      <c r="E652">
        <v>332.35</v>
      </c>
      <c r="F652" t="s">
        <v>818</v>
      </c>
      <c r="G652" t="str">
        <f>'Raw Data bck'!F652&amp;"/USD"</f>
        <v>AUD/USD</v>
      </c>
      <c r="H652" s="16">
        <v>239.19</v>
      </c>
      <c r="I652" s="11" t="s">
        <v>820</v>
      </c>
      <c r="J652" s="13" t="str">
        <f>IF(I652="Open",H652,IF(I652="Paid",0,"N/A"))</f>
        <v>N/A</v>
      </c>
      <c r="L652" t="s">
        <v>822</v>
      </c>
    </row>
    <row r="653" spans="1:12" x14ac:dyDescent="0.35">
      <c r="A653" t="s">
        <v>660</v>
      </c>
      <c r="B653" t="s">
        <v>809</v>
      </c>
      <c r="C653" s="9">
        <v>45475</v>
      </c>
      <c r="D653" s="9">
        <v>45505</v>
      </c>
      <c r="E653">
        <v>4746.3999999999996</v>
      </c>
      <c r="F653" t="s">
        <v>817</v>
      </c>
      <c r="G653" t="str">
        <f>'Raw Data bck'!F653&amp;"/USD"</f>
        <v>USD/USD</v>
      </c>
      <c r="H653" s="15">
        <v>4746.3999999999996</v>
      </c>
      <c r="I653" s="11" t="s">
        <v>821</v>
      </c>
      <c r="J653" s="13">
        <f>IF(I653="Open",H653,IF(I653="Paid",0,"N/A"))</f>
        <v>0</v>
      </c>
      <c r="K653" s="4">
        <v>45505</v>
      </c>
      <c r="L653" t="s">
        <v>822</v>
      </c>
    </row>
    <row r="654" spans="1:12" x14ac:dyDescent="0.35">
      <c r="A654" t="s">
        <v>661</v>
      </c>
      <c r="B654" t="s">
        <v>811</v>
      </c>
      <c r="C654" s="9">
        <v>45113</v>
      </c>
      <c r="D654" s="9">
        <v>45143</v>
      </c>
      <c r="E654">
        <v>4124.6000000000004</v>
      </c>
      <c r="F654" t="s">
        <v>816</v>
      </c>
      <c r="G654" t="str">
        <f>'Raw Data bck'!F654&amp;"/USD"</f>
        <v>GBP/USD</v>
      </c>
      <c r="H654" s="15">
        <v>5604.51</v>
      </c>
      <c r="I654" s="11" t="s">
        <v>819</v>
      </c>
      <c r="J654" s="13">
        <f>IF(I654="Open",H654,IF(I654="Paid",0,"N/A"))</f>
        <v>5604.51</v>
      </c>
      <c r="L654" t="s">
        <v>822</v>
      </c>
    </row>
    <row r="655" spans="1:12" x14ac:dyDescent="0.35">
      <c r="A655" t="s">
        <v>662</v>
      </c>
      <c r="B655" t="s">
        <v>813</v>
      </c>
      <c r="C655" s="9">
        <v>45083</v>
      </c>
      <c r="D655" s="9">
        <v>45113</v>
      </c>
      <c r="E655">
        <v>1630.69</v>
      </c>
      <c r="F655" t="s">
        <v>816</v>
      </c>
      <c r="G655" t="str">
        <f>'Raw Data bck'!F655&amp;"/USD"</f>
        <v>GBP/USD</v>
      </c>
      <c r="H655" s="15">
        <v>2215.7800000000002</v>
      </c>
      <c r="I655" s="11" t="s">
        <v>821</v>
      </c>
      <c r="J655" s="13">
        <f>IF(I655="Open",H655,IF(I655="Paid",0,"N/A"))</f>
        <v>0</v>
      </c>
      <c r="K655" s="4">
        <v>45113</v>
      </c>
      <c r="L655" t="s">
        <v>822</v>
      </c>
    </row>
    <row r="656" spans="1:12" x14ac:dyDescent="0.35">
      <c r="A656" t="s">
        <v>663</v>
      </c>
      <c r="B656" t="s">
        <v>812</v>
      </c>
      <c r="C656" s="9">
        <v>45549</v>
      </c>
      <c r="D656" s="9">
        <v>45579</v>
      </c>
      <c r="E656">
        <v>4643.99</v>
      </c>
      <c r="F656" t="s">
        <v>816</v>
      </c>
      <c r="G656" t="str">
        <f>'Raw Data bck'!F656&amp;"/USD"</f>
        <v>GBP/USD</v>
      </c>
      <c r="H656" s="16">
        <v>6310.25</v>
      </c>
      <c r="I656" s="11" t="s">
        <v>820</v>
      </c>
      <c r="J656" s="13" t="str">
        <f>IF(I656="Open",H656,IF(I656="Paid",0,"N/A"))</f>
        <v>N/A</v>
      </c>
      <c r="L656" t="s">
        <v>822</v>
      </c>
    </row>
    <row r="657" spans="1:12" x14ac:dyDescent="0.35">
      <c r="A657" t="s">
        <v>664</v>
      </c>
      <c r="B657" t="s">
        <v>810</v>
      </c>
      <c r="C657" s="9">
        <v>45198</v>
      </c>
      <c r="D657" s="9">
        <v>45228</v>
      </c>
      <c r="E657">
        <v>121.66</v>
      </c>
      <c r="F657" t="s">
        <v>815</v>
      </c>
      <c r="G657" t="str">
        <f>'Raw Data bck'!F657&amp;"/USD"</f>
        <v>CAD/USD</v>
      </c>
      <c r="H657" s="15">
        <v>87.84</v>
      </c>
      <c r="I657" s="11" t="s">
        <v>819</v>
      </c>
      <c r="J657" s="13">
        <f>IF(I657="Open",H657,IF(I657="Paid",0,"N/A"))</f>
        <v>87.84</v>
      </c>
      <c r="L657" t="s">
        <v>822</v>
      </c>
    </row>
    <row r="658" spans="1:12" x14ac:dyDescent="0.35">
      <c r="A658" t="s">
        <v>665</v>
      </c>
      <c r="B658" t="s">
        <v>811</v>
      </c>
      <c r="C658" s="9">
        <v>45111</v>
      </c>
      <c r="D658" s="9">
        <v>45141</v>
      </c>
      <c r="E658">
        <v>2464.2399999999998</v>
      </c>
      <c r="F658" t="s">
        <v>817</v>
      </c>
      <c r="G658" t="str">
        <f>'Raw Data bck'!F658&amp;"/USD"</f>
        <v>USD/USD</v>
      </c>
      <c r="H658" s="16">
        <v>2464.2399999999998</v>
      </c>
      <c r="I658" s="11" t="s">
        <v>820</v>
      </c>
      <c r="J658" s="13" t="str">
        <f>IF(I658="Open",H658,IF(I658="Paid",0,"N/A"))</f>
        <v>N/A</v>
      </c>
      <c r="L658" t="s">
        <v>822</v>
      </c>
    </row>
    <row r="659" spans="1:12" x14ac:dyDescent="0.35">
      <c r="A659" t="s">
        <v>666</v>
      </c>
      <c r="B659" t="s">
        <v>813</v>
      </c>
      <c r="C659" s="9">
        <v>45271</v>
      </c>
      <c r="D659" s="9">
        <v>45301</v>
      </c>
      <c r="E659">
        <v>4354.51</v>
      </c>
      <c r="F659" t="s">
        <v>816</v>
      </c>
      <c r="G659" t="str">
        <f>'Raw Data bck'!F659&amp;"/USD"</f>
        <v>GBP/USD</v>
      </c>
      <c r="H659" s="16">
        <v>5916.91</v>
      </c>
      <c r="I659" s="11" t="s">
        <v>820</v>
      </c>
      <c r="J659" s="13" t="str">
        <f>IF(I659="Open",H659,IF(I659="Paid",0,"N/A"))</f>
        <v>N/A</v>
      </c>
      <c r="L659" t="s">
        <v>822</v>
      </c>
    </row>
    <row r="660" spans="1:12" x14ac:dyDescent="0.35">
      <c r="A660" t="s">
        <v>667</v>
      </c>
      <c r="B660" t="s">
        <v>813</v>
      </c>
      <c r="C660" s="9">
        <v>45273</v>
      </c>
      <c r="D660" s="9">
        <v>45303</v>
      </c>
      <c r="E660">
        <v>1809.68</v>
      </c>
      <c r="F660" t="s">
        <v>817</v>
      </c>
      <c r="G660" t="str">
        <f>'Raw Data bck'!F660&amp;"/USD"</f>
        <v>USD/USD</v>
      </c>
      <c r="H660" s="16">
        <v>1809.68</v>
      </c>
      <c r="I660" s="11" t="s">
        <v>820</v>
      </c>
      <c r="J660" s="13" t="str">
        <f>IF(I660="Open",H660,IF(I660="Paid",0,"N/A"))</f>
        <v>N/A</v>
      </c>
      <c r="L660" t="s">
        <v>822</v>
      </c>
    </row>
    <row r="661" spans="1:12" x14ac:dyDescent="0.35">
      <c r="A661" t="s">
        <v>668</v>
      </c>
      <c r="B661" t="s">
        <v>813</v>
      </c>
      <c r="C661" s="9">
        <v>45588</v>
      </c>
      <c r="D661" s="9">
        <v>45618</v>
      </c>
      <c r="E661">
        <v>4448.67</v>
      </c>
      <c r="F661" t="s">
        <v>817</v>
      </c>
      <c r="G661" t="str">
        <f>'Raw Data bck'!F661&amp;"/USD"</f>
        <v>USD/USD</v>
      </c>
      <c r="H661" s="15">
        <v>4448.67</v>
      </c>
      <c r="I661" s="11" t="s">
        <v>819</v>
      </c>
      <c r="J661" s="13">
        <f>IF(I661="Open",H661,IF(I661="Paid",0,"N/A"))</f>
        <v>4448.67</v>
      </c>
      <c r="L661" t="s">
        <v>822</v>
      </c>
    </row>
    <row r="662" spans="1:12" x14ac:dyDescent="0.35">
      <c r="A662" t="s">
        <v>669</v>
      </c>
      <c r="B662" t="s">
        <v>810</v>
      </c>
      <c r="C662" s="9">
        <v>45810</v>
      </c>
      <c r="D662" s="9">
        <v>45840</v>
      </c>
      <c r="E662">
        <v>3810.59</v>
      </c>
      <c r="F662" t="s">
        <v>815</v>
      </c>
      <c r="G662" t="str">
        <f>'Raw Data bck'!F662&amp;"/USD"</f>
        <v>CAD/USD</v>
      </c>
      <c r="H662" s="15">
        <v>2751.25</v>
      </c>
      <c r="I662" s="11" t="s">
        <v>821</v>
      </c>
      <c r="J662" s="13">
        <f>IF(I662="Open",H662,IF(I662="Paid",0,"N/A"))</f>
        <v>0</v>
      </c>
      <c r="K662" s="4">
        <v>45840</v>
      </c>
      <c r="L662" t="s">
        <v>822</v>
      </c>
    </row>
    <row r="663" spans="1:12" x14ac:dyDescent="0.35">
      <c r="A663" t="s">
        <v>670</v>
      </c>
      <c r="B663" t="s">
        <v>813</v>
      </c>
      <c r="C663" s="9">
        <v>45433</v>
      </c>
      <c r="D663" s="9">
        <v>45463</v>
      </c>
      <c r="E663">
        <v>4234.42</v>
      </c>
      <c r="F663" t="s">
        <v>818</v>
      </c>
      <c r="G663" t="str">
        <f>'Raw Data bck'!F663&amp;"/USD"</f>
        <v>AUD/USD</v>
      </c>
      <c r="H663" s="15">
        <v>3047.51</v>
      </c>
      <c r="I663" s="11" t="s">
        <v>819</v>
      </c>
      <c r="J663" s="13">
        <f>IF(I663="Open",H663,IF(I663="Paid",0,"N/A"))</f>
        <v>3047.51</v>
      </c>
      <c r="L663" t="s">
        <v>822</v>
      </c>
    </row>
    <row r="664" spans="1:12" x14ac:dyDescent="0.35">
      <c r="A664" t="s">
        <v>671</v>
      </c>
      <c r="B664" t="s">
        <v>809</v>
      </c>
      <c r="C664" s="9">
        <v>45321</v>
      </c>
      <c r="D664" s="9">
        <v>45351</v>
      </c>
      <c r="E664">
        <v>2754.86</v>
      </c>
      <c r="F664" t="s">
        <v>816</v>
      </c>
      <c r="G664" t="str">
        <f>'Raw Data bck'!F664&amp;"/USD"</f>
        <v>GBP/USD</v>
      </c>
      <c r="H664" s="16">
        <v>3743.3</v>
      </c>
      <c r="I664" s="11" t="s">
        <v>820</v>
      </c>
      <c r="J664" s="13" t="str">
        <f>IF(I664="Open",H664,IF(I664="Paid",0,"N/A"))</f>
        <v>N/A</v>
      </c>
      <c r="L664" t="s">
        <v>822</v>
      </c>
    </row>
    <row r="665" spans="1:12" x14ac:dyDescent="0.35">
      <c r="A665" t="s">
        <v>672</v>
      </c>
      <c r="B665" t="s">
        <v>813</v>
      </c>
      <c r="C665" s="9">
        <v>45711</v>
      </c>
      <c r="D665" s="9">
        <v>45741</v>
      </c>
      <c r="E665">
        <v>3198.07</v>
      </c>
      <c r="F665" t="s">
        <v>816</v>
      </c>
      <c r="G665" t="str">
        <f>'Raw Data bck'!F665&amp;"/USD"</f>
        <v>GBP/USD</v>
      </c>
      <c r="H665" s="16">
        <v>4345.54</v>
      </c>
      <c r="I665" s="11" t="s">
        <v>820</v>
      </c>
      <c r="J665" s="13" t="str">
        <f>IF(I665="Open",H665,IF(I665="Paid",0,"N/A"))</f>
        <v>N/A</v>
      </c>
      <c r="L665" t="s">
        <v>822</v>
      </c>
    </row>
    <row r="666" spans="1:12" x14ac:dyDescent="0.35">
      <c r="A666" t="s">
        <v>673</v>
      </c>
      <c r="B666" t="s">
        <v>809</v>
      </c>
      <c r="C666" s="9">
        <v>45201</v>
      </c>
      <c r="D666" s="9">
        <v>45231</v>
      </c>
      <c r="E666">
        <v>3984.98</v>
      </c>
      <c r="F666" t="s">
        <v>814</v>
      </c>
      <c r="G666" t="str">
        <f>'Raw Data bck'!F666&amp;"/USD"</f>
        <v>EUR/USD</v>
      </c>
      <c r="H666" s="16">
        <v>4640.1099999999997</v>
      </c>
      <c r="I666" s="11" t="s">
        <v>820</v>
      </c>
      <c r="J666" s="13" t="str">
        <f>IF(I666="Open",H666,IF(I666="Paid",0,"N/A"))</f>
        <v>N/A</v>
      </c>
      <c r="L666" t="s">
        <v>822</v>
      </c>
    </row>
    <row r="667" spans="1:12" x14ac:dyDescent="0.35">
      <c r="A667" t="s">
        <v>674</v>
      </c>
      <c r="B667" t="s">
        <v>812</v>
      </c>
      <c r="C667" s="9">
        <v>45096</v>
      </c>
      <c r="D667" s="9">
        <v>45126</v>
      </c>
      <c r="E667">
        <v>4810.12</v>
      </c>
      <c r="F667" t="s">
        <v>817</v>
      </c>
      <c r="G667" t="str">
        <f>'Raw Data bck'!F667&amp;"/USD"</f>
        <v>USD/USD</v>
      </c>
      <c r="H667" s="15">
        <v>4810.12</v>
      </c>
      <c r="I667" s="11" t="s">
        <v>819</v>
      </c>
      <c r="J667" s="13">
        <f>IF(I667="Open",H667,IF(I667="Paid",0,"N/A"))</f>
        <v>4810.12</v>
      </c>
      <c r="L667" t="s">
        <v>822</v>
      </c>
    </row>
    <row r="668" spans="1:12" x14ac:dyDescent="0.35">
      <c r="A668" t="s">
        <v>675</v>
      </c>
      <c r="B668" t="s">
        <v>811</v>
      </c>
      <c r="C668" s="9">
        <v>45311</v>
      </c>
      <c r="D668" s="9">
        <v>45341</v>
      </c>
      <c r="E668">
        <v>4712.91</v>
      </c>
      <c r="F668" t="s">
        <v>814</v>
      </c>
      <c r="G668" t="str">
        <f>'Raw Data bck'!F668&amp;"/USD"</f>
        <v>EUR/USD</v>
      </c>
      <c r="H668" s="15">
        <v>5487.71</v>
      </c>
      <c r="I668" s="11" t="s">
        <v>819</v>
      </c>
      <c r="J668" s="13">
        <f>IF(I668="Open",H668,IF(I668="Paid",0,"N/A"))</f>
        <v>5487.71</v>
      </c>
      <c r="L668" t="s">
        <v>822</v>
      </c>
    </row>
    <row r="669" spans="1:12" x14ac:dyDescent="0.35">
      <c r="A669" t="s">
        <v>676</v>
      </c>
      <c r="B669" t="s">
        <v>809</v>
      </c>
      <c r="C669" s="9">
        <v>45692</v>
      </c>
      <c r="D669" s="9">
        <v>45722</v>
      </c>
      <c r="E669">
        <v>4624.82</v>
      </c>
      <c r="F669" t="s">
        <v>818</v>
      </c>
      <c r="G669" t="str">
        <f>'Raw Data bck'!F669&amp;"/USD"</f>
        <v>AUD/USD</v>
      </c>
      <c r="H669" s="15">
        <v>3328.48</v>
      </c>
      <c r="I669" s="11" t="s">
        <v>821</v>
      </c>
      <c r="J669" s="13">
        <f>IF(I669="Open",H669,IF(I669="Paid",0,"N/A"))</f>
        <v>0</v>
      </c>
      <c r="K669" s="4">
        <v>45722</v>
      </c>
      <c r="L669" t="s">
        <v>822</v>
      </c>
    </row>
    <row r="670" spans="1:12" x14ac:dyDescent="0.35">
      <c r="A670" t="s">
        <v>677</v>
      </c>
      <c r="B670" t="s">
        <v>813</v>
      </c>
      <c r="C670" s="9">
        <v>45522</v>
      </c>
      <c r="D670" s="9">
        <v>45552</v>
      </c>
      <c r="E670">
        <v>3779.89</v>
      </c>
      <c r="F670" t="s">
        <v>815</v>
      </c>
      <c r="G670" t="str">
        <f>'Raw Data bck'!F670&amp;"/USD"</f>
        <v>CAD/USD</v>
      </c>
      <c r="H670" s="15">
        <v>2729.08</v>
      </c>
      <c r="I670" s="11" t="s">
        <v>819</v>
      </c>
      <c r="J670" s="13">
        <f>IF(I670="Open",H670,IF(I670="Paid",0,"N/A"))</f>
        <v>2729.08</v>
      </c>
      <c r="L670" t="s">
        <v>822</v>
      </c>
    </row>
    <row r="671" spans="1:12" x14ac:dyDescent="0.35">
      <c r="A671" t="s">
        <v>678</v>
      </c>
      <c r="B671" t="s">
        <v>812</v>
      </c>
      <c r="C671" s="9">
        <v>45118</v>
      </c>
      <c r="D671" s="9">
        <v>45148</v>
      </c>
      <c r="E671">
        <v>528.42999999999995</v>
      </c>
      <c r="F671" t="s">
        <v>816</v>
      </c>
      <c r="G671" t="str">
        <f>'Raw Data bck'!F671&amp;"/USD"</f>
        <v>GBP/USD</v>
      </c>
      <c r="H671" s="16">
        <v>718.03</v>
      </c>
      <c r="I671" s="11" t="s">
        <v>820</v>
      </c>
      <c r="J671" s="13" t="str">
        <f>IF(I671="Open",H671,IF(I671="Paid",0,"N/A"))</f>
        <v>N/A</v>
      </c>
      <c r="L671" t="s">
        <v>822</v>
      </c>
    </row>
    <row r="672" spans="1:12" x14ac:dyDescent="0.35">
      <c r="A672" t="s">
        <v>679</v>
      </c>
      <c r="B672" t="s">
        <v>811</v>
      </c>
      <c r="C672" s="9">
        <v>45305</v>
      </c>
      <c r="D672" s="9">
        <v>45335</v>
      </c>
      <c r="E672">
        <v>3542.71</v>
      </c>
      <c r="F672" t="s">
        <v>818</v>
      </c>
      <c r="G672" t="str">
        <f>'Raw Data bck'!F672&amp;"/USD"</f>
        <v>AUD/USD</v>
      </c>
      <c r="H672" s="15">
        <v>2549.69</v>
      </c>
      <c r="I672" s="11" t="s">
        <v>821</v>
      </c>
      <c r="J672" s="13">
        <f>IF(I672="Open",H672,IF(I672="Paid",0,"N/A"))</f>
        <v>0</v>
      </c>
      <c r="K672" s="4">
        <v>45335</v>
      </c>
      <c r="L672" t="s">
        <v>822</v>
      </c>
    </row>
    <row r="673" spans="1:12" x14ac:dyDescent="0.35">
      <c r="A673" t="s">
        <v>680</v>
      </c>
      <c r="B673" t="s">
        <v>811</v>
      </c>
      <c r="C673" s="9">
        <v>45824</v>
      </c>
      <c r="D673" s="9">
        <v>45854</v>
      </c>
      <c r="E673">
        <v>1625.04</v>
      </c>
      <c r="F673" t="s">
        <v>816</v>
      </c>
      <c r="G673" t="str">
        <f>'Raw Data bck'!F673&amp;"/USD"</f>
        <v>GBP/USD</v>
      </c>
      <c r="H673" s="15">
        <v>2208.1</v>
      </c>
      <c r="I673" s="11" t="s">
        <v>821</v>
      </c>
      <c r="J673" s="13">
        <f>IF(I673="Open",H673,IF(I673="Paid",0,"N/A"))</f>
        <v>0</v>
      </c>
      <c r="K673" s="4">
        <v>45854</v>
      </c>
      <c r="L673" t="s">
        <v>822</v>
      </c>
    </row>
    <row r="674" spans="1:12" x14ac:dyDescent="0.35">
      <c r="A674" t="s">
        <v>681</v>
      </c>
      <c r="B674" t="s">
        <v>810</v>
      </c>
      <c r="C674" s="9">
        <v>45213</v>
      </c>
      <c r="D674" s="9">
        <v>45243</v>
      </c>
      <c r="E674">
        <v>3513.91</v>
      </c>
      <c r="F674" t="s">
        <v>818</v>
      </c>
      <c r="G674" t="str">
        <f>'Raw Data bck'!F674&amp;"/USD"</f>
        <v>AUD/USD</v>
      </c>
      <c r="H674" s="16">
        <v>2528.96</v>
      </c>
      <c r="I674" s="11" t="s">
        <v>820</v>
      </c>
      <c r="J674" s="13" t="str">
        <f>IF(I674="Open",H674,IF(I674="Paid",0,"N/A"))</f>
        <v>N/A</v>
      </c>
      <c r="L674" t="s">
        <v>822</v>
      </c>
    </row>
    <row r="675" spans="1:12" x14ac:dyDescent="0.35">
      <c r="A675" t="s">
        <v>682</v>
      </c>
      <c r="B675" t="s">
        <v>813</v>
      </c>
      <c r="C675" s="9">
        <v>45079</v>
      </c>
      <c r="D675" s="9">
        <v>45109</v>
      </c>
      <c r="E675">
        <v>1005.78</v>
      </c>
      <c r="F675" t="s">
        <v>816</v>
      </c>
      <c r="G675" t="str">
        <f>'Raw Data bck'!F675&amp;"/USD"</f>
        <v>GBP/USD</v>
      </c>
      <c r="H675" s="15">
        <v>1366.65</v>
      </c>
      <c r="I675" s="11" t="s">
        <v>821</v>
      </c>
      <c r="J675" s="13">
        <f>IF(I675="Open",H675,IF(I675="Paid",0,"N/A"))</f>
        <v>0</v>
      </c>
      <c r="K675" s="4">
        <v>45109</v>
      </c>
      <c r="L675" t="s">
        <v>822</v>
      </c>
    </row>
    <row r="676" spans="1:12" x14ac:dyDescent="0.35">
      <c r="A676" t="s">
        <v>683</v>
      </c>
      <c r="B676" t="s">
        <v>813</v>
      </c>
      <c r="C676" s="9">
        <v>45821</v>
      </c>
      <c r="D676" s="9">
        <v>45851</v>
      </c>
      <c r="E676">
        <v>4800.13</v>
      </c>
      <c r="F676" t="s">
        <v>818</v>
      </c>
      <c r="G676" t="str">
        <f>'Raw Data bck'!F676&amp;"/USD"</f>
        <v>AUD/USD</v>
      </c>
      <c r="H676" s="16">
        <v>3454.65</v>
      </c>
      <c r="I676" s="11" t="s">
        <v>820</v>
      </c>
      <c r="J676" s="13" t="str">
        <f>IF(I676="Open",H676,IF(I676="Paid",0,"N/A"))</f>
        <v>N/A</v>
      </c>
      <c r="L676" t="s">
        <v>822</v>
      </c>
    </row>
    <row r="677" spans="1:12" x14ac:dyDescent="0.35">
      <c r="A677" t="s">
        <v>684</v>
      </c>
      <c r="B677" t="s">
        <v>811</v>
      </c>
      <c r="C677" s="9">
        <v>45760</v>
      </c>
      <c r="D677" s="9">
        <v>45790</v>
      </c>
      <c r="E677">
        <v>2790.67</v>
      </c>
      <c r="F677" t="s">
        <v>818</v>
      </c>
      <c r="G677" t="str">
        <f>'Raw Data bck'!F677&amp;"/USD"</f>
        <v>AUD/USD</v>
      </c>
      <c r="H677" s="16">
        <v>2008.45</v>
      </c>
      <c r="I677" s="11" t="s">
        <v>820</v>
      </c>
      <c r="J677" s="13" t="str">
        <f>IF(I677="Open",H677,IF(I677="Paid",0,"N/A"))</f>
        <v>N/A</v>
      </c>
      <c r="L677" t="s">
        <v>822</v>
      </c>
    </row>
    <row r="678" spans="1:12" x14ac:dyDescent="0.35">
      <c r="A678" t="s">
        <v>685</v>
      </c>
      <c r="B678" t="s">
        <v>813</v>
      </c>
      <c r="C678" s="9">
        <v>44988</v>
      </c>
      <c r="D678" s="9">
        <v>45018</v>
      </c>
      <c r="E678">
        <v>3677.45</v>
      </c>
      <c r="F678" t="s">
        <v>816</v>
      </c>
      <c r="G678" t="str">
        <f>'Raw Data bck'!F678&amp;"/USD"</f>
        <v>GBP/USD</v>
      </c>
      <c r="H678" s="15">
        <v>4996.92</v>
      </c>
      <c r="I678" s="11" t="s">
        <v>819</v>
      </c>
      <c r="J678" s="13">
        <f>IF(I678="Open",H678,IF(I678="Paid",0,"N/A"))</f>
        <v>4996.92</v>
      </c>
      <c r="L678" t="s">
        <v>822</v>
      </c>
    </row>
    <row r="679" spans="1:12" x14ac:dyDescent="0.35">
      <c r="A679" t="s">
        <v>686</v>
      </c>
      <c r="B679" t="s">
        <v>810</v>
      </c>
      <c r="C679" s="9">
        <v>44955</v>
      </c>
      <c r="D679" s="9">
        <v>44985</v>
      </c>
      <c r="E679">
        <v>2795.97</v>
      </c>
      <c r="F679" t="s">
        <v>818</v>
      </c>
      <c r="G679" t="str">
        <f>'Raw Data bck'!F679&amp;"/USD"</f>
        <v>AUD/USD</v>
      </c>
      <c r="H679" s="16">
        <v>2012.26</v>
      </c>
      <c r="I679" s="11" t="s">
        <v>820</v>
      </c>
      <c r="J679" s="13" t="str">
        <f>IF(I679="Open",H679,IF(I679="Paid",0,"N/A"))</f>
        <v>N/A</v>
      </c>
      <c r="L679" t="s">
        <v>822</v>
      </c>
    </row>
    <row r="680" spans="1:12" x14ac:dyDescent="0.35">
      <c r="A680" t="s">
        <v>687</v>
      </c>
      <c r="B680" t="s">
        <v>810</v>
      </c>
      <c r="C680" s="9">
        <v>45152</v>
      </c>
      <c r="D680" s="9">
        <v>45182</v>
      </c>
      <c r="E680">
        <v>3609.91</v>
      </c>
      <c r="F680" t="s">
        <v>814</v>
      </c>
      <c r="G680" t="str">
        <f>'Raw Data bck'!F680&amp;"/USD"</f>
        <v>EUR/USD</v>
      </c>
      <c r="H680" s="15">
        <v>4203.38</v>
      </c>
      <c r="I680" s="11" t="s">
        <v>819</v>
      </c>
      <c r="J680" s="13">
        <f>IF(I680="Open",H680,IF(I680="Paid",0,"N/A"))</f>
        <v>4203.38</v>
      </c>
      <c r="L680" t="s">
        <v>822</v>
      </c>
    </row>
    <row r="681" spans="1:12" x14ac:dyDescent="0.35">
      <c r="A681" t="s">
        <v>688</v>
      </c>
      <c r="B681" t="s">
        <v>811</v>
      </c>
      <c r="C681" s="9">
        <v>45467</v>
      </c>
      <c r="D681" s="9">
        <v>45497</v>
      </c>
      <c r="E681">
        <v>415.41</v>
      </c>
      <c r="F681" t="s">
        <v>815</v>
      </c>
      <c r="G681" t="str">
        <f>'Raw Data bck'!F681&amp;"/USD"</f>
        <v>CAD/USD</v>
      </c>
      <c r="H681" s="15">
        <v>299.93</v>
      </c>
      <c r="I681" s="11" t="s">
        <v>819</v>
      </c>
      <c r="J681" s="13">
        <f>IF(I681="Open",H681,IF(I681="Paid",0,"N/A"))</f>
        <v>299.93</v>
      </c>
      <c r="L681" t="s">
        <v>822</v>
      </c>
    </row>
    <row r="682" spans="1:12" x14ac:dyDescent="0.35">
      <c r="A682" t="s">
        <v>689</v>
      </c>
      <c r="B682" t="s">
        <v>809</v>
      </c>
      <c r="C682" s="9">
        <v>45441</v>
      </c>
      <c r="D682" s="9">
        <v>45471</v>
      </c>
      <c r="E682">
        <v>3262.02</v>
      </c>
      <c r="F682" t="s">
        <v>814</v>
      </c>
      <c r="G682" t="str">
        <f>'Raw Data bck'!F682&amp;"/USD"</f>
        <v>EUR/USD</v>
      </c>
      <c r="H682" s="16">
        <v>3798.3</v>
      </c>
      <c r="I682" s="11" t="s">
        <v>820</v>
      </c>
      <c r="J682" s="13" t="str">
        <f>IF(I682="Open",H682,IF(I682="Paid",0,"N/A"))</f>
        <v>N/A</v>
      </c>
      <c r="L682" t="s">
        <v>822</v>
      </c>
    </row>
    <row r="683" spans="1:12" x14ac:dyDescent="0.35">
      <c r="A683" t="s">
        <v>690</v>
      </c>
      <c r="B683" t="s">
        <v>810</v>
      </c>
      <c r="C683" s="9">
        <v>45514</v>
      </c>
      <c r="D683" s="9">
        <v>45544</v>
      </c>
      <c r="E683">
        <v>386.52</v>
      </c>
      <c r="F683" t="s">
        <v>814</v>
      </c>
      <c r="G683" t="str">
        <f>'Raw Data bck'!F683&amp;"/USD"</f>
        <v>EUR/USD</v>
      </c>
      <c r="H683" s="15">
        <v>450.06</v>
      </c>
      <c r="I683" s="11" t="s">
        <v>819</v>
      </c>
      <c r="J683" s="13">
        <f>IF(I683="Open",H683,IF(I683="Paid",0,"N/A"))</f>
        <v>450.06</v>
      </c>
      <c r="L683" t="s">
        <v>822</v>
      </c>
    </row>
    <row r="684" spans="1:12" x14ac:dyDescent="0.35">
      <c r="A684" t="s">
        <v>691</v>
      </c>
      <c r="B684" t="s">
        <v>813</v>
      </c>
      <c r="C684" s="9">
        <v>45150</v>
      </c>
      <c r="D684" s="9">
        <v>45180</v>
      </c>
      <c r="E684">
        <v>3339.93</v>
      </c>
      <c r="F684" t="s">
        <v>816</v>
      </c>
      <c r="G684" t="str">
        <f>'Raw Data bck'!F684&amp;"/USD"</f>
        <v>GBP/USD</v>
      </c>
      <c r="H684" s="16">
        <v>4538.3</v>
      </c>
      <c r="I684" s="11" t="s">
        <v>820</v>
      </c>
      <c r="J684" s="13" t="str">
        <f>IF(I684="Open",H684,IF(I684="Paid",0,"N/A"))</f>
        <v>N/A</v>
      </c>
      <c r="L684" t="s">
        <v>822</v>
      </c>
    </row>
    <row r="685" spans="1:12" x14ac:dyDescent="0.35">
      <c r="A685" t="s">
        <v>692</v>
      </c>
      <c r="B685" t="s">
        <v>811</v>
      </c>
      <c r="C685" s="9">
        <v>45065</v>
      </c>
      <c r="D685" s="9">
        <v>45095</v>
      </c>
      <c r="E685">
        <v>4195.2</v>
      </c>
      <c r="F685" t="s">
        <v>814</v>
      </c>
      <c r="G685" t="str">
        <f>'Raw Data bck'!F685&amp;"/USD"</f>
        <v>EUR/USD</v>
      </c>
      <c r="H685" s="16">
        <v>4884.8900000000003</v>
      </c>
      <c r="I685" s="11" t="s">
        <v>820</v>
      </c>
      <c r="J685" s="13" t="str">
        <f>IF(I685="Open",H685,IF(I685="Paid",0,"N/A"))</f>
        <v>N/A</v>
      </c>
      <c r="L685" t="s">
        <v>822</v>
      </c>
    </row>
    <row r="686" spans="1:12" x14ac:dyDescent="0.35">
      <c r="A686" t="s">
        <v>693</v>
      </c>
      <c r="B686" t="s">
        <v>811</v>
      </c>
      <c r="C686" s="9">
        <v>45065</v>
      </c>
      <c r="D686" s="9">
        <v>45095</v>
      </c>
      <c r="E686">
        <v>2911.89</v>
      </c>
      <c r="F686" t="s">
        <v>814</v>
      </c>
      <c r="G686" t="str">
        <f>'Raw Data bck'!F686&amp;"/USD"</f>
        <v>EUR/USD</v>
      </c>
      <c r="H686" s="15">
        <v>3390.6</v>
      </c>
      <c r="I686" s="11" t="s">
        <v>819</v>
      </c>
      <c r="J686" s="13">
        <f>IF(I686="Open",H686,IF(I686="Paid",0,"N/A"))</f>
        <v>3390.6</v>
      </c>
      <c r="L686" t="s">
        <v>822</v>
      </c>
    </row>
    <row r="687" spans="1:12" x14ac:dyDescent="0.35">
      <c r="A687" t="s">
        <v>694</v>
      </c>
      <c r="B687" t="s">
        <v>813</v>
      </c>
      <c r="C687" s="9">
        <v>45746</v>
      </c>
      <c r="D687" s="9">
        <v>45776</v>
      </c>
      <c r="E687">
        <v>1595.21</v>
      </c>
      <c r="F687" t="s">
        <v>815</v>
      </c>
      <c r="G687" t="str">
        <f>'Raw Data bck'!F687&amp;"/USD"</f>
        <v>CAD/USD</v>
      </c>
      <c r="H687" s="15">
        <v>1151.74</v>
      </c>
      <c r="I687" s="11" t="s">
        <v>819</v>
      </c>
      <c r="J687" s="13">
        <f>IF(I687="Open",H687,IF(I687="Paid",0,"N/A"))</f>
        <v>1151.74</v>
      </c>
      <c r="L687" t="s">
        <v>822</v>
      </c>
    </row>
    <row r="688" spans="1:12" x14ac:dyDescent="0.35">
      <c r="A688" t="s">
        <v>695</v>
      </c>
      <c r="B688" t="s">
        <v>811</v>
      </c>
      <c r="C688" s="9">
        <v>45023</v>
      </c>
      <c r="D688" s="9">
        <v>45053</v>
      </c>
      <c r="E688">
        <v>2246.04</v>
      </c>
      <c r="F688" t="s">
        <v>814</v>
      </c>
      <c r="G688" t="str">
        <f>'Raw Data bck'!F688&amp;"/USD"</f>
        <v>EUR/USD</v>
      </c>
      <c r="H688" s="15">
        <v>2615.29</v>
      </c>
      <c r="I688" s="11" t="s">
        <v>819</v>
      </c>
      <c r="J688" s="13">
        <f>IF(I688="Open",H688,IF(I688="Paid",0,"N/A"))</f>
        <v>2615.29</v>
      </c>
      <c r="L688" t="s">
        <v>822</v>
      </c>
    </row>
    <row r="689" spans="1:12" x14ac:dyDescent="0.35">
      <c r="A689" t="s">
        <v>696</v>
      </c>
      <c r="B689" t="s">
        <v>813</v>
      </c>
      <c r="C689" s="9">
        <v>45292</v>
      </c>
      <c r="D689" s="9">
        <v>45322</v>
      </c>
      <c r="E689">
        <v>560.41999999999996</v>
      </c>
      <c r="F689" t="s">
        <v>814</v>
      </c>
      <c r="G689" t="str">
        <f>'Raw Data bck'!F689&amp;"/USD"</f>
        <v>EUR/USD</v>
      </c>
      <c r="H689" s="15">
        <v>652.54999999999995</v>
      </c>
      <c r="I689" s="11" t="s">
        <v>821</v>
      </c>
      <c r="J689" s="13">
        <f>IF(I689="Open",H689,IF(I689="Paid",0,"N/A"))</f>
        <v>0</v>
      </c>
      <c r="K689" s="4">
        <v>45322</v>
      </c>
      <c r="L689" t="s">
        <v>822</v>
      </c>
    </row>
    <row r="690" spans="1:12" x14ac:dyDescent="0.35">
      <c r="A690" t="s">
        <v>697</v>
      </c>
      <c r="B690" t="s">
        <v>812</v>
      </c>
      <c r="C690" s="9">
        <v>45259</v>
      </c>
      <c r="D690" s="9">
        <v>45289</v>
      </c>
      <c r="E690">
        <v>1796.7</v>
      </c>
      <c r="F690" t="s">
        <v>814</v>
      </c>
      <c r="G690" t="str">
        <f>'Raw Data bck'!F690&amp;"/USD"</f>
        <v>EUR/USD</v>
      </c>
      <c r="H690" s="15">
        <v>2092.08</v>
      </c>
      <c r="I690" s="11" t="s">
        <v>819</v>
      </c>
      <c r="J690" s="13">
        <f>IF(I690="Open",H690,IF(I690="Paid",0,"N/A"))</f>
        <v>2092.08</v>
      </c>
      <c r="L690" t="s">
        <v>822</v>
      </c>
    </row>
    <row r="691" spans="1:12" x14ac:dyDescent="0.35">
      <c r="A691" t="s">
        <v>698</v>
      </c>
      <c r="B691" t="s">
        <v>810</v>
      </c>
      <c r="C691" s="9">
        <v>45444</v>
      </c>
      <c r="D691" s="9">
        <v>45474</v>
      </c>
      <c r="E691">
        <v>1049.54</v>
      </c>
      <c r="F691" t="s">
        <v>814</v>
      </c>
      <c r="G691" t="str">
        <f>'Raw Data bck'!F691&amp;"/USD"</f>
        <v>EUR/USD</v>
      </c>
      <c r="H691" s="16">
        <v>1222.08</v>
      </c>
      <c r="I691" s="11" t="s">
        <v>820</v>
      </c>
      <c r="J691" s="13" t="str">
        <f>IF(I691="Open",H691,IF(I691="Paid",0,"N/A"))</f>
        <v>N/A</v>
      </c>
      <c r="L691" t="s">
        <v>822</v>
      </c>
    </row>
    <row r="692" spans="1:12" x14ac:dyDescent="0.35">
      <c r="A692" t="s">
        <v>699</v>
      </c>
      <c r="B692" t="s">
        <v>811</v>
      </c>
      <c r="C692" s="9">
        <v>45178</v>
      </c>
      <c r="D692" s="9">
        <v>45208</v>
      </c>
      <c r="E692">
        <v>2858.31</v>
      </c>
      <c r="F692" t="s">
        <v>814</v>
      </c>
      <c r="G692" t="str">
        <f>'Raw Data bck'!F692&amp;"/USD"</f>
        <v>EUR/USD</v>
      </c>
      <c r="H692" s="15">
        <v>3328.22</v>
      </c>
      <c r="I692" s="11" t="s">
        <v>819</v>
      </c>
      <c r="J692" s="13">
        <f>IF(I692="Open",H692,IF(I692="Paid",0,"N/A"))</f>
        <v>3328.22</v>
      </c>
      <c r="L692" t="s">
        <v>822</v>
      </c>
    </row>
    <row r="693" spans="1:12" x14ac:dyDescent="0.35">
      <c r="A693" t="s">
        <v>700</v>
      </c>
      <c r="B693" t="s">
        <v>811</v>
      </c>
      <c r="C693" s="9">
        <v>45279</v>
      </c>
      <c r="D693" s="9">
        <v>45309</v>
      </c>
      <c r="E693">
        <v>2144.37</v>
      </c>
      <c r="F693" t="s">
        <v>815</v>
      </c>
      <c r="G693" t="str">
        <f>'Raw Data bck'!F693&amp;"/USD"</f>
        <v>CAD/USD</v>
      </c>
      <c r="H693" s="15">
        <v>1548.24</v>
      </c>
      <c r="I693" s="11" t="s">
        <v>819</v>
      </c>
      <c r="J693" s="13">
        <f>IF(I693="Open",H693,IF(I693="Paid",0,"N/A"))</f>
        <v>1548.24</v>
      </c>
      <c r="L693" t="s">
        <v>822</v>
      </c>
    </row>
    <row r="694" spans="1:12" x14ac:dyDescent="0.35">
      <c r="A694" t="s">
        <v>701</v>
      </c>
      <c r="B694" t="s">
        <v>812</v>
      </c>
      <c r="C694" s="9">
        <v>45815</v>
      </c>
      <c r="D694" s="9">
        <v>45845</v>
      </c>
      <c r="E694">
        <v>1051.29</v>
      </c>
      <c r="F694" t="s">
        <v>814</v>
      </c>
      <c r="G694" t="str">
        <f>'Raw Data bck'!F694&amp;"/USD"</f>
        <v>EUR/USD</v>
      </c>
      <c r="H694" s="15">
        <v>1224.1199999999999</v>
      </c>
      <c r="I694" s="11" t="s">
        <v>821</v>
      </c>
      <c r="J694" s="13">
        <f>IF(I694="Open",H694,IF(I694="Paid",0,"N/A"))</f>
        <v>0</v>
      </c>
      <c r="K694" s="4">
        <v>45845</v>
      </c>
      <c r="L694" t="s">
        <v>822</v>
      </c>
    </row>
    <row r="695" spans="1:12" x14ac:dyDescent="0.35">
      <c r="A695" t="s">
        <v>702</v>
      </c>
      <c r="B695" t="s">
        <v>812</v>
      </c>
      <c r="C695" s="9">
        <v>45006</v>
      </c>
      <c r="D695" s="9">
        <v>45036</v>
      </c>
      <c r="E695">
        <v>212.66</v>
      </c>
      <c r="F695" t="s">
        <v>817</v>
      </c>
      <c r="G695" t="str">
        <f>'Raw Data bck'!F695&amp;"/USD"</f>
        <v>USD/USD</v>
      </c>
      <c r="H695" s="16">
        <v>212.66</v>
      </c>
      <c r="I695" s="11" t="s">
        <v>820</v>
      </c>
      <c r="J695" s="13" t="str">
        <f>IF(I695="Open",H695,IF(I695="Paid",0,"N/A"))</f>
        <v>N/A</v>
      </c>
      <c r="L695" t="s">
        <v>822</v>
      </c>
    </row>
    <row r="696" spans="1:12" x14ac:dyDescent="0.35">
      <c r="A696" t="s">
        <v>703</v>
      </c>
      <c r="B696" t="s">
        <v>810</v>
      </c>
      <c r="C696" s="9">
        <v>45271</v>
      </c>
      <c r="D696" s="9">
        <v>45301</v>
      </c>
      <c r="E696">
        <v>2649.88</v>
      </c>
      <c r="F696" t="s">
        <v>814</v>
      </c>
      <c r="G696" t="str">
        <f>'Raw Data bck'!F696&amp;"/USD"</f>
        <v>EUR/USD</v>
      </c>
      <c r="H696" s="15">
        <v>3085.52</v>
      </c>
      <c r="I696" s="11" t="s">
        <v>821</v>
      </c>
      <c r="J696" s="13">
        <f>IF(I696="Open",H696,IF(I696="Paid",0,"N/A"))</f>
        <v>0</v>
      </c>
      <c r="K696" s="4">
        <v>45301</v>
      </c>
      <c r="L696" t="s">
        <v>822</v>
      </c>
    </row>
    <row r="697" spans="1:12" x14ac:dyDescent="0.35">
      <c r="A697" t="s">
        <v>704</v>
      </c>
      <c r="B697" t="s">
        <v>809</v>
      </c>
      <c r="C697" s="9">
        <v>45074</v>
      </c>
      <c r="D697" s="9">
        <v>45104</v>
      </c>
      <c r="E697">
        <v>2025.22</v>
      </c>
      <c r="F697" t="s">
        <v>816</v>
      </c>
      <c r="G697" t="str">
        <f>'Raw Data bck'!F697&amp;"/USD"</f>
        <v>GBP/USD</v>
      </c>
      <c r="H697" s="15">
        <v>2751.87</v>
      </c>
      <c r="I697" s="11" t="s">
        <v>819</v>
      </c>
      <c r="J697" s="13">
        <f>IF(I697="Open",H697,IF(I697="Paid",0,"N/A"))</f>
        <v>2751.87</v>
      </c>
      <c r="L697" t="s">
        <v>822</v>
      </c>
    </row>
    <row r="698" spans="1:12" x14ac:dyDescent="0.35">
      <c r="A698" t="s">
        <v>705</v>
      </c>
      <c r="B698" t="s">
        <v>810</v>
      </c>
      <c r="C698" s="9">
        <v>45779</v>
      </c>
      <c r="D698" s="9">
        <v>45809</v>
      </c>
      <c r="E698">
        <v>2110.4899999999998</v>
      </c>
      <c r="F698" t="s">
        <v>816</v>
      </c>
      <c r="G698" t="str">
        <f>'Raw Data bck'!F698&amp;"/USD"</f>
        <v>GBP/USD</v>
      </c>
      <c r="H698" s="15">
        <v>2867.73</v>
      </c>
      <c r="I698" s="11" t="s">
        <v>821</v>
      </c>
      <c r="J698" s="13">
        <f>IF(I698="Open",H698,IF(I698="Paid",0,"N/A"))</f>
        <v>0</v>
      </c>
      <c r="K698" s="4">
        <v>45809</v>
      </c>
      <c r="L698" t="s">
        <v>822</v>
      </c>
    </row>
    <row r="699" spans="1:12" x14ac:dyDescent="0.35">
      <c r="A699" t="s">
        <v>706</v>
      </c>
      <c r="B699" t="s">
        <v>810</v>
      </c>
      <c r="C699" s="9">
        <v>45624</v>
      </c>
      <c r="D699" s="9">
        <v>45654</v>
      </c>
      <c r="E699">
        <v>4740.3</v>
      </c>
      <c r="F699" t="s">
        <v>815</v>
      </c>
      <c r="G699" t="str">
        <f>'Raw Data bck'!F699&amp;"/USD"</f>
        <v>CAD/USD</v>
      </c>
      <c r="H699" s="15">
        <v>3422.5</v>
      </c>
      <c r="I699" s="11" t="s">
        <v>821</v>
      </c>
      <c r="J699" s="13">
        <f>IF(I699="Open",H699,IF(I699="Paid",0,"N/A"))</f>
        <v>0</v>
      </c>
      <c r="K699" s="4">
        <v>45654</v>
      </c>
      <c r="L699" t="s">
        <v>822</v>
      </c>
    </row>
    <row r="700" spans="1:12" x14ac:dyDescent="0.35">
      <c r="A700" t="s">
        <v>707</v>
      </c>
      <c r="B700" t="s">
        <v>813</v>
      </c>
      <c r="C700" s="9">
        <v>45571</v>
      </c>
      <c r="D700" s="9">
        <v>45601</v>
      </c>
      <c r="E700">
        <v>2511.0500000000002</v>
      </c>
      <c r="F700" t="s">
        <v>815</v>
      </c>
      <c r="G700" t="str">
        <f>'Raw Data bck'!F700&amp;"/USD"</f>
        <v>CAD/USD</v>
      </c>
      <c r="H700" s="16">
        <v>1812.98</v>
      </c>
      <c r="I700" s="11" t="s">
        <v>820</v>
      </c>
      <c r="J700" s="13" t="str">
        <f>IF(I700="Open",H700,IF(I700="Paid",0,"N/A"))</f>
        <v>N/A</v>
      </c>
      <c r="L700" t="s">
        <v>822</v>
      </c>
    </row>
    <row r="701" spans="1:12" x14ac:dyDescent="0.35">
      <c r="A701" t="s">
        <v>708</v>
      </c>
      <c r="B701" t="s">
        <v>810</v>
      </c>
      <c r="C701" s="9">
        <v>45459</v>
      </c>
      <c r="D701" s="9">
        <v>45489</v>
      </c>
      <c r="E701">
        <v>1198.06</v>
      </c>
      <c r="F701" t="s">
        <v>817</v>
      </c>
      <c r="G701" t="str">
        <f>'Raw Data bck'!F701&amp;"/USD"</f>
        <v>USD/USD</v>
      </c>
      <c r="H701" s="15">
        <v>1198.06</v>
      </c>
      <c r="I701" s="11" t="s">
        <v>819</v>
      </c>
      <c r="J701" s="13">
        <f>IF(I701="Open",H701,IF(I701="Paid",0,"N/A"))</f>
        <v>1198.06</v>
      </c>
      <c r="L701" t="s">
        <v>822</v>
      </c>
    </row>
    <row r="702" spans="1:12" x14ac:dyDescent="0.35">
      <c r="A702" t="s">
        <v>709</v>
      </c>
      <c r="B702" t="s">
        <v>811</v>
      </c>
      <c r="C702" s="9">
        <v>45627</v>
      </c>
      <c r="D702" s="9">
        <v>45657</v>
      </c>
      <c r="E702">
        <v>4648.54</v>
      </c>
      <c r="F702" t="s">
        <v>817</v>
      </c>
      <c r="G702" t="str">
        <f>'Raw Data bck'!F702&amp;"/USD"</f>
        <v>USD/USD</v>
      </c>
      <c r="H702" s="16">
        <v>4648.54</v>
      </c>
      <c r="I702" s="11" t="s">
        <v>820</v>
      </c>
      <c r="J702" s="13" t="str">
        <f>IF(I702="Open",H702,IF(I702="Paid",0,"N/A"))</f>
        <v>N/A</v>
      </c>
      <c r="L702" t="s">
        <v>822</v>
      </c>
    </row>
    <row r="703" spans="1:12" x14ac:dyDescent="0.35">
      <c r="A703" t="s">
        <v>710</v>
      </c>
      <c r="B703" t="s">
        <v>812</v>
      </c>
      <c r="C703" s="9">
        <v>45391</v>
      </c>
      <c r="D703" s="9">
        <v>45421</v>
      </c>
      <c r="E703">
        <v>1123.9000000000001</v>
      </c>
      <c r="F703" t="s">
        <v>817</v>
      </c>
      <c r="G703" t="str">
        <f>'Raw Data bck'!F703&amp;"/USD"</f>
        <v>USD/USD</v>
      </c>
      <c r="H703" s="15">
        <v>1123.9000000000001</v>
      </c>
      <c r="I703" s="11" t="s">
        <v>819</v>
      </c>
      <c r="J703" s="13">
        <f>IF(I703="Open",H703,IF(I703="Paid",0,"N/A"))</f>
        <v>1123.9000000000001</v>
      </c>
      <c r="L703" t="s">
        <v>822</v>
      </c>
    </row>
    <row r="704" spans="1:12" x14ac:dyDescent="0.35">
      <c r="A704" t="s">
        <v>711</v>
      </c>
      <c r="B704" t="s">
        <v>809</v>
      </c>
      <c r="C704" s="9">
        <v>45271</v>
      </c>
      <c r="D704" s="9">
        <v>45301</v>
      </c>
      <c r="E704">
        <v>137.11000000000001</v>
      </c>
      <c r="F704" t="s">
        <v>817</v>
      </c>
      <c r="G704" t="str">
        <f>'Raw Data bck'!F704&amp;"/USD"</f>
        <v>USD/USD</v>
      </c>
      <c r="H704" s="16">
        <v>137.11000000000001</v>
      </c>
      <c r="I704" s="11" t="s">
        <v>820</v>
      </c>
      <c r="J704" s="13" t="str">
        <f>IF(I704="Open",H704,IF(I704="Paid",0,"N/A"))</f>
        <v>N/A</v>
      </c>
      <c r="L704" t="s">
        <v>822</v>
      </c>
    </row>
    <row r="705" spans="1:12" x14ac:dyDescent="0.35">
      <c r="A705" t="s">
        <v>712</v>
      </c>
      <c r="B705" t="s">
        <v>809</v>
      </c>
      <c r="C705" s="9">
        <v>45445</v>
      </c>
      <c r="D705" s="9">
        <v>45475</v>
      </c>
      <c r="E705">
        <v>1824.99</v>
      </c>
      <c r="F705" t="s">
        <v>814</v>
      </c>
      <c r="G705" t="str">
        <f>'Raw Data bck'!F705&amp;"/USD"</f>
        <v>EUR/USD</v>
      </c>
      <c r="H705" s="15">
        <v>2125.02</v>
      </c>
      <c r="I705" s="11" t="s">
        <v>821</v>
      </c>
      <c r="J705" s="13">
        <f>IF(I705="Open",H705,IF(I705="Paid",0,"N/A"))</f>
        <v>0</v>
      </c>
      <c r="K705" s="4">
        <v>45475</v>
      </c>
      <c r="L705" t="s">
        <v>822</v>
      </c>
    </row>
    <row r="706" spans="1:12" x14ac:dyDescent="0.35">
      <c r="A706" t="s">
        <v>713</v>
      </c>
      <c r="B706" t="s">
        <v>812</v>
      </c>
      <c r="C706" s="9">
        <v>45079</v>
      </c>
      <c r="D706" s="9">
        <v>45109</v>
      </c>
      <c r="E706">
        <v>3916.78</v>
      </c>
      <c r="F706" t="s">
        <v>816</v>
      </c>
      <c r="G706" t="str">
        <f>'Raw Data bck'!F706&amp;"/USD"</f>
        <v>GBP/USD</v>
      </c>
      <c r="H706" s="16">
        <v>5322.12</v>
      </c>
      <c r="I706" s="11" t="s">
        <v>820</v>
      </c>
      <c r="J706" s="13" t="str">
        <f>IF(I706="Open",H706,IF(I706="Paid",0,"N/A"))</f>
        <v>N/A</v>
      </c>
      <c r="L706" t="s">
        <v>822</v>
      </c>
    </row>
    <row r="707" spans="1:12" x14ac:dyDescent="0.35">
      <c r="A707" t="s">
        <v>714</v>
      </c>
      <c r="B707" t="s">
        <v>811</v>
      </c>
      <c r="C707" s="9">
        <v>45091</v>
      </c>
      <c r="D707" s="9">
        <v>45121</v>
      </c>
      <c r="E707">
        <v>4748.8999999999996</v>
      </c>
      <c r="F707" t="s">
        <v>818</v>
      </c>
      <c r="G707" t="str">
        <f>'Raw Data bck'!F707&amp;"/USD"</f>
        <v>AUD/USD</v>
      </c>
      <c r="H707" s="16">
        <v>3417.78</v>
      </c>
      <c r="I707" s="11" t="s">
        <v>820</v>
      </c>
      <c r="J707" s="13" t="str">
        <f>IF(I707="Open",H707,IF(I707="Paid",0,"N/A"))</f>
        <v>N/A</v>
      </c>
      <c r="L707" t="s">
        <v>822</v>
      </c>
    </row>
    <row r="708" spans="1:12" x14ac:dyDescent="0.35">
      <c r="A708" t="s">
        <v>715</v>
      </c>
      <c r="B708" t="s">
        <v>813</v>
      </c>
      <c r="C708" s="9">
        <v>45770</v>
      </c>
      <c r="D708" s="9">
        <v>45800</v>
      </c>
      <c r="E708">
        <v>2620.19</v>
      </c>
      <c r="F708" t="s">
        <v>814</v>
      </c>
      <c r="G708" t="str">
        <f>'Raw Data bck'!F708&amp;"/USD"</f>
        <v>EUR/USD</v>
      </c>
      <c r="H708" s="15">
        <v>3050.95</v>
      </c>
      <c r="I708" s="11" t="s">
        <v>819</v>
      </c>
      <c r="J708" s="13">
        <f>IF(I708="Open",H708,IF(I708="Paid",0,"N/A"))</f>
        <v>3050.95</v>
      </c>
      <c r="L708" t="s">
        <v>822</v>
      </c>
    </row>
    <row r="709" spans="1:12" x14ac:dyDescent="0.35">
      <c r="A709" t="s">
        <v>716</v>
      </c>
      <c r="B709" t="s">
        <v>810</v>
      </c>
      <c r="C709" s="9">
        <v>44990</v>
      </c>
      <c r="D709" s="9">
        <v>45020</v>
      </c>
      <c r="E709">
        <v>3038.06</v>
      </c>
      <c r="F709" t="s">
        <v>818</v>
      </c>
      <c r="G709" t="str">
        <f>'Raw Data bck'!F709&amp;"/USD"</f>
        <v>AUD/USD</v>
      </c>
      <c r="H709" s="15">
        <v>2186.4899999999998</v>
      </c>
      <c r="I709" s="11" t="s">
        <v>819</v>
      </c>
      <c r="J709" s="13">
        <f>IF(I709="Open",H709,IF(I709="Paid",0,"N/A"))</f>
        <v>2186.4899999999998</v>
      </c>
      <c r="L709" t="s">
        <v>822</v>
      </c>
    </row>
    <row r="710" spans="1:12" x14ac:dyDescent="0.35">
      <c r="A710" t="s">
        <v>717</v>
      </c>
      <c r="B710" t="s">
        <v>810</v>
      </c>
      <c r="C710" s="9">
        <v>45275</v>
      </c>
      <c r="D710" s="9">
        <v>45305</v>
      </c>
      <c r="E710">
        <v>1309.8800000000001</v>
      </c>
      <c r="F710" t="s">
        <v>814</v>
      </c>
      <c r="G710" t="str">
        <f>'Raw Data bck'!F710&amp;"/USD"</f>
        <v>EUR/USD</v>
      </c>
      <c r="H710" s="15">
        <v>1525.22</v>
      </c>
      <c r="I710" s="11" t="s">
        <v>821</v>
      </c>
      <c r="J710" s="13">
        <f>IF(I710="Open",H710,IF(I710="Paid",0,"N/A"))</f>
        <v>0</v>
      </c>
      <c r="K710" s="4">
        <v>45305</v>
      </c>
      <c r="L710" t="s">
        <v>822</v>
      </c>
    </row>
    <row r="711" spans="1:12" x14ac:dyDescent="0.35">
      <c r="A711" t="s">
        <v>718</v>
      </c>
      <c r="B711" t="s">
        <v>811</v>
      </c>
      <c r="C711" s="9">
        <v>45028</v>
      </c>
      <c r="D711" s="9">
        <v>45058</v>
      </c>
      <c r="E711">
        <v>3542.51</v>
      </c>
      <c r="F711" t="s">
        <v>816</v>
      </c>
      <c r="G711" t="str">
        <f>'Raw Data bck'!F711&amp;"/USD"</f>
        <v>GBP/USD</v>
      </c>
      <c r="H711" s="15">
        <v>4813.5600000000004</v>
      </c>
      <c r="I711" s="11" t="s">
        <v>821</v>
      </c>
      <c r="J711" s="13">
        <f>IF(I711="Open",H711,IF(I711="Paid",0,"N/A"))</f>
        <v>0</v>
      </c>
      <c r="K711" s="4">
        <v>45058</v>
      </c>
      <c r="L711" t="s">
        <v>822</v>
      </c>
    </row>
    <row r="712" spans="1:12" x14ac:dyDescent="0.35">
      <c r="A712" t="s">
        <v>719</v>
      </c>
      <c r="B712" t="s">
        <v>809</v>
      </c>
      <c r="C712" s="9">
        <v>44986</v>
      </c>
      <c r="D712" s="9">
        <v>45016</v>
      </c>
      <c r="E712">
        <v>1785.99</v>
      </c>
      <c r="F712" t="s">
        <v>818</v>
      </c>
      <c r="G712" t="str">
        <f>'Raw Data bck'!F712&amp;"/USD"</f>
        <v>AUD/USD</v>
      </c>
      <c r="H712" s="16">
        <v>1285.3800000000001</v>
      </c>
      <c r="I712" s="11" t="s">
        <v>820</v>
      </c>
      <c r="J712" s="13" t="str">
        <f>IF(I712="Open",H712,IF(I712="Paid",0,"N/A"))</f>
        <v>N/A</v>
      </c>
      <c r="L712" t="s">
        <v>822</v>
      </c>
    </row>
    <row r="713" spans="1:12" x14ac:dyDescent="0.35">
      <c r="A713" t="s">
        <v>720</v>
      </c>
      <c r="B713" t="s">
        <v>810</v>
      </c>
      <c r="C713" s="9">
        <v>45158</v>
      </c>
      <c r="D713" s="9">
        <v>45188</v>
      </c>
      <c r="E713">
        <v>2979.86</v>
      </c>
      <c r="F713" t="s">
        <v>815</v>
      </c>
      <c r="G713" t="str">
        <f>'Raw Data bck'!F713&amp;"/USD"</f>
        <v>CAD/USD</v>
      </c>
      <c r="H713" s="15">
        <v>2151.46</v>
      </c>
      <c r="I713" s="11" t="s">
        <v>821</v>
      </c>
      <c r="J713" s="13">
        <f>IF(I713="Open",H713,IF(I713="Paid",0,"N/A"))</f>
        <v>0</v>
      </c>
      <c r="K713" s="4">
        <v>45188</v>
      </c>
      <c r="L713" t="s">
        <v>822</v>
      </c>
    </row>
    <row r="714" spans="1:12" x14ac:dyDescent="0.35">
      <c r="A714" t="s">
        <v>721</v>
      </c>
      <c r="B714" t="s">
        <v>812</v>
      </c>
      <c r="C714" s="9">
        <v>45154</v>
      </c>
      <c r="D714" s="9">
        <v>45184</v>
      </c>
      <c r="E714">
        <v>3891.24</v>
      </c>
      <c r="F714" t="s">
        <v>816</v>
      </c>
      <c r="G714" t="str">
        <f>'Raw Data bck'!F714&amp;"/USD"</f>
        <v>GBP/USD</v>
      </c>
      <c r="H714" s="16">
        <v>5287.42</v>
      </c>
      <c r="I714" s="11" t="s">
        <v>820</v>
      </c>
      <c r="J714" s="13" t="str">
        <f>IF(I714="Open",H714,IF(I714="Paid",0,"N/A"))</f>
        <v>N/A</v>
      </c>
      <c r="L714" t="s">
        <v>822</v>
      </c>
    </row>
    <row r="715" spans="1:12" x14ac:dyDescent="0.35">
      <c r="A715" t="s">
        <v>722</v>
      </c>
      <c r="B715" t="s">
        <v>810</v>
      </c>
      <c r="C715" s="9">
        <v>45698</v>
      </c>
      <c r="D715" s="9">
        <v>45728</v>
      </c>
      <c r="E715">
        <v>4674.42</v>
      </c>
      <c r="F715" t="s">
        <v>817</v>
      </c>
      <c r="G715" t="str">
        <f>'Raw Data bck'!F715&amp;"/USD"</f>
        <v>USD/USD</v>
      </c>
      <c r="H715" s="15">
        <v>4674.42</v>
      </c>
      <c r="I715" s="11" t="s">
        <v>821</v>
      </c>
      <c r="J715" s="13">
        <f>IF(I715="Open",H715,IF(I715="Paid",0,"N/A"))</f>
        <v>0</v>
      </c>
      <c r="K715" s="4">
        <v>45728</v>
      </c>
      <c r="L715" t="s">
        <v>822</v>
      </c>
    </row>
    <row r="716" spans="1:12" x14ac:dyDescent="0.35">
      <c r="A716" t="s">
        <v>723</v>
      </c>
      <c r="B716" t="s">
        <v>809</v>
      </c>
      <c r="C716" s="9">
        <v>45464</v>
      </c>
      <c r="D716" s="9">
        <v>45494</v>
      </c>
      <c r="E716">
        <v>2370.71</v>
      </c>
      <c r="F716" t="s">
        <v>816</v>
      </c>
      <c r="G716" t="str">
        <f>'Raw Data bck'!F716&amp;"/USD"</f>
        <v>GBP/USD</v>
      </c>
      <c r="H716" s="16">
        <v>3221.32</v>
      </c>
      <c r="I716" s="11" t="s">
        <v>820</v>
      </c>
      <c r="J716" s="13" t="str">
        <f>IF(I716="Open",H716,IF(I716="Paid",0,"N/A"))</f>
        <v>N/A</v>
      </c>
      <c r="L716" t="s">
        <v>822</v>
      </c>
    </row>
    <row r="717" spans="1:12" x14ac:dyDescent="0.35">
      <c r="A717" t="s">
        <v>724</v>
      </c>
      <c r="B717" t="s">
        <v>809</v>
      </c>
      <c r="C717" s="9">
        <v>45168</v>
      </c>
      <c r="D717" s="9">
        <v>45198</v>
      </c>
      <c r="E717">
        <v>2872.68</v>
      </c>
      <c r="F717" t="s">
        <v>818</v>
      </c>
      <c r="G717" t="str">
        <f>'Raw Data bck'!F717&amp;"/USD"</f>
        <v>AUD/USD</v>
      </c>
      <c r="H717" s="16">
        <v>2067.4699999999998</v>
      </c>
      <c r="I717" s="11" t="s">
        <v>820</v>
      </c>
      <c r="J717" s="13" t="str">
        <f>IF(I717="Open",H717,IF(I717="Paid",0,"N/A"))</f>
        <v>N/A</v>
      </c>
      <c r="L717" t="s">
        <v>822</v>
      </c>
    </row>
    <row r="718" spans="1:12" x14ac:dyDescent="0.35">
      <c r="A718" t="s">
        <v>725</v>
      </c>
      <c r="B718" t="s">
        <v>813</v>
      </c>
      <c r="C718" s="9">
        <v>45246</v>
      </c>
      <c r="D718" s="9">
        <v>45276</v>
      </c>
      <c r="E718">
        <v>1865.16</v>
      </c>
      <c r="F718" t="s">
        <v>815</v>
      </c>
      <c r="G718" t="str">
        <f>'Raw Data bck'!F718&amp;"/USD"</f>
        <v>CAD/USD</v>
      </c>
      <c r="H718" s="16">
        <v>1346.65</v>
      </c>
      <c r="I718" s="11" t="s">
        <v>820</v>
      </c>
      <c r="J718" s="13" t="str">
        <f>IF(I718="Open",H718,IF(I718="Paid",0,"N/A"))</f>
        <v>N/A</v>
      </c>
      <c r="L718" t="s">
        <v>822</v>
      </c>
    </row>
    <row r="719" spans="1:12" x14ac:dyDescent="0.35">
      <c r="A719" t="s">
        <v>726</v>
      </c>
      <c r="B719" t="s">
        <v>810</v>
      </c>
      <c r="C719" s="9">
        <v>45005</v>
      </c>
      <c r="D719" s="9">
        <v>45035</v>
      </c>
      <c r="E719">
        <v>2554.81</v>
      </c>
      <c r="F719" t="s">
        <v>818</v>
      </c>
      <c r="G719" t="str">
        <f>'Raw Data bck'!F719&amp;"/USD"</f>
        <v>AUD/USD</v>
      </c>
      <c r="H719" s="15">
        <v>1838.7</v>
      </c>
      <c r="I719" s="11" t="s">
        <v>821</v>
      </c>
      <c r="J719" s="13">
        <f>IF(I719="Open",H719,IF(I719="Paid",0,"N/A"))</f>
        <v>0</v>
      </c>
      <c r="K719" s="4">
        <v>45035</v>
      </c>
      <c r="L719" t="s">
        <v>822</v>
      </c>
    </row>
    <row r="720" spans="1:12" x14ac:dyDescent="0.35">
      <c r="A720" t="s">
        <v>727</v>
      </c>
      <c r="B720" t="s">
        <v>809</v>
      </c>
      <c r="C720" s="9">
        <v>45615</v>
      </c>
      <c r="D720" s="9">
        <v>45645</v>
      </c>
      <c r="E720">
        <v>4346.0600000000004</v>
      </c>
      <c r="F720" t="s">
        <v>816</v>
      </c>
      <c r="G720" t="str">
        <f>'Raw Data bck'!F720&amp;"/USD"</f>
        <v>GBP/USD</v>
      </c>
      <c r="H720" s="15">
        <v>5905.43</v>
      </c>
      <c r="I720" s="11" t="s">
        <v>821</v>
      </c>
      <c r="J720" s="13">
        <f>IF(I720="Open",H720,IF(I720="Paid",0,"N/A"))</f>
        <v>0</v>
      </c>
      <c r="K720" s="4">
        <v>45645</v>
      </c>
      <c r="L720" t="s">
        <v>822</v>
      </c>
    </row>
    <row r="721" spans="1:12" x14ac:dyDescent="0.35">
      <c r="A721" t="s">
        <v>728</v>
      </c>
      <c r="B721" t="s">
        <v>809</v>
      </c>
      <c r="C721" s="9">
        <v>45336</v>
      </c>
      <c r="D721" s="9">
        <v>45366</v>
      </c>
      <c r="E721">
        <v>3898.42</v>
      </c>
      <c r="F721" t="s">
        <v>816</v>
      </c>
      <c r="G721" t="str">
        <f>'Raw Data bck'!F721&amp;"/USD"</f>
        <v>GBP/USD</v>
      </c>
      <c r="H721" s="15">
        <v>5297.17</v>
      </c>
      <c r="I721" s="11" t="s">
        <v>821</v>
      </c>
      <c r="J721" s="13">
        <f>IF(I721="Open",H721,IF(I721="Paid",0,"N/A"))</f>
        <v>0</v>
      </c>
      <c r="K721" s="4">
        <v>45366</v>
      </c>
      <c r="L721" t="s">
        <v>822</v>
      </c>
    </row>
    <row r="722" spans="1:12" x14ac:dyDescent="0.35">
      <c r="A722" t="s">
        <v>729</v>
      </c>
      <c r="B722" t="s">
        <v>813</v>
      </c>
      <c r="C722" s="9">
        <v>45484</v>
      </c>
      <c r="D722" s="9">
        <v>45514</v>
      </c>
      <c r="E722">
        <v>4765.16</v>
      </c>
      <c r="F722" t="s">
        <v>814</v>
      </c>
      <c r="G722" t="str">
        <f>'Raw Data bck'!F722&amp;"/USD"</f>
        <v>EUR/USD</v>
      </c>
      <c r="H722" s="15">
        <v>5548.55</v>
      </c>
      <c r="I722" s="11" t="s">
        <v>819</v>
      </c>
      <c r="J722" s="13">
        <f>IF(I722="Open",H722,IF(I722="Paid",0,"N/A"))</f>
        <v>5548.55</v>
      </c>
      <c r="L722" t="s">
        <v>822</v>
      </c>
    </row>
    <row r="723" spans="1:12" x14ac:dyDescent="0.35">
      <c r="A723" t="s">
        <v>730</v>
      </c>
      <c r="B723" t="s">
        <v>811</v>
      </c>
      <c r="C723" s="9">
        <v>45487</v>
      </c>
      <c r="D723" s="9">
        <v>45517</v>
      </c>
      <c r="E723">
        <v>1994.49</v>
      </c>
      <c r="F723" t="s">
        <v>814</v>
      </c>
      <c r="G723" t="str">
        <f>'Raw Data bck'!F723&amp;"/USD"</f>
        <v>EUR/USD</v>
      </c>
      <c r="H723" s="15">
        <v>2322.38</v>
      </c>
      <c r="I723" s="11" t="s">
        <v>819</v>
      </c>
      <c r="J723" s="13">
        <f>IF(I723="Open",H723,IF(I723="Paid",0,"N/A"))</f>
        <v>2322.38</v>
      </c>
      <c r="L723" t="s">
        <v>822</v>
      </c>
    </row>
    <row r="724" spans="1:12" x14ac:dyDescent="0.35">
      <c r="A724" t="s">
        <v>731</v>
      </c>
      <c r="B724" t="s">
        <v>810</v>
      </c>
      <c r="C724" s="9">
        <v>44989</v>
      </c>
      <c r="D724" s="9">
        <v>45019</v>
      </c>
      <c r="E724">
        <v>4230.24</v>
      </c>
      <c r="F724" t="s">
        <v>816</v>
      </c>
      <c r="G724" t="str">
        <f>'Raw Data bck'!F724&amp;"/USD"</f>
        <v>GBP/USD</v>
      </c>
      <c r="H724" s="15">
        <v>5748.05</v>
      </c>
      <c r="I724" s="11" t="s">
        <v>819</v>
      </c>
      <c r="J724" s="13">
        <f>IF(I724="Open",H724,IF(I724="Paid",0,"N/A"))</f>
        <v>5748.05</v>
      </c>
      <c r="L724" t="s">
        <v>822</v>
      </c>
    </row>
    <row r="725" spans="1:12" x14ac:dyDescent="0.35">
      <c r="A725" t="s">
        <v>732</v>
      </c>
      <c r="B725" t="s">
        <v>811</v>
      </c>
      <c r="C725" s="9">
        <v>45556</v>
      </c>
      <c r="D725" s="9">
        <v>45586</v>
      </c>
      <c r="E725">
        <v>1606.15</v>
      </c>
      <c r="F725" t="s">
        <v>815</v>
      </c>
      <c r="G725" t="str">
        <f>'Raw Data bck'!F725&amp;"/USD"</f>
        <v>CAD/USD</v>
      </c>
      <c r="H725" s="16">
        <v>1159.6400000000001</v>
      </c>
      <c r="I725" s="11" t="s">
        <v>820</v>
      </c>
      <c r="J725" s="13" t="str">
        <f>IF(I725="Open",H725,IF(I725="Paid",0,"N/A"))</f>
        <v>N/A</v>
      </c>
      <c r="L725" t="s">
        <v>822</v>
      </c>
    </row>
    <row r="726" spans="1:12" x14ac:dyDescent="0.35">
      <c r="A726" t="s">
        <v>733</v>
      </c>
      <c r="B726" t="s">
        <v>812</v>
      </c>
      <c r="C726" s="9">
        <v>45562</v>
      </c>
      <c r="D726" s="9">
        <v>45592</v>
      </c>
      <c r="E726">
        <v>158.24</v>
      </c>
      <c r="F726" t="s">
        <v>818</v>
      </c>
      <c r="G726" t="str">
        <f>'Raw Data bck'!F726&amp;"/USD"</f>
        <v>AUD/USD</v>
      </c>
      <c r="H726" s="15">
        <v>113.89</v>
      </c>
      <c r="I726" s="11" t="s">
        <v>819</v>
      </c>
      <c r="J726" s="13">
        <f>IF(I726="Open",H726,IF(I726="Paid",0,"N/A"))</f>
        <v>113.89</v>
      </c>
      <c r="L726" t="s">
        <v>822</v>
      </c>
    </row>
    <row r="727" spans="1:12" x14ac:dyDescent="0.35">
      <c r="A727" t="s">
        <v>734</v>
      </c>
      <c r="B727" t="s">
        <v>810</v>
      </c>
      <c r="C727" s="9">
        <v>45130</v>
      </c>
      <c r="D727" s="9">
        <v>45160</v>
      </c>
      <c r="E727">
        <v>4538.8900000000003</v>
      </c>
      <c r="F727" t="s">
        <v>815</v>
      </c>
      <c r="G727" t="str">
        <f>'Raw Data bck'!F727&amp;"/USD"</f>
        <v>CAD/USD</v>
      </c>
      <c r="H727" s="15">
        <v>3277.08</v>
      </c>
      <c r="I727" s="11" t="s">
        <v>821</v>
      </c>
      <c r="J727" s="13">
        <f>IF(I727="Open",H727,IF(I727="Paid",0,"N/A"))</f>
        <v>0</v>
      </c>
      <c r="K727" s="4">
        <v>45160</v>
      </c>
      <c r="L727" t="s">
        <v>822</v>
      </c>
    </row>
    <row r="728" spans="1:12" x14ac:dyDescent="0.35">
      <c r="A728" t="s">
        <v>735</v>
      </c>
      <c r="B728" t="s">
        <v>813</v>
      </c>
      <c r="C728" s="9">
        <v>45603</v>
      </c>
      <c r="D728" s="9">
        <v>45633</v>
      </c>
      <c r="E728">
        <v>204.27</v>
      </c>
      <c r="F728" t="s">
        <v>814</v>
      </c>
      <c r="G728" t="str">
        <f>'Raw Data bck'!F728&amp;"/USD"</f>
        <v>EUR/USD</v>
      </c>
      <c r="H728" s="15">
        <v>237.85</v>
      </c>
      <c r="I728" s="11" t="s">
        <v>819</v>
      </c>
      <c r="J728" s="13">
        <f>IF(I728="Open",H728,IF(I728="Paid",0,"N/A"))</f>
        <v>237.85</v>
      </c>
      <c r="L728" t="s">
        <v>822</v>
      </c>
    </row>
    <row r="729" spans="1:12" x14ac:dyDescent="0.35">
      <c r="A729" t="s">
        <v>736</v>
      </c>
      <c r="B729" t="s">
        <v>811</v>
      </c>
      <c r="C729" s="9">
        <v>45127</v>
      </c>
      <c r="D729" s="9">
        <v>45157</v>
      </c>
      <c r="E729">
        <v>3257.13</v>
      </c>
      <c r="F729" t="s">
        <v>816</v>
      </c>
      <c r="G729" t="str">
        <f>'Raw Data bck'!F729&amp;"/USD"</f>
        <v>GBP/USD</v>
      </c>
      <c r="H729" s="16">
        <v>4425.79</v>
      </c>
      <c r="I729" s="11" t="s">
        <v>820</v>
      </c>
      <c r="J729" s="13" t="str">
        <f>IF(I729="Open",H729,IF(I729="Paid",0,"N/A"))</f>
        <v>N/A</v>
      </c>
      <c r="L729" t="s">
        <v>822</v>
      </c>
    </row>
    <row r="730" spans="1:12" x14ac:dyDescent="0.35">
      <c r="A730" t="s">
        <v>737</v>
      </c>
      <c r="B730" t="s">
        <v>809</v>
      </c>
      <c r="C730" s="9">
        <v>45575</v>
      </c>
      <c r="D730" s="9">
        <v>45605</v>
      </c>
      <c r="E730">
        <v>488.64</v>
      </c>
      <c r="F730" t="s">
        <v>818</v>
      </c>
      <c r="G730" t="str">
        <f>'Raw Data bck'!F730&amp;"/USD"</f>
        <v>AUD/USD</v>
      </c>
      <c r="H730" s="15">
        <v>351.67</v>
      </c>
      <c r="I730" s="11" t="s">
        <v>821</v>
      </c>
      <c r="J730" s="13">
        <f>IF(I730="Open",H730,IF(I730="Paid",0,"N/A"))</f>
        <v>0</v>
      </c>
      <c r="K730" s="4">
        <v>45605</v>
      </c>
      <c r="L730" t="s">
        <v>822</v>
      </c>
    </row>
    <row r="731" spans="1:12" x14ac:dyDescent="0.35">
      <c r="A731" t="s">
        <v>738</v>
      </c>
      <c r="B731" t="s">
        <v>811</v>
      </c>
      <c r="C731" s="9">
        <v>45239</v>
      </c>
      <c r="D731" s="9">
        <v>45269</v>
      </c>
      <c r="E731">
        <v>2790.33</v>
      </c>
      <c r="F731" t="s">
        <v>816</v>
      </c>
      <c r="G731" t="str">
        <f>'Raw Data bck'!F731&amp;"/USD"</f>
        <v>GBP/USD</v>
      </c>
      <c r="H731" s="16">
        <v>3791.5</v>
      </c>
      <c r="I731" s="11" t="s">
        <v>820</v>
      </c>
      <c r="J731" s="13" t="str">
        <f>IF(I731="Open",H731,IF(I731="Paid",0,"N/A"))</f>
        <v>N/A</v>
      </c>
      <c r="L731" t="s">
        <v>822</v>
      </c>
    </row>
    <row r="732" spans="1:12" x14ac:dyDescent="0.35">
      <c r="A732" t="s">
        <v>739</v>
      </c>
      <c r="B732" t="s">
        <v>809</v>
      </c>
      <c r="C732" s="9">
        <v>45187</v>
      </c>
      <c r="D732" s="9">
        <v>45217</v>
      </c>
      <c r="E732">
        <v>1246.1199999999999</v>
      </c>
      <c r="F732" t="s">
        <v>815</v>
      </c>
      <c r="G732" t="str">
        <f>'Raw Data bck'!F732&amp;"/USD"</f>
        <v>CAD/USD</v>
      </c>
      <c r="H732" s="16">
        <v>899.7</v>
      </c>
      <c r="I732" s="11" t="s">
        <v>820</v>
      </c>
      <c r="J732" s="13" t="str">
        <f>IF(I732="Open",H732,IF(I732="Paid",0,"N/A"))</f>
        <v>N/A</v>
      </c>
      <c r="L732" t="s">
        <v>822</v>
      </c>
    </row>
    <row r="733" spans="1:12" x14ac:dyDescent="0.35">
      <c r="A733" t="s">
        <v>740</v>
      </c>
      <c r="B733" t="s">
        <v>810</v>
      </c>
      <c r="C733" s="9">
        <v>45471</v>
      </c>
      <c r="D733" s="9">
        <v>45501</v>
      </c>
      <c r="E733">
        <v>2390.31</v>
      </c>
      <c r="F733" t="s">
        <v>817</v>
      </c>
      <c r="G733" t="str">
        <f>'Raw Data bck'!F733&amp;"/USD"</f>
        <v>USD/USD</v>
      </c>
      <c r="H733" s="15">
        <v>2390.31</v>
      </c>
      <c r="I733" s="11" t="s">
        <v>819</v>
      </c>
      <c r="J733" s="13">
        <f>IF(I733="Open",H733,IF(I733="Paid",0,"N/A"))</f>
        <v>2390.31</v>
      </c>
      <c r="L733" t="s">
        <v>822</v>
      </c>
    </row>
    <row r="734" spans="1:12" x14ac:dyDescent="0.35">
      <c r="A734" t="s">
        <v>741</v>
      </c>
      <c r="B734" t="s">
        <v>811</v>
      </c>
      <c r="C734" s="9">
        <v>45303</v>
      </c>
      <c r="D734" s="9">
        <v>45333</v>
      </c>
      <c r="E734">
        <v>3697.86</v>
      </c>
      <c r="F734" t="s">
        <v>814</v>
      </c>
      <c r="G734" t="str">
        <f>'Raw Data bck'!F734&amp;"/USD"</f>
        <v>EUR/USD</v>
      </c>
      <c r="H734" s="16">
        <v>4305.79</v>
      </c>
      <c r="I734" s="11" t="s">
        <v>820</v>
      </c>
      <c r="J734" s="13" t="str">
        <f>IF(I734="Open",H734,IF(I734="Paid",0,"N/A"))</f>
        <v>N/A</v>
      </c>
      <c r="L734" t="s">
        <v>822</v>
      </c>
    </row>
    <row r="735" spans="1:12" x14ac:dyDescent="0.35">
      <c r="A735" t="s">
        <v>742</v>
      </c>
      <c r="B735" t="s">
        <v>809</v>
      </c>
      <c r="C735" s="9">
        <v>45804</v>
      </c>
      <c r="D735" s="9">
        <v>45834</v>
      </c>
      <c r="E735">
        <v>3404.52</v>
      </c>
      <c r="F735" t="s">
        <v>816</v>
      </c>
      <c r="G735" t="str">
        <f>'Raw Data bck'!F735&amp;"/USD"</f>
        <v>GBP/USD</v>
      </c>
      <c r="H735" s="15">
        <v>4626.0600000000004</v>
      </c>
      <c r="I735" s="11" t="s">
        <v>819</v>
      </c>
      <c r="J735" s="13">
        <f>IF(I735="Open",H735,IF(I735="Paid",0,"N/A"))</f>
        <v>4626.0600000000004</v>
      </c>
      <c r="L735" t="s">
        <v>822</v>
      </c>
    </row>
    <row r="736" spans="1:12" x14ac:dyDescent="0.35">
      <c r="A736" t="s">
        <v>743</v>
      </c>
      <c r="B736" t="s">
        <v>811</v>
      </c>
      <c r="C736" s="9">
        <v>45709</v>
      </c>
      <c r="D736" s="9">
        <v>45739</v>
      </c>
      <c r="E736">
        <v>3730.17</v>
      </c>
      <c r="F736" t="s">
        <v>816</v>
      </c>
      <c r="G736" t="str">
        <f>'Raw Data bck'!F736&amp;"/USD"</f>
        <v>GBP/USD</v>
      </c>
      <c r="H736" s="15">
        <v>5068.55</v>
      </c>
      <c r="I736" s="11" t="s">
        <v>819</v>
      </c>
      <c r="J736" s="13">
        <f>IF(I736="Open",H736,IF(I736="Paid",0,"N/A"))</f>
        <v>5068.55</v>
      </c>
      <c r="L736" t="s">
        <v>822</v>
      </c>
    </row>
    <row r="737" spans="1:12" x14ac:dyDescent="0.35">
      <c r="A737" t="s">
        <v>744</v>
      </c>
      <c r="B737" t="s">
        <v>813</v>
      </c>
      <c r="C737" s="9">
        <v>45772</v>
      </c>
      <c r="D737" s="9">
        <v>45802</v>
      </c>
      <c r="E737">
        <v>199.45</v>
      </c>
      <c r="F737" t="s">
        <v>818</v>
      </c>
      <c r="G737" t="str">
        <f>'Raw Data bck'!F737&amp;"/USD"</f>
        <v>AUD/USD</v>
      </c>
      <c r="H737" s="16">
        <v>143.54</v>
      </c>
      <c r="I737" s="11" t="s">
        <v>820</v>
      </c>
      <c r="J737" s="13" t="str">
        <f>IF(I737="Open",H737,IF(I737="Paid",0,"N/A"))</f>
        <v>N/A</v>
      </c>
      <c r="L737" t="s">
        <v>822</v>
      </c>
    </row>
    <row r="738" spans="1:12" x14ac:dyDescent="0.35">
      <c r="A738" t="s">
        <v>745</v>
      </c>
      <c r="B738" t="s">
        <v>811</v>
      </c>
      <c r="C738" s="9">
        <v>45646</v>
      </c>
      <c r="D738" s="9">
        <v>45676</v>
      </c>
      <c r="E738">
        <v>4466.8</v>
      </c>
      <c r="F738" t="s">
        <v>818</v>
      </c>
      <c r="G738" t="str">
        <f>'Raw Data bck'!F738&amp;"/USD"</f>
        <v>AUD/USD</v>
      </c>
      <c r="H738" s="15">
        <v>3214.76</v>
      </c>
      <c r="I738" s="11" t="s">
        <v>819</v>
      </c>
      <c r="J738" s="13">
        <f>IF(I738="Open",H738,IF(I738="Paid",0,"N/A"))</f>
        <v>3214.76</v>
      </c>
      <c r="L738" t="s">
        <v>822</v>
      </c>
    </row>
    <row r="739" spans="1:12" x14ac:dyDescent="0.35">
      <c r="A739" t="s">
        <v>746</v>
      </c>
      <c r="B739" t="s">
        <v>812</v>
      </c>
      <c r="C739" s="9">
        <v>45805</v>
      </c>
      <c r="D739" s="9">
        <v>45835</v>
      </c>
      <c r="E739">
        <v>4368.08</v>
      </c>
      <c r="F739" t="s">
        <v>816</v>
      </c>
      <c r="G739" t="str">
        <f>'Raw Data bck'!F739&amp;"/USD"</f>
        <v>GBP/USD</v>
      </c>
      <c r="H739" s="15">
        <v>5935.35</v>
      </c>
      <c r="I739" s="11" t="s">
        <v>821</v>
      </c>
      <c r="J739" s="13">
        <f>IF(I739="Open",H739,IF(I739="Paid",0,"N/A"))</f>
        <v>0</v>
      </c>
      <c r="K739" s="4">
        <v>45835</v>
      </c>
      <c r="L739" t="s">
        <v>822</v>
      </c>
    </row>
    <row r="740" spans="1:12" x14ac:dyDescent="0.35">
      <c r="A740" t="s">
        <v>747</v>
      </c>
      <c r="B740" t="s">
        <v>809</v>
      </c>
      <c r="C740" s="9">
        <v>45269</v>
      </c>
      <c r="D740" s="9">
        <v>45299</v>
      </c>
      <c r="E740">
        <v>2910.39</v>
      </c>
      <c r="F740" t="s">
        <v>814</v>
      </c>
      <c r="G740" t="str">
        <f>'Raw Data bck'!F740&amp;"/USD"</f>
        <v>EUR/USD</v>
      </c>
      <c r="H740" s="15">
        <v>3388.86</v>
      </c>
      <c r="I740" s="11" t="s">
        <v>821</v>
      </c>
      <c r="J740" s="13">
        <f>IF(I740="Open",H740,IF(I740="Paid",0,"N/A"))</f>
        <v>0</v>
      </c>
      <c r="K740" s="4">
        <v>45299</v>
      </c>
      <c r="L740" t="s">
        <v>822</v>
      </c>
    </row>
    <row r="741" spans="1:12" x14ac:dyDescent="0.35">
      <c r="A741" t="s">
        <v>748</v>
      </c>
      <c r="B741" t="s">
        <v>810</v>
      </c>
      <c r="C741" s="9">
        <v>45007</v>
      </c>
      <c r="D741" s="9">
        <v>45037</v>
      </c>
      <c r="E741">
        <v>3087.9</v>
      </c>
      <c r="F741" t="s">
        <v>815</v>
      </c>
      <c r="G741" t="str">
        <f>'Raw Data bck'!F741&amp;"/USD"</f>
        <v>CAD/USD</v>
      </c>
      <c r="H741" s="15">
        <v>2229.46</v>
      </c>
      <c r="I741" s="11" t="s">
        <v>821</v>
      </c>
      <c r="J741" s="13">
        <f>IF(I741="Open",H741,IF(I741="Paid",0,"N/A"))</f>
        <v>0</v>
      </c>
      <c r="K741" s="4">
        <v>45037</v>
      </c>
      <c r="L741" t="s">
        <v>822</v>
      </c>
    </row>
    <row r="742" spans="1:12" x14ac:dyDescent="0.35">
      <c r="A742" t="s">
        <v>749</v>
      </c>
      <c r="B742" t="s">
        <v>811</v>
      </c>
      <c r="C742" s="9">
        <v>45183</v>
      </c>
      <c r="D742" s="9">
        <v>45213</v>
      </c>
      <c r="E742">
        <v>3956.78</v>
      </c>
      <c r="F742" t="s">
        <v>815</v>
      </c>
      <c r="G742" t="str">
        <f>'Raw Data bck'!F742&amp;"/USD"</f>
        <v>CAD/USD</v>
      </c>
      <c r="H742" s="15">
        <v>2856.8</v>
      </c>
      <c r="I742" s="11" t="s">
        <v>821</v>
      </c>
      <c r="J742" s="13">
        <f>IF(I742="Open",H742,IF(I742="Paid",0,"N/A"))</f>
        <v>0</v>
      </c>
      <c r="K742" s="4">
        <v>45213</v>
      </c>
      <c r="L742" t="s">
        <v>822</v>
      </c>
    </row>
    <row r="743" spans="1:12" x14ac:dyDescent="0.35">
      <c r="A743" t="s">
        <v>750</v>
      </c>
      <c r="B743" t="s">
        <v>810</v>
      </c>
      <c r="C743" s="9">
        <v>45222</v>
      </c>
      <c r="D743" s="9">
        <v>45252</v>
      </c>
      <c r="E743">
        <v>1173.72</v>
      </c>
      <c r="F743" t="s">
        <v>815</v>
      </c>
      <c r="G743" t="str">
        <f>'Raw Data bck'!F743&amp;"/USD"</f>
        <v>CAD/USD</v>
      </c>
      <c r="H743" s="15">
        <v>847.43</v>
      </c>
      <c r="I743" s="11" t="s">
        <v>821</v>
      </c>
      <c r="J743" s="13">
        <f>IF(I743="Open",H743,IF(I743="Paid",0,"N/A"))</f>
        <v>0</v>
      </c>
      <c r="K743" s="4">
        <v>45252</v>
      </c>
      <c r="L743" t="s">
        <v>822</v>
      </c>
    </row>
    <row r="744" spans="1:12" x14ac:dyDescent="0.35">
      <c r="A744" t="s">
        <v>751</v>
      </c>
      <c r="B744" t="s">
        <v>810</v>
      </c>
      <c r="C744" s="9">
        <v>45359</v>
      </c>
      <c r="D744" s="9">
        <v>45389</v>
      </c>
      <c r="E744">
        <v>3885.28</v>
      </c>
      <c r="F744" t="s">
        <v>816</v>
      </c>
      <c r="G744" t="str">
        <f>'Raw Data bck'!F744&amp;"/USD"</f>
        <v>GBP/USD</v>
      </c>
      <c r="H744" s="15">
        <v>5279.32</v>
      </c>
      <c r="I744" s="11" t="s">
        <v>821</v>
      </c>
      <c r="J744" s="13">
        <f>IF(I744="Open",H744,IF(I744="Paid",0,"N/A"))</f>
        <v>0</v>
      </c>
      <c r="K744" s="4">
        <v>45389</v>
      </c>
      <c r="L744" t="s">
        <v>822</v>
      </c>
    </row>
    <row r="745" spans="1:12" x14ac:dyDescent="0.35">
      <c r="A745" t="s">
        <v>752</v>
      </c>
      <c r="B745" t="s">
        <v>812</v>
      </c>
      <c r="C745" s="9">
        <v>45268</v>
      </c>
      <c r="D745" s="9">
        <v>45298</v>
      </c>
      <c r="E745">
        <v>211.34</v>
      </c>
      <c r="F745" t="s">
        <v>817</v>
      </c>
      <c r="G745" t="str">
        <f>'Raw Data bck'!F745&amp;"/USD"</f>
        <v>USD/USD</v>
      </c>
      <c r="H745" s="15">
        <v>211.34</v>
      </c>
      <c r="I745" s="11" t="s">
        <v>819</v>
      </c>
      <c r="J745" s="13">
        <f>IF(I745="Open",H745,IF(I745="Paid",0,"N/A"))</f>
        <v>211.34</v>
      </c>
      <c r="L745" t="s">
        <v>822</v>
      </c>
    </row>
    <row r="746" spans="1:12" x14ac:dyDescent="0.35">
      <c r="A746" t="s">
        <v>753</v>
      </c>
      <c r="B746" t="s">
        <v>813</v>
      </c>
      <c r="C746" s="9">
        <v>44983</v>
      </c>
      <c r="D746" s="9">
        <v>45013</v>
      </c>
      <c r="E746">
        <v>1345.89</v>
      </c>
      <c r="F746" t="s">
        <v>818</v>
      </c>
      <c r="G746" t="str">
        <f>'Raw Data bck'!F746&amp;"/USD"</f>
        <v>AUD/USD</v>
      </c>
      <c r="H746" s="15">
        <v>968.64</v>
      </c>
      <c r="I746" s="11" t="s">
        <v>821</v>
      </c>
      <c r="J746" s="13">
        <f>IF(I746="Open",H746,IF(I746="Paid",0,"N/A"))</f>
        <v>0</v>
      </c>
      <c r="K746" s="4">
        <v>45013</v>
      </c>
      <c r="L746" t="s">
        <v>822</v>
      </c>
    </row>
    <row r="747" spans="1:12" x14ac:dyDescent="0.35">
      <c r="A747" t="s">
        <v>754</v>
      </c>
      <c r="B747" t="s">
        <v>811</v>
      </c>
      <c r="C747" s="9">
        <v>45283</v>
      </c>
      <c r="D747" s="9">
        <v>45313</v>
      </c>
      <c r="E747">
        <v>4777.7299999999996</v>
      </c>
      <c r="F747" t="s">
        <v>814</v>
      </c>
      <c r="G747" t="str">
        <f>'Raw Data bck'!F747&amp;"/USD"</f>
        <v>EUR/USD</v>
      </c>
      <c r="H747" s="16">
        <v>5563.19</v>
      </c>
      <c r="I747" s="11" t="s">
        <v>820</v>
      </c>
      <c r="J747" s="13" t="str">
        <f>IF(I747="Open",H747,IF(I747="Paid",0,"N/A"))</f>
        <v>N/A</v>
      </c>
      <c r="L747" t="s">
        <v>822</v>
      </c>
    </row>
    <row r="748" spans="1:12" x14ac:dyDescent="0.35">
      <c r="A748" t="s">
        <v>755</v>
      </c>
      <c r="B748" t="s">
        <v>809</v>
      </c>
      <c r="C748" s="9">
        <v>45194</v>
      </c>
      <c r="D748" s="9">
        <v>45224</v>
      </c>
      <c r="E748">
        <v>3137.33</v>
      </c>
      <c r="F748" t="s">
        <v>818</v>
      </c>
      <c r="G748" t="str">
        <f>'Raw Data bck'!F748&amp;"/USD"</f>
        <v>AUD/USD</v>
      </c>
      <c r="H748" s="15">
        <v>2257.94</v>
      </c>
      <c r="I748" s="11" t="s">
        <v>819</v>
      </c>
      <c r="J748" s="13">
        <f>IF(I748="Open",H748,IF(I748="Paid",0,"N/A"))</f>
        <v>2257.94</v>
      </c>
      <c r="L748" t="s">
        <v>822</v>
      </c>
    </row>
    <row r="749" spans="1:12" x14ac:dyDescent="0.35">
      <c r="A749" t="s">
        <v>756</v>
      </c>
      <c r="B749" t="s">
        <v>812</v>
      </c>
      <c r="C749" s="9">
        <v>45488</v>
      </c>
      <c r="D749" s="9">
        <v>45518</v>
      </c>
      <c r="E749">
        <v>4831.5200000000004</v>
      </c>
      <c r="F749" t="s">
        <v>814</v>
      </c>
      <c r="G749" t="str">
        <f>'Raw Data bck'!F749&amp;"/USD"</f>
        <v>EUR/USD</v>
      </c>
      <c r="H749" s="16">
        <v>5625.82</v>
      </c>
      <c r="I749" s="11" t="s">
        <v>820</v>
      </c>
      <c r="J749" s="13" t="str">
        <f>IF(I749="Open",H749,IF(I749="Paid",0,"N/A"))</f>
        <v>N/A</v>
      </c>
      <c r="L749" t="s">
        <v>822</v>
      </c>
    </row>
    <row r="750" spans="1:12" x14ac:dyDescent="0.35">
      <c r="A750" t="s">
        <v>757</v>
      </c>
      <c r="B750" t="s">
        <v>809</v>
      </c>
      <c r="C750" s="9">
        <v>45321</v>
      </c>
      <c r="D750" s="9">
        <v>45351</v>
      </c>
      <c r="E750">
        <v>1343.46</v>
      </c>
      <c r="F750" t="s">
        <v>815</v>
      </c>
      <c r="G750" t="str">
        <f>'Raw Data bck'!F750&amp;"/USD"</f>
        <v>CAD/USD</v>
      </c>
      <c r="H750" s="16">
        <v>969.98</v>
      </c>
      <c r="I750" s="11" t="s">
        <v>820</v>
      </c>
      <c r="J750" s="13" t="str">
        <f>IF(I750="Open",H750,IF(I750="Paid",0,"N/A"))</f>
        <v>N/A</v>
      </c>
      <c r="L750" t="s">
        <v>822</v>
      </c>
    </row>
    <row r="751" spans="1:12" x14ac:dyDescent="0.35">
      <c r="A751" t="s">
        <v>758</v>
      </c>
      <c r="B751" t="s">
        <v>809</v>
      </c>
      <c r="C751" s="9">
        <v>44993</v>
      </c>
      <c r="D751" s="9">
        <v>45023</v>
      </c>
      <c r="E751">
        <v>3815.88</v>
      </c>
      <c r="F751" t="s">
        <v>815</v>
      </c>
      <c r="G751" t="str">
        <f>'Raw Data bck'!F751&amp;"/USD"</f>
        <v>CAD/USD</v>
      </c>
      <c r="H751" s="16">
        <v>2755.07</v>
      </c>
      <c r="I751" s="11" t="s">
        <v>820</v>
      </c>
      <c r="J751" s="13" t="str">
        <f>IF(I751="Open",H751,IF(I751="Paid",0,"N/A"))</f>
        <v>N/A</v>
      </c>
      <c r="L751" t="s">
        <v>822</v>
      </c>
    </row>
    <row r="752" spans="1:12" x14ac:dyDescent="0.35">
      <c r="A752" t="s">
        <v>759</v>
      </c>
      <c r="B752" t="s">
        <v>811</v>
      </c>
      <c r="C752" s="9">
        <v>45054</v>
      </c>
      <c r="D752" s="9">
        <v>45084</v>
      </c>
      <c r="E752">
        <v>3428.98</v>
      </c>
      <c r="F752" t="s">
        <v>816</v>
      </c>
      <c r="G752" t="str">
        <f>'Raw Data bck'!F752&amp;"/USD"</f>
        <v>GBP/USD</v>
      </c>
      <c r="H752" s="15">
        <v>4659.3</v>
      </c>
      <c r="I752" s="11" t="s">
        <v>821</v>
      </c>
      <c r="J752" s="13">
        <f>IF(I752="Open",H752,IF(I752="Paid",0,"N/A"))</f>
        <v>0</v>
      </c>
      <c r="K752" s="4">
        <v>45084</v>
      </c>
      <c r="L752" t="s">
        <v>822</v>
      </c>
    </row>
    <row r="753" spans="1:12" x14ac:dyDescent="0.35">
      <c r="A753" t="s">
        <v>760</v>
      </c>
      <c r="B753" t="s">
        <v>809</v>
      </c>
      <c r="C753" s="9">
        <v>45395</v>
      </c>
      <c r="D753" s="9">
        <v>45425</v>
      </c>
      <c r="E753">
        <v>1265.55</v>
      </c>
      <c r="F753" t="s">
        <v>816</v>
      </c>
      <c r="G753" t="str">
        <f>'Raw Data bck'!F753&amp;"/USD"</f>
        <v>GBP/USD</v>
      </c>
      <c r="H753" s="16">
        <v>1719.63</v>
      </c>
      <c r="I753" s="11" t="s">
        <v>820</v>
      </c>
      <c r="J753" s="13" t="str">
        <f>IF(I753="Open",H753,IF(I753="Paid",0,"N/A"))</f>
        <v>N/A</v>
      </c>
      <c r="L753" t="s">
        <v>822</v>
      </c>
    </row>
    <row r="754" spans="1:12" x14ac:dyDescent="0.35">
      <c r="A754" t="s">
        <v>761</v>
      </c>
      <c r="B754" t="s">
        <v>812</v>
      </c>
      <c r="C754" s="9">
        <v>45262</v>
      </c>
      <c r="D754" s="9">
        <v>45292</v>
      </c>
      <c r="E754">
        <v>1377.49</v>
      </c>
      <c r="F754" t="s">
        <v>818</v>
      </c>
      <c r="G754" t="str">
        <f>'Raw Data bck'!F754&amp;"/USD"</f>
        <v>AUD/USD</v>
      </c>
      <c r="H754" s="15">
        <v>991.38</v>
      </c>
      <c r="I754" s="11" t="s">
        <v>821</v>
      </c>
      <c r="J754" s="13">
        <f>IF(I754="Open",H754,IF(I754="Paid",0,"N/A"))</f>
        <v>0</v>
      </c>
      <c r="K754" s="4">
        <v>45292</v>
      </c>
      <c r="L754" t="s">
        <v>822</v>
      </c>
    </row>
    <row r="755" spans="1:12" x14ac:dyDescent="0.35">
      <c r="A755" t="s">
        <v>762</v>
      </c>
      <c r="B755" t="s">
        <v>809</v>
      </c>
      <c r="C755" s="9">
        <v>45535</v>
      </c>
      <c r="D755" s="9">
        <v>45565</v>
      </c>
      <c r="E755">
        <v>2125.3000000000002</v>
      </c>
      <c r="F755" t="s">
        <v>814</v>
      </c>
      <c r="G755" t="str">
        <f>'Raw Data bck'!F755&amp;"/USD"</f>
        <v>EUR/USD</v>
      </c>
      <c r="H755" s="16">
        <v>2474.6999999999998</v>
      </c>
      <c r="I755" s="11" t="s">
        <v>820</v>
      </c>
      <c r="J755" s="13" t="str">
        <f>IF(I755="Open",H755,IF(I755="Paid",0,"N/A"))</f>
        <v>N/A</v>
      </c>
      <c r="L755" t="s">
        <v>822</v>
      </c>
    </row>
    <row r="756" spans="1:12" x14ac:dyDescent="0.35">
      <c r="A756" t="s">
        <v>763</v>
      </c>
      <c r="B756" t="s">
        <v>810</v>
      </c>
      <c r="C756" s="9">
        <v>45408</v>
      </c>
      <c r="D756" s="9">
        <v>45438</v>
      </c>
      <c r="E756">
        <v>2582.08</v>
      </c>
      <c r="F756" t="s">
        <v>816</v>
      </c>
      <c r="G756" t="str">
        <f>'Raw Data bck'!F756&amp;"/USD"</f>
        <v>GBP/USD</v>
      </c>
      <c r="H756" s="15">
        <v>3508.53</v>
      </c>
      <c r="I756" s="11" t="s">
        <v>821</v>
      </c>
      <c r="J756" s="13">
        <f>IF(I756="Open",H756,IF(I756="Paid",0,"N/A"))</f>
        <v>0</v>
      </c>
      <c r="K756" s="4">
        <v>45438</v>
      </c>
      <c r="L756" t="s">
        <v>822</v>
      </c>
    </row>
    <row r="757" spans="1:12" x14ac:dyDescent="0.35">
      <c r="A757" t="s">
        <v>764</v>
      </c>
      <c r="B757" t="s">
        <v>813</v>
      </c>
      <c r="C757" s="9">
        <v>45707</v>
      </c>
      <c r="D757" s="9">
        <v>45737</v>
      </c>
      <c r="E757">
        <v>1722.33</v>
      </c>
      <c r="F757" t="s">
        <v>816</v>
      </c>
      <c r="G757" t="str">
        <f>'Raw Data bck'!F757&amp;"/USD"</f>
        <v>GBP/USD</v>
      </c>
      <c r="H757" s="15">
        <v>2340.3000000000002</v>
      </c>
      <c r="I757" s="11" t="s">
        <v>821</v>
      </c>
      <c r="J757" s="13">
        <f>IF(I757="Open",H757,IF(I757="Paid",0,"N/A"))</f>
        <v>0</v>
      </c>
      <c r="K757" s="4">
        <v>45737</v>
      </c>
      <c r="L757" t="s">
        <v>822</v>
      </c>
    </row>
    <row r="758" spans="1:12" x14ac:dyDescent="0.35">
      <c r="A758" t="s">
        <v>765</v>
      </c>
      <c r="B758" t="s">
        <v>813</v>
      </c>
      <c r="C758" s="9">
        <v>45613</v>
      </c>
      <c r="D758" s="9">
        <v>45643</v>
      </c>
      <c r="E758">
        <v>4374.09</v>
      </c>
      <c r="F758" t="s">
        <v>814</v>
      </c>
      <c r="G758" t="str">
        <f>'Raw Data bck'!F758&amp;"/USD"</f>
        <v>EUR/USD</v>
      </c>
      <c r="H758" s="16">
        <v>5093.1899999999996</v>
      </c>
      <c r="I758" s="11" t="s">
        <v>820</v>
      </c>
      <c r="J758" s="13" t="str">
        <f>IF(I758="Open",H758,IF(I758="Paid",0,"N/A"))</f>
        <v>N/A</v>
      </c>
      <c r="L758" t="s">
        <v>822</v>
      </c>
    </row>
    <row r="759" spans="1:12" x14ac:dyDescent="0.35">
      <c r="A759" t="s">
        <v>766</v>
      </c>
      <c r="B759" t="s">
        <v>809</v>
      </c>
      <c r="C759" s="9">
        <v>45162</v>
      </c>
      <c r="D759" s="9">
        <v>45192</v>
      </c>
      <c r="E759">
        <v>3289.59</v>
      </c>
      <c r="F759" t="s">
        <v>815</v>
      </c>
      <c r="G759" t="str">
        <f>'Raw Data bck'!F759&amp;"/USD"</f>
        <v>CAD/USD</v>
      </c>
      <c r="H759" s="15">
        <v>2375.08</v>
      </c>
      <c r="I759" s="11" t="s">
        <v>819</v>
      </c>
      <c r="J759" s="13">
        <f>IF(I759="Open",H759,IF(I759="Paid",0,"N/A"))</f>
        <v>2375.08</v>
      </c>
      <c r="L759" t="s">
        <v>822</v>
      </c>
    </row>
    <row r="760" spans="1:12" x14ac:dyDescent="0.35">
      <c r="A760" t="s">
        <v>767</v>
      </c>
      <c r="B760" t="s">
        <v>811</v>
      </c>
      <c r="C760" s="9">
        <v>45301</v>
      </c>
      <c r="D760" s="9">
        <v>45331</v>
      </c>
      <c r="E760">
        <v>2204.2800000000002</v>
      </c>
      <c r="F760" t="s">
        <v>817</v>
      </c>
      <c r="G760" t="str">
        <f>'Raw Data bck'!F760&amp;"/USD"</f>
        <v>USD/USD</v>
      </c>
      <c r="H760" s="15">
        <v>2204.2800000000002</v>
      </c>
      <c r="I760" s="11" t="s">
        <v>821</v>
      </c>
      <c r="J760" s="13">
        <f>IF(I760="Open",H760,IF(I760="Paid",0,"N/A"))</f>
        <v>0</v>
      </c>
      <c r="K760" s="4">
        <v>45331</v>
      </c>
      <c r="L760" t="s">
        <v>822</v>
      </c>
    </row>
    <row r="761" spans="1:12" x14ac:dyDescent="0.35">
      <c r="A761" t="s">
        <v>768</v>
      </c>
      <c r="B761" t="s">
        <v>811</v>
      </c>
      <c r="C761" s="9">
        <v>45340</v>
      </c>
      <c r="D761" s="9">
        <v>45370</v>
      </c>
      <c r="E761">
        <v>3457.45</v>
      </c>
      <c r="F761" t="s">
        <v>816</v>
      </c>
      <c r="G761" t="str">
        <f>'Raw Data bck'!F761&amp;"/USD"</f>
        <v>GBP/USD</v>
      </c>
      <c r="H761" s="15">
        <v>4697.9799999999996</v>
      </c>
      <c r="I761" s="11" t="s">
        <v>819</v>
      </c>
      <c r="J761" s="13">
        <f>IF(I761="Open",H761,IF(I761="Paid",0,"N/A"))</f>
        <v>4697.9799999999996</v>
      </c>
      <c r="L761" t="s">
        <v>822</v>
      </c>
    </row>
    <row r="762" spans="1:12" x14ac:dyDescent="0.35">
      <c r="A762" t="s">
        <v>769</v>
      </c>
      <c r="B762" t="s">
        <v>813</v>
      </c>
      <c r="C762" s="9">
        <v>45054</v>
      </c>
      <c r="D762" s="9">
        <v>45084</v>
      </c>
      <c r="E762">
        <v>2571.9</v>
      </c>
      <c r="F762" t="s">
        <v>817</v>
      </c>
      <c r="G762" t="str">
        <f>'Raw Data bck'!F762&amp;"/USD"</f>
        <v>USD/USD</v>
      </c>
      <c r="H762" s="15">
        <v>2571.9</v>
      </c>
      <c r="I762" s="11" t="s">
        <v>821</v>
      </c>
      <c r="J762" s="13">
        <f>IF(I762="Open",H762,IF(I762="Paid",0,"N/A"))</f>
        <v>0</v>
      </c>
      <c r="K762" s="4">
        <v>45084</v>
      </c>
      <c r="L762" t="s">
        <v>822</v>
      </c>
    </row>
    <row r="763" spans="1:12" x14ac:dyDescent="0.35">
      <c r="A763" t="s">
        <v>770</v>
      </c>
      <c r="B763" t="s">
        <v>809</v>
      </c>
      <c r="C763" s="9">
        <v>45618</v>
      </c>
      <c r="D763" s="9">
        <v>45648</v>
      </c>
      <c r="E763">
        <v>2573.94</v>
      </c>
      <c r="F763" t="s">
        <v>814</v>
      </c>
      <c r="G763" t="str">
        <f>'Raw Data bck'!F763&amp;"/USD"</f>
        <v>EUR/USD</v>
      </c>
      <c r="H763" s="15">
        <v>2997.1</v>
      </c>
      <c r="I763" s="11" t="s">
        <v>821</v>
      </c>
      <c r="J763" s="13">
        <f>IF(I763="Open",H763,IF(I763="Paid",0,"N/A"))</f>
        <v>0</v>
      </c>
      <c r="K763" s="4">
        <v>45648</v>
      </c>
      <c r="L763" t="s">
        <v>822</v>
      </c>
    </row>
    <row r="764" spans="1:12" x14ac:dyDescent="0.35">
      <c r="A764" t="s">
        <v>771</v>
      </c>
      <c r="B764" t="s">
        <v>809</v>
      </c>
      <c r="C764" s="9">
        <v>45679</v>
      </c>
      <c r="D764" s="9">
        <v>45709</v>
      </c>
      <c r="E764">
        <v>3760.26</v>
      </c>
      <c r="F764" t="s">
        <v>817</v>
      </c>
      <c r="G764" t="str">
        <f>'Raw Data bck'!F764&amp;"/USD"</f>
        <v>USD/USD</v>
      </c>
      <c r="H764" s="15">
        <v>3760.26</v>
      </c>
      <c r="I764" s="11" t="s">
        <v>819</v>
      </c>
      <c r="J764" s="13">
        <f>IF(I764="Open",H764,IF(I764="Paid",0,"N/A"))</f>
        <v>3760.26</v>
      </c>
      <c r="L764" t="s">
        <v>822</v>
      </c>
    </row>
    <row r="765" spans="1:12" x14ac:dyDescent="0.35">
      <c r="A765" t="s">
        <v>772</v>
      </c>
      <c r="B765" t="s">
        <v>813</v>
      </c>
      <c r="C765" s="9">
        <v>45385</v>
      </c>
      <c r="D765" s="9">
        <v>45415</v>
      </c>
      <c r="E765">
        <v>645.44000000000005</v>
      </c>
      <c r="F765" t="s">
        <v>817</v>
      </c>
      <c r="G765" t="str">
        <f>'Raw Data bck'!F765&amp;"/USD"</f>
        <v>USD/USD</v>
      </c>
      <c r="H765" s="15">
        <v>645.44000000000005</v>
      </c>
      <c r="I765" s="11" t="s">
        <v>821</v>
      </c>
      <c r="J765" s="13">
        <f>IF(I765="Open",H765,IF(I765="Paid",0,"N/A"))</f>
        <v>0</v>
      </c>
      <c r="K765" s="4">
        <v>45415</v>
      </c>
      <c r="L765" t="s">
        <v>822</v>
      </c>
    </row>
    <row r="766" spans="1:12" x14ac:dyDescent="0.35">
      <c r="A766" t="s">
        <v>773</v>
      </c>
      <c r="B766" t="s">
        <v>813</v>
      </c>
      <c r="C766" s="9">
        <v>45148</v>
      </c>
      <c r="D766" s="9">
        <v>45178</v>
      </c>
      <c r="E766">
        <v>948.66</v>
      </c>
      <c r="F766" t="s">
        <v>816</v>
      </c>
      <c r="G766" t="str">
        <f>'Raw Data bck'!F766&amp;"/USD"</f>
        <v>GBP/USD</v>
      </c>
      <c r="H766" s="15">
        <v>1289.04</v>
      </c>
      <c r="I766" s="11" t="s">
        <v>821</v>
      </c>
      <c r="J766" s="13">
        <f>IF(I766="Open",H766,IF(I766="Paid",0,"N/A"))</f>
        <v>0</v>
      </c>
      <c r="K766" s="4">
        <v>45178</v>
      </c>
      <c r="L766" t="s">
        <v>822</v>
      </c>
    </row>
    <row r="767" spans="1:12" x14ac:dyDescent="0.35">
      <c r="A767" t="s">
        <v>774</v>
      </c>
      <c r="B767" t="s">
        <v>813</v>
      </c>
      <c r="C767" s="9">
        <v>45070</v>
      </c>
      <c r="D767" s="9">
        <v>45100</v>
      </c>
      <c r="E767">
        <v>4936.8</v>
      </c>
      <c r="F767" t="s">
        <v>818</v>
      </c>
      <c r="G767" t="str">
        <f>'Raw Data bck'!F767&amp;"/USD"</f>
        <v>AUD/USD</v>
      </c>
      <c r="H767" s="15">
        <v>3553.01</v>
      </c>
      <c r="I767" s="11" t="s">
        <v>821</v>
      </c>
      <c r="J767" s="13">
        <f>IF(I767="Open",H767,IF(I767="Paid",0,"N/A"))</f>
        <v>0</v>
      </c>
      <c r="K767" s="4">
        <v>45100</v>
      </c>
      <c r="L767" t="s">
        <v>822</v>
      </c>
    </row>
    <row r="768" spans="1:12" x14ac:dyDescent="0.35">
      <c r="A768" t="s">
        <v>775</v>
      </c>
      <c r="B768" t="s">
        <v>811</v>
      </c>
      <c r="C768" s="9">
        <v>44988</v>
      </c>
      <c r="D768" s="9">
        <v>45018</v>
      </c>
      <c r="E768">
        <v>4286.67</v>
      </c>
      <c r="F768" t="s">
        <v>817</v>
      </c>
      <c r="G768" t="str">
        <f>'Raw Data bck'!F768&amp;"/USD"</f>
        <v>USD/USD</v>
      </c>
      <c r="H768" s="15">
        <v>4286.67</v>
      </c>
      <c r="I768" s="11" t="s">
        <v>821</v>
      </c>
      <c r="J768" s="13">
        <f>IF(I768="Open",H768,IF(I768="Paid",0,"N/A"))</f>
        <v>0</v>
      </c>
      <c r="K768" s="4">
        <v>45018</v>
      </c>
      <c r="L768" t="s">
        <v>822</v>
      </c>
    </row>
    <row r="769" spans="1:12" x14ac:dyDescent="0.35">
      <c r="A769" t="s">
        <v>776</v>
      </c>
      <c r="B769" t="s">
        <v>810</v>
      </c>
      <c r="C769" s="9">
        <v>45263</v>
      </c>
      <c r="D769" s="9">
        <v>45293</v>
      </c>
      <c r="E769">
        <v>4346.29</v>
      </c>
      <c r="F769" t="s">
        <v>816</v>
      </c>
      <c r="G769" t="str">
        <f>'Raw Data bck'!F769&amp;"/USD"</f>
        <v>GBP/USD</v>
      </c>
      <c r="H769" s="16">
        <v>5905.74</v>
      </c>
      <c r="I769" s="11" t="s">
        <v>820</v>
      </c>
      <c r="J769" s="13" t="str">
        <f>IF(I769="Open",H769,IF(I769="Paid",0,"N/A"))</f>
        <v>N/A</v>
      </c>
      <c r="L769" t="s">
        <v>822</v>
      </c>
    </row>
    <row r="770" spans="1:12" x14ac:dyDescent="0.35">
      <c r="A770" t="s">
        <v>777</v>
      </c>
      <c r="B770" t="s">
        <v>810</v>
      </c>
      <c r="C770" s="9">
        <v>45659</v>
      </c>
      <c r="D770" s="9">
        <v>45689</v>
      </c>
      <c r="E770">
        <v>2978.71</v>
      </c>
      <c r="F770" t="s">
        <v>816</v>
      </c>
      <c r="G770" t="str">
        <f>'Raw Data bck'!F770&amp;"/USD"</f>
        <v>GBP/USD</v>
      </c>
      <c r="H770" s="16">
        <v>4047.47</v>
      </c>
      <c r="I770" s="11" t="s">
        <v>820</v>
      </c>
      <c r="J770" s="13" t="str">
        <f>IF(I770="Open",H770,IF(I770="Paid",0,"N/A"))</f>
        <v>N/A</v>
      </c>
      <c r="L770" t="s">
        <v>822</v>
      </c>
    </row>
    <row r="771" spans="1:12" x14ac:dyDescent="0.35">
      <c r="A771" t="s">
        <v>778</v>
      </c>
      <c r="B771" t="s">
        <v>811</v>
      </c>
      <c r="C771" s="9">
        <v>45752</v>
      </c>
      <c r="D771" s="9">
        <v>45782</v>
      </c>
      <c r="E771">
        <v>3489.97</v>
      </c>
      <c r="F771" t="s">
        <v>815</v>
      </c>
      <c r="G771" t="str">
        <f>'Raw Data bck'!F771&amp;"/USD"</f>
        <v>CAD/USD</v>
      </c>
      <c r="H771" s="15">
        <v>2519.7600000000002</v>
      </c>
      <c r="I771" s="11" t="s">
        <v>819</v>
      </c>
      <c r="J771" s="13">
        <f>IF(I771="Open",H771,IF(I771="Paid",0,"N/A"))</f>
        <v>2519.7600000000002</v>
      </c>
      <c r="L771" t="s">
        <v>822</v>
      </c>
    </row>
    <row r="772" spans="1:12" x14ac:dyDescent="0.35">
      <c r="A772" t="s">
        <v>779</v>
      </c>
      <c r="B772" t="s">
        <v>812</v>
      </c>
      <c r="C772" s="9">
        <v>45648</v>
      </c>
      <c r="D772" s="9">
        <v>45678</v>
      </c>
      <c r="E772">
        <v>290.89999999999998</v>
      </c>
      <c r="F772" t="s">
        <v>814</v>
      </c>
      <c r="G772" t="str">
        <f>'Raw Data bck'!F772&amp;"/USD"</f>
        <v>EUR/USD</v>
      </c>
      <c r="H772" s="15">
        <v>338.72</v>
      </c>
      <c r="I772" s="11" t="s">
        <v>819</v>
      </c>
      <c r="J772" s="13">
        <f>IF(I772="Open",H772,IF(I772="Paid",0,"N/A"))</f>
        <v>338.72</v>
      </c>
      <c r="L772" t="s">
        <v>822</v>
      </c>
    </row>
    <row r="773" spans="1:12" x14ac:dyDescent="0.35">
      <c r="A773" t="s">
        <v>780</v>
      </c>
      <c r="B773" t="s">
        <v>813</v>
      </c>
      <c r="C773" s="9">
        <v>45725</v>
      </c>
      <c r="D773" s="9">
        <v>45755</v>
      </c>
      <c r="E773">
        <v>2592.92</v>
      </c>
      <c r="F773" t="s">
        <v>816</v>
      </c>
      <c r="G773" t="str">
        <f>'Raw Data bck'!F773&amp;"/USD"</f>
        <v>GBP/USD</v>
      </c>
      <c r="H773" s="16">
        <v>3523.26</v>
      </c>
      <c r="I773" s="11" t="s">
        <v>820</v>
      </c>
      <c r="J773" s="13" t="str">
        <f>IF(I773="Open",H773,IF(I773="Paid",0,"N/A"))</f>
        <v>N/A</v>
      </c>
      <c r="L773" t="s">
        <v>822</v>
      </c>
    </row>
    <row r="774" spans="1:12" x14ac:dyDescent="0.35">
      <c r="A774" t="s">
        <v>781</v>
      </c>
      <c r="B774" t="s">
        <v>811</v>
      </c>
      <c r="C774" s="9">
        <v>45505</v>
      </c>
      <c r="D774" s="9">
        <v>45535</v>
      </c>
      <c r="E774">
        <v>4904.8599999999997</v>
      </c>
      <c r="F774" t="s">
        <v>815</v>
      </c>
      <c r="G774" t="str">
        <f>'Raw Data bck'!F774&amp;"/USD"</f>
        <v>CAD/USD</v>
      </c>
      <c r="H774" s="15">
        <v>3541.31</v>
      </c>
      <c r="I774" s="11" t="s">
        <v>819</v>
      </c>
      <c r="J774" s="13">
        <f>IF(I774="Open",H774,IF(I774="Paid",0,"N/A"))</f>
        <v>3541.31</v>
      </c>
      <c r="L774" t="s">
        <v>822</v>
      </c>
    </row>
    <row r="775" spans="1:12" x14ac:dyDescent="0.35">
      <c r="A775" t="s">
        <v>782</v>
      </c>
      <c r="B775" t="s">
        <v>811</v>
      </c>
      <c r="C775" s="9">
        <v>45738</v>
      </c>
      <c r="D775" s="9">
        <v>45768</v>
      </c>
      <c r="E775">
        <v>2807.72</v>
      </c>
      <c r="F775" t="s">
        <v>816</v>
      </c>
      <c r="G775" t="str">
        <f>'Raw Data bck'!F775&amp;"/USD"</f>
        <v>GBP/USD</v>
      </c>
      <c r="H775" s="16">
        <v>3815.13</v>
      </c>
      <c r="I775" s="11" t="s">
        <v>820</v>
      </c>
      <c r="J775" s="13" t="str">
        <f>IF(I775="Open",H775,IF(I775="Paid",0,"N/A"))</f>
        <v>N/A</v>
      </c>
      <c r="L775" t="s">
        <v>822</v>
      </c>
    </row>
    <row r="776" spans="1:12" x14ac:dyDescent="0.35">
      <c r="A776" t="s">
        <v>783</v>
      </c>
      <c r="B776" t="s">
        <v>812</v>
      </c>
      <c r="C776" s="9">
        <v>45716</v>
      </c>
      <c r="D776" s="9">
        <v>45746</v>
      </c>
      <c r="E776">
        <v>3910.59</v>
      </c>
      <c r="F776" t="s">
        <v>814</v>
      </c>
      <c r="G776" t="str">
        <f>'Raw Data bck'!F776&amp;"/USD"</f>
        <v>EUR/USD</v>
      </c>
      <c r="H776" s="15">
        <v>4553.49</v>
      </c>
      <c r="I776" s="11" t="s">
        <v>819</v>
      </c>
      <c r="J776" s="13">
        <f>IF(I776="Open",H776,IF(I776="Paid",0,"N/A"))</f>
        <v>4553.49</v>
      </c>
      <c r="L776" t="s">
        <v>822</v>
      </c>
    </row>
    <row r="777" spans="1:12" x14ac:dyDescent="0.35">
      <c r="A777" t="s">
        <v>784</v>
      </c>
      <c r="B777" t="s">
        <v>812</v>
      </c>
      <c r="C777" s="9">
        <v>45083</v>
      </c>
      <c r="D777" s="9">
        <v>45113</v>
      </c>
      <c r="E777">
        <v>1583.9</v>
      </c>
      <c r="F777" t="s">
        <v>814</v>
      </c>
      <c r="G777" t="str">
        <f>'Raw Data bck'!F777&amp;"/USD"</f>
        <v>EUR/USD</v>
      </c>
      <c r="H777" s="16">
        <v>1844.29</v>
      </c>
      <c r="I777" s="11" t="s">
        <v>820</v>
      </c>
      <c r="J777" s="13" t="str">
        <f>IF(I777="Open",H777,IF(I777="Paid",0,"N/A"))</f>
        <v>N/A</v>
      </c>
      <c r="L777" t="s">
        <v>822</v>
      </c>
    </row>
    <row r="778" spans="1:12" x14ac:dyDescent="0.35">
      <c r="A778" t="s">
        <v>785</v>
      </c>
      <c r="B778" t="s">
        <v>809</v>
      </c>
      <c r="C778" s="9">
        <v>45723</v>
      </c>
      <c r="D778" s="9">
        <v>45753</v>
      </c>
      <c r="E778">
        <v>734.99</v>
      </c>
      <c r="F778" t="s">
        <v>816</v>
      </c>
      <c r="G778" t="str">
        <f>'Raw Data bck'!F778&amp;"/USD"</f>
        <v>GBP/USD</v>
      </c>
      <c r="H778" s="16">
        <v>998.7</v>
      </c>
      <c r="I778" s="11" t="s">
        <v>820</v>
      </c>
      <c r="J778" s="13" t="str">
        <f>IF(I778="Open",H778,IF(I778="Paid",0,"N/A"))</f>
        <v>N/A</v>
      </c>
      <c r="L778" t="s">
        <v>822</v>
      </c>
    </row>
    <row r="779" spans="1:12" x14ac:dyDescent="0.35">
      <c r="A779" t="s">
        <v>786</v>
      </c>
      <c r="B779" t="s">
        <v>811</v>
      </c>
      <c r="C779" s="9">
        <v>45315</v>
      </c>
      <c r="D779" s="9">
        <v>45345</v>
      </c>
      <c r="E779">
        <v>2547.7800000000002</v>
      </c>
      <c r="F779" t="s">
        <v>818</v>
      </c>
      <c r="G779" t="str">
        <f>'Raw Data bck'!F779&amp;"/USD"</f>
        <v>AUD/USD</v>
      </c>
      <c r="H779" s="15">
        <v>1833.64</v>
      </c>
      <c r="I779" s="11" t="s">
        <v>819</v>
      </c>
      <c r="J779" s="13">
        <f>IF(I779="Open",H779,IF(I779="Paid",0,"N/A"))</f>
        <v>1833.64</v>
      </c>
      <c r="L779" t="s">
        <v>822</v>
      </c>
    </row>
    <row r="780" spans="1:12" x14ac:dyDescent="0.35">
      <c r="A780" t="s">
        <v>787</v>
      </c>
      <c r="B780" t="s">
        <v>811</v>
      </c>
      <c r="C780" s="9">
        <v>45608</v>
      </c>
      <c r="D780" s="9">
        <v>45638</v>
      </c>
      <c r="E780">
        <v>4777.6400000000003</v>
      </c>
      <c r="F780" t="s">
        <v>818</v>
      </c>
      <c r="G780" t="str">
        <f>'Raw Data bck'!F780&amp;"/USD"</f>
        <v>AUD/USD</v>
      </c>
      <c r="H780" s="16">
        <v>3438.47</v>
      </c>
      <c r="I780" s="11" t="s">
        <v>820</v>
      </c>
      <c r="J780" s="13" t="str">
        <f>IF(I780="Open",H780,IF(I780="Paid",0,"N/A"))</f>
        <v>N/A</v>
      </c>
      <c r="L780" t="s">
        <v>822</v>
      </c>
    </row>
    <row r="781" spans="1:12" x14ac:dyDescent="0.35">
      <c r="A781" t="s">
        <v>788</v>
      </c>
      <c r="B781" t="s">
        <v>810</v>
      </c>
      <c r="C781" s="9">
        <v>45231</v>
      </c>
      <c r="D781" s="9">
        <v>45261</v>
      </c>
      <c r="E781">
        <v>791.99</v>
      </c>
      <c r="F781" t="s">
        <v>816</v>
      </c>
      <c r="G781" t="str">
        <f>'Raw Data bck'!F781&amp;"/USD"</f>
        <v>GBP/USD</v>
      </c>
      <c r="H781" s="15">
        <v>1076.1600000000001</v>
      </c>
      <c r="I781" s="11" t="s">
        <v>821</v>
      </c>
      <c r="J781" s="13">
        <f>IF(I781="Open",H781,IF(I781="Paid",0,"N/A"))</f>
        <v>0</v>
      </c>
      <c r="K781" s="4">
        <v>45261</v>
      </c>
      <c r="L781" t="s">
        <v>822</v>
      </c>
    </row>
    <row r="782" spans="1:12" x14ac:dyDescent="0.35">
      <c r="A782" t="s">
        <v>789</v>
      </c>
      <c r="B782" t="s">
        <v>811</v>
      </c>
      <c r="C782" s="9">
        <v>45533</v>
      </c>
      <c r="D782" s="9">
        <v>45563</v>
      </c>
      <c r="E782">
        <v>4963.01</v>
      </c>
      <c r="F782" t="s">
        <v>817</v>
      </c>
      <c r="G782" t="str">
        <f>'Raw Data bck'!F782&amp;"/USD"</f>
        <v>USD/USD</v>
      </c>
      <c r="H782" s="16">
        <v>4963.01</v>
      </c>
      <c r="I782" s="11" t="s">
        <v>820</v>
      </c>
      <c r="J782" s="13" t="str">
        <f>IF(I782="Open",H782,IF(I782="Paid",0,"N/A"))</f>
        <v>N/A</v>
      </c>
      <c r="L782" t="s">
        <v>822</v>
      </c>
    </row>
    <row r="783" spans="1:12" x14ac:dyDescent="0.35">
      <c r="A783" t="s">
        <v>790</v>
      </c>
      <c r="B783" t="s">
        <v>809</v>
      </c>
      <c r="C783" s="9">
        <v>45126</v>
      </c>
      <c r="D783" s="9">
        <v>45156</v>
      </c>
      <c r="E783">
        <v>4539.28</v>
      </c>
      <c r="F783" t="s">
        <v>816</v>
      </c>
      <c r="G783" t="str">
        <f>'Raw Data bck'!F783&amp;"/USD"</f>
        <v>GBP/USD</v>
      </c>
      <c r="H783" s="15">
        <v>6167.97</v>
      </c>
      <c r="I783" s="11" t="s">
        <v>821</v>
      </c>
      <c r="J783" s="13">
        <f>IF(I783="Open",H783,IF(I783="Paid",0,"N/A"))</f>
        <v>0</v>
      </c>
      <c r="K783" s="4">
        <v>45156</v>
      </c>
      <c r="L783" t="s">
        <v>822</v>
      </c>
    </row>
    <row r="784" spans="1:12" x14ac:dyDescent="0.35">
      <c r="A784" t="s">
        <v>791</v>
      </c>
      <c r="B784" t="s">
        <v>810</v>
      </c>
      <c r="C784" s="9">
        <v>45615</v>
      </c>
      <c r="D784" s="9">
        <v>45645</v>
      </c>
      <c r="E784">
        <v>3114.85</v>
      </c>
      <c r="F784" t="s">
        <v>814</v>
      </c>
      <c r="G784" t="str">
        <f>'Raw Data bck'!F784&amp;"/USD"</f>
        <v>EUR/USD</v>
      </c>
      <c r="H784" s="16">
        <v>3626.93</v>
      </c>
      <c r="I784" s="11" t="s">
        <v>820</v>
      </c>
      <c r="J784" s="13" t="str">
        <f>IF(I784="Open",H784,IF(I784="Paid",0,"N/A"))</f>
        <v>N/A</v>
      </c>
      <c r="L784" t="s">
        <v>822</v>
      </c>
    </row>
    <row r="785" spans="1:12" x14ac:dyDescent="0.35">
      <c r="A785" t="s">
        <v>792</v>
      </c>
      <c r="B785" t="s">
        <v>812</v>
      </c>
      <c r="C785" s="9">
        <v>45768</v>
      </c>
      <c r="D785" s="9">
        <v>45798</v>
      </c>
      <c r="E785">
        <v>3340.58</v>
      </c>
      <c r="F785" t="s">
        <v>818</v>
      </c>
      <c r="G785" t="str">
        <f>'Raw Data bck'!F785&amp;"/USD"</f>
        <v>AUD/USD</v>
      </c>
      <c r="H785" s="15">
        <v>2404.2199999999998</v>
      </c>
      <c r="I785" s="11" t="s">
        <v>821</v>
      </c>
      <c r="J785" s="13">
        <f>IF(I785="Open",H785,IF(I785="Paid",0,"N/A"))</f>
        <v>0</v>
      </c>
      <c r="K785" s="4">
        <v>45798</v>
      </c>
      <c r="L785" t="s">
        <v>822</v>
      </c>
    </row>
    <row r="786" spans="1:12" x14ac:dyDescent="0.35">
      <c r="A786" t="s">
        <v>793</v>
      </c>
      <c r="B786" t="s">
        <v>811</v>
      </c>
      <c r="C786" s="9">
        <v>45754</v>
      </c>
      <c r="D786" s="9">
        <v>45784</v>
      </c>
      <c r="E786">
        <v>4187.3</v>
      </c>
      <c r="F786" t="s">
        <v>818</v>
      </c>
      <c r="G786" t="str">
        <f>'Raw Data bck'!F786&amp;"/USD"</f>
        <v>AUD/USD</v>
      </c>
      <c r="H786" s="15">
        <v>3013.6</v>
      </c>
      <c r="I786" s="11" t="s">
        <v>821</v>
      </c>
      <c r="J786" s="13">
        <f>IF(I786="Open",H786,IF(I786="Paid",0,"N/A"))</f>
        <v>0</v>
      </c>
      <c r="K786" s="4">
        <v>45784</v>
      </c>
      <c r="L786" t="s">
        <v>822</v>
      </c>
    </row>
    <row r="787" spans="1:12" x14ac:dyDescent="0.35">
      <c r="A787" t="s">
        <v>794</v>
      </c>
      <c r="B787" t="s">
        <v>810</v>
      </c>
      <c r="C787" s="9">
        <v>45249</v>
      </c>
      <c r="D787" s="9">
        <v>45279</v>
      </c>
      <c r="E787">
        <v>4020.64</v>
      </c>
      <c r="F787" t="s">
        <v>815</v>
      </c>
      <c r="G787" t="str">
        <f>'Raw Data bck'!F787&amp;"/USD"</f>
        <v>CAD/USD</v>
      </c>
      <c r="H787" s="15">
        <v>2902.9</v>
      </c>
      <c r="I787" s="11" t="s">
        <v>821</v>
      </c>
      <c r="J787" s="13">
        <f>IF(I787="Open",H787,IF(I787="Paid",0,"N/A"))</f>
        <v>0</v>
      </c>
      <c r="K787" s="4">
        <v>45279</v>
      </c>
      <c r="L787" t="s">
        <v>822</v>
      </c>
    </row>
    <row r="788" spans="1:12" x14ac:dyDescent="0.35">
      <c r="A788" t="s">
        <v>795</v>
      </c>
      <c r="B788" t="s">
        <v>813</v>
      </c>
      <c r="C788" s="9">
        <v>45687</v>
      </c>
      <c r="D788" s="9">
        <v>45717</v>
      </c>
      <c r="E788">
        <v>755.89</v>
      </c>
      <c r="F788" t="s">
        <v>816</v>
      </c>
      <c r="G788" t="str">
        <f>'Raw Data bck'!F788&amp;"/USD"</f>
        <v>GBP/USD</v>
      </c>
      <c r="H788" s="16">
        <v>1027.0999999999999</v>
      </c>
      <c r="I788" s="11" t="s">
        <v>820</v>
      </c>
      <c r="J788" s="13" t="str">
        <f>IF(I788="Open",H788,IF(I788="Paid",0,"N/A"))</f>
        <v>N/A</v>
      </c>
      <c r="L788" t="s">
        <v>822</v>
      </c>
    </row>
    <row r="789" spans="1:12" x14ac:dyDescent="0.35">
      <c r="A789" t="s">
        <v>796</v>
      </c>
      <c r="B789" t="s">
        <v>811</v>
      </c>
      <c r="C789" s="9">
        <v>45115</v>
      </c>
      <c r="D789" s="9">
        <v>45145</v>
      </c>
      <c r="E789">
        <v>1670.28</v>
      </c>
      <c r="F789" t="s">
        <v>815</v>
      </c>
      <c r="G789" t="str">
        <f>'Raw Data bck'!F789&amp;"/USD"</f>
        <v>CAD/USD</v>
      </c>
      <c r="H789" s="15">
        <v>1205.94</v>
      </c>
      <c r="I789" s="11" t="s">
        <v>821</v>
      </c>
      <c r="J789" s="13">
        <f>IF(I789="Open",H789,IF(I789="Paid",0,"N/A"))</f>
        <v>0</v>
      </c>
      <c r="K789" s="4">
        <v>45145</v>
      </c>
      <c r="L789" t="s">
        <v>822</v>
      </c>
    </row>
    <row r="790" spans="1:12" x14ac:dyDescent="0.35">
      <c r="A790" t="s">
        <v>797</v>
      </c>
      <c r="B790" t="s">
        <v>809</v>
      </c>
      <c r="C790" s="9">
        <v>45551</v>
      </c>
      <c r="D790" s="9">
        <v>45581</v>
      </c>
      <c r="E790">
        <v>4064.87</v>
      </c>
      <c r="F790" t="s">
        <v>814</v>
      </c>
      <c r="G790" t="str">
        <f>'Raw Data bck'!F790&amp;"/USD"</f>
        <v>EUR/USD</v>
      </c>
      <c r="H790" s="16">
        <v>4733.13</v>
      </c>
      <c r="I790" s="11" t="s">
        <v>820</v>
      </c>
      <c r="J790" s="13" t="str">
        <f>IF(I790="Open",H790,IF(I790="Paid",0,"N/A"))</f>
        <v>N/A</v>
      </c>
      <c r="L790" t="s">
        <v>822</v>
      </c>
    </row>
    <row r="791" spans="1:12" x14ac:dyDescent="0.35">
      <c r="A791" t="s">
        <v>798</v>
      </c>
      <c r="B791" t="s">
        <v>810</v>
      </c>
      <c r="C791" s="9">
        <v>44975</v>
      </c>
      <c r="D791" s="9">
        <v>45005</v>
      </c>
      <c r="E791">
        <v>4071.09</v>
      </c>
      <c r="F791" t="s">
        <v>817</v>
      </c>
      <c r="G791" t="str">
        <f>'Raw Data bck'!F791&amp;"/USD"</f>
        <v>USD/USD</v>
      </c>
      <c r="H791" s="16">
        <v>4071.09</v>
      </c>
      <c r="I791" s="11" t="s">
        <v>820</v>
      </c>
      <c r="J791" s="13" t="str">
        <f>IF(I791="Open",H791,IF(I791="Paid",0,"N/A"))</f>
        <v>N/A</v>
      </c>
      <c r="L791" t="s">
        <v>822</v>
      </c>
    </row>
    <row r="792" spans="1:12" x14ac:dyDescent="0.35">
      <c r="A792" t="s">
        <v>799</v>
      </c>
      <c r="B792" t="s">
        <v>809</v>
      </c>
      <c r="C792" s="9">
        <v>45682</v>
      </c>
      <c r="D792" s="9">
        <v>45712</v>
      </c>
      <c r="E792">
        <v>311.52</v>
      </c>
      <c r="F792" t="s">
        <v>816</v>
      </c>
      <c r="G792" t="str">
        <f>'Raw Data bck'!F792&amp;"/USD"</f>
        <v>GBP/USD</v>
      </c>
      <c r="H792" s="15">
        <v>423.29</v>
      </c>
      <c r="I792" s="11" t="s">
        <v>819</v>
      </c>
      <c r="J792" s="13">
        <f>IF(I792="Open",H792,IF(I792="Paid",0,"N/A"))</f>
        <v>423.29</v>
      </c>
      <c r="L792" t="s">
        <v>822</v>
      </c>
    </row>
    <row r="793" spans="1:12" x14ac:dyDescent="0.35">
      <c r="A793" t="s">
        <v>800</v>
      </c>
      <c r="B793" t="s">
        <v>810</v>
      </c>
      <c r="C793" s="9">
        <v>45467</v>
      </c>
      <c r="D793" s="9">
        <v>45497</v>
      </c>
      <c r="E793">
        <v>4351.8</v>
      </c>
      <c r="F793" t="s">
        <v>818</v>
      </c>
      <c r="G793" t="str">
        <f>'Raw Data bck'!F793&amp;"/USD"</f>
        <v>AUD/USD</v>
      </c>
      <c r="H793" s="15">
        <v>3131.99</v>
      </c>
      <c r="I793" s="11" t="s">
        <v>821</v>
      </c>
      <c r="J793" s="13">
        <f>IF(I793="Open",H793,IF(I793="Paid",0,"N/A"))</f>
        <v>0</v>
      </c>
      <c r="K793" s="4">
        <v>45497</v>
      </c>
      <c r="L793" t="s">
        <v>822</v>
      </c>
    </row>
    <row r="794" spans="1:12" x14ac:dyDescent="0.35">
      <c r="A794" t="s">
        <v>801</v>
      </c>
      <c r="B794" t="s">
        <v>809</v>
      </c>
      <c r="C794" s="9">
        <v>45354</v>
      </c>
      <c r="D794" s="9">
        <v>45384</v>
      </c>
      <c r="E794">
        <v>3524.51</v>
      </c>
      <c r="F794" t="s">
        <v>816</v>
      </c>
      <c r="G794" t="str">
        <f>'Raw Data bck'!F794&amp;"/USD"</f>
        <v>GBP/USD</v>
      </c>
      <c r="H794" s="15">
        <v>4789.1000000000004</v>
      </c>
      <c r="I794" s="11" t="s">
        <v>819</v>
      </c>
      <c r="J794" s="13">
        <f>IF(I794="Open",H794,IF(I794="Paid",0,"N/A"))</f>
        <v>4789.1000000000004</v>
      </c>
      <c r="L794" t="s">
        <v>822</v>
      </c>
    </row>
    <row r="795" spans="1:12" x14ac:dyDescent="0.35">
      <c r="A795" t="s">
        <v>802</v>
      </c>
      <c r="B795" t="s">
        <v>809</v>
      </c>
      <c r="C795" s="9">
        <v>44978</v>
      </c>
      <c r="D795" s="9">
        <v>45008</v>
      </c>
      <c r="E795">
        <v>2999.23</v>
      </c>
      <c r="F795" t="s">
        <v>818</v>
      </c>
      <c r="G795" t="str">
        <f>'Raw Data bck'!F795&amp;"/USD"</f>
        <v>AUD/USD</v>
      </c>
      <c r="H795" s="15">
        <v>2158.5500000000002</v>
      </c>
      <c r="I795" s="11" t="s">
        <v>821</v>
      </c>
      <c r="J795" s="13">
        <f>IF(I795="Open",H795,IF(I795="Paid",0,"N/A"))</f>
        <v>0</v>
      </c>
      <c r="K795" s="4">
        <v>45008</v>
      </c>
      <c r="L795" t="s">
        <v>822</v>
      </c>
    </row>
    <row r="796" spans="1:12" x14ac:dyDescent="0.35">
      <c r="A796" t="s">
        <v>803</v>
      </c>
      <c r="B796" t="s">
        <v>810</v>
      </c>
      <c r="C796" s="9">
        <v>45543</v>
      </c>
      <c r="D796" s="9">
        <v>45573</v>
      </c>
      <c r="E796">
        <v>754.06</v>
      </c>
      <c r="F796" t="s">
        <v>814</v>
      </c>
      <c r="G796" t="str">
        <f>'Raw Data bck'!F796&amp;"/USD"</f>
        <v>EUR/USD</v>
      </c>
      <c r="H796" s="16">
        <v>878.03</v>
      </c>
      <c r="I796" s="11" t="s">
        <v>820</v>
      </c>
      <c r="J796" s="13" t="str">
        <f>IF(I796="Open",H796,IF(I796="Paid",0,"N/A"))</f>
        <v>N/A</v>
      </c>
      <c r="L796" t="s">
        <v>822</v>
      </c>
    </row>
    <row r="797" spans="1:12" x14ac:dyDescent="0.35">
      <c r="A797" t="s">
        <v>804</v>
      </c>
      <c r="B797" t="s">
        <v>810</v>
      </c>
      <c r="C797" s="9">
        <v>44961</v>
      </c>
      <c r="D797" s="9">
        <v>44991</v>
      </c>
      <c r="E797">
        <v>4250.7</v>
      </c>
      <c r="F797" t="s">
        <v>818</v>
      </c>
      <c r="G797" t="str">
        <f>'Raw Data bck'!F797&amp;"/USD"</f>
        <v>AUD/USD</v>
      </c>
      <c r="H797" s="15">
        <v>3059.23</v>
      </c>
      <c r="I797" s="11" t="s">
        <v>821</v>
      </c>
      <c r="J797" s="13">
        <f>IF(I797="Open",H797,IF(I797="Paid",0,"N/A"))</f>
        <v>0</v>
      </c>
      <c r="K797" s="4">
        <v>44991</v>
      </c>
      <c r="L797" t="s">
        <v>822</v>
      </c>
    </row>
    <row r="798" spans="1:12" x14ac:dyDescent="0.35">
      <c r="A798" t="s">
        <v>805</v>
      </c>
      <c r="B798" t="s">
        <v>809</v>
      </c>
      <c r="C798" s="9">
        <v>45384</v>
      </c>
      <c r="D798" s="9">
        <v>45414</v>
      </c>
      <c r="E798">
        <v>613.6</v>
      </c>
      <c r="F798" t="s">
        <v>816</v>
      </c>
      <c r="G798" t="str">
        <f>'Raw Data bck'!F798&amp;"/USD"</f>
        <v>GBP/USD</v>
      </c>
      <c r="H798" s="15">
        <v>833.76</v>
      </c>
      <c r="I798" s="11" t="s">
        <v>819</v>
      </c>
      <c r="J798" s="13">
        <f>IF(I798="Open",H798,IF(I798="Paid",0,"N/A"))</f>
        <v>833.76</v>
      </c>
      <c r="L798" t="s">
        <v>822</v>
      </c>
    </row>
    <row r="799" spans="1:12" x14ac:dyDescent="0.35">
      <c r="A799" t="s">
        <v>806</v>
      </c>
      <c r="B799" t="s">
        <v>812</v>
      </c>
      <c r="C799" s="9">
        <v>45732</v>
      </c>
      <c r="D799" s="9">
        <v>45762</v>
      </c>
      <c r="E799">
        <v>1012.88</v>
      </c>
      <c r="F799" t="s">
        <v>814</v>
      </c>
      <c r="G799" t="str">
        <f>'Raw Data bck'!F799&amp;"/USD"</f>
        <v>EUR/USD</v>
      </c>
      <c r="H799" s="16">
        <v>1179.4000000000001</v>
      </c>
      <c r="I799" s="11" t="s">
        <v>820</v>
      </c>
      <c r="J799" s="13" t="str">
        <f>IF(I799="Open",H799,IF(I799="Paid",0,"N/A"))</f>
        <v>N/A</v>
      </c>
      <c r="L799" t="s">
        <v>822</v>
      </c>
    </row>
    <row r="800" spans="1:12" x14ac:dyDescent="0.35">
      <c r="A800" t="s">
        <v>807</v>
      </c>
      <c r="B800" t="s">
        <v>811</v>
      </c>
      <c r="C800" s="9">
        <v>45827</v>
      </c>
      <c r="D800" s="9">
        <v>45857</v>
      </c>
      <c r="E800">
        <v>290.27</v>
      </c>
      <c r="F800" t="s">
        <v>816</v>
      </c>
      <c r="G800" t="str">
        <f>'Raw Data bck'!F800&amp;"/USD"</f>
        <v>GBP/USD</v>
      </c>
      <c r="H800" s="16">
        <v>394.42</v>
      </c>
      <c r="I800" s="11" t="s">
        <v>820</v>
      </c>
      <c r="J800" s="13" t="str">
        <f>IF(I800="Open",H800,IF(I800="Paid",0,"N/A"))</f>
        <v>N/A</v>
      </c>
      <c r="L800" t="s">
        <v>822</v>
      </c>
    </row>
    <row r="801" spans="1:12" x14ac:dyDescent="0.35">
      <c r="A801" t="s">
        <v>808</v>
      </c>
      <c r="B801" t="s">
        <v>812</v>
      </c>
      <c r="C801" s="9">
        <v>45648</v>
      </c>
      <c r="D801" s="9">
        <v>45678</v>
      </c>
      <c r="E801">
        <v>4608.55</v>
      </c>
      <c r="F801" t="s">
        <v>818</v>
      </c>
      <c r="G801" t="str">
        <f>'Raw Data bck'!F801&amp;"/USD"</f>
        <v>AUD/USD</v>
      </c>
      <c r="H801" s="16">
        <v>3316.77</v>
      </c>
      <c r="I801" s="11" t="s">
        <v>820</v>
      </c>
      <c r="J801" s="13" t="str">
        <f>IF(I801="Open",H801,IF(I801="Paid",0,"N/A"))</f>
        <v>N/A</v>
      </c>
      <c r="L801" t="s">
        <v>822</v>
      </c>
    </row>
  </sheetData>
  <autoFilter ref="A1:L801" xr:uid="{00000000-0001-0000-0000-000000000000}"/>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30636-0812-4D41-BD3E-D7C9818A61AB}">
  <dimension ref="A1:I801"/>
  <sheetViews>
    <sheetView workbookViewId="0">
      <selection sqref="A1:I1"/>
    </sheetView>
  </sheetViews>
  <sheetFormatPr defaultRowHeight="14.5" x14ac:dyDescent="0.35"/>
  <cols>
    <col min="1" max="1" width="9.453125" bestFit="1" customWidth="1"/>
    <col min="2" max="2" width="12.7265625" customWidth="1"/>
    <col min="3" max="3" width="15.26953125" bestFit="1" customWidth="1"/>
    <col min="4" max="4" width="12.7265625" bestFit="1" customWidth="1"/>
    <col min="5" max="5" width="12.1796875" bestFit="1" customWidth="1"/>
    <col min="6" max="6" width="12.81640625" bestFit="1" customWidth="1"/>
    <col min="7" max="8" width="16.26953125" customWidth="1"/>
    <col min="9" max="9" width="10.6328125" bestFit="1" customWidth="1"/>
    <col min="10" max="10" width="13.7265625" customWidth="1"/>
    <col min="11" max="11" width="10.54296875" bestFit="1" customWidth="1"/>
    <col min="14" max="14" width="9.6328125" bestFit="1" customWidth="1"/>
    <col min="15" max="15" width="12.90625" bestFit="1" customWidth="1"/>
  </cols>
  <sheetData>
    <row r="1" spans="1:9" x14ac:dyDescent="0.35">
      <c r="A1" s="1" t="s">
        <v>0</v>
      </c>
      <c r="B1" s="1" t="s">
        <v>1</v>
      </c>
      <c r="C1" s="1" t="s">
        <v>2</v>
      </c>
      <c r="D1" s="1" t="s">
        <v>3</v>
      </c>
      <c r="E1" s="1" t="s">
        <v>4</v>
      </c>
      <c r="F1" s="1" t="s">
        <v>5</v>
      </c>
      <c r="G1" s="1" t="s">
        <v>6</v>
      </c>
      <c r="H1" s="1" t="s">
        <v>7</v>
      </c>
      <c r="I1" s="1" t="s">
        <v>8</v>
      </c>
    </row>
    <row r="2" spans="1:9" x14ac:dyDescent="0.35">
      <c r="A2" t="s">
        <v>9</v>
      </c>
      <c r="B2" t="s">
        <v>809</v>
      </c>
      <c r="C2" s="2">
        <v>45642</v>
      </c>
      <c r="D2" s="2">
        <v>45672</v>
      </c>
      <c r="E2">
        <v>344.25</v>
      </c>
      <c r="F2" t="s">
        <v>814</v>
      </c>
      <c r="G2" t="s">
        <v>819</v>
      </c>
      <c r="I2" t="s">
        <v>822</v>
      </c>
    </row>
    <row r="3" spans="1:9" x14ac:dyDescent="0.35">
      <c r="A3" t="s">
        <v>10</v>
      </c>
      <c r="B3" t="s">
        <v>809</v>
      </c>
      <c r="C3" s="2">
        <v>45430</v>
      </c>
      <c r="D3" s="2">
        <v>45460</v>
      </c>
      <c r="E3">
        <v>3298.38</v>
      </c>
      <c r="F3" t="s">
        <v>815</v>
      </c>
      <c r="G3" t="s">
        <v>820</v>
      </c>
      <c r="I3" t="s">
        <v>822</v>
      </c>
    </row>
    <row r="4" spans="1:9" x14ac:dyDescent="0.35">
      <c r="A4" t="s">
        <v>11</v>
      </c>
      <c r="B4" t="s">
        <v>810</v>
      </c>
      <c r="C4" s="2">
        <v>45347</v>
      </c>
      <c r="D4" s="2">
        <v>45377</v>
      </c>
      <c r="E4">
        <v>1023.43</v>
      </c>
      <c r="F4" t="s">
        <v>816</v>
      </c>
      <c r="G4" t="s">
        <v>819</v>
      </c>
      <c r="I4" t="s">
        <v>822</v>
      </c>
    </row>
    <row r="5" spans="1:9" x14ac:dyDescent="0.35">
      <c r="A5" t="s">
        <v>12</v>
      </c>
      <c r="B5" t="s">
        <v>811</v>
      </c>
      <c r="C5" s="2">
        <v>45299</v>
      </c>
      <c r="D5" s="2">
        <v>45329</v>
      </c>
      <c r="E5">
        <v>4433.05</v>
      </c>
      <c r="F5" t="s">
        <v>817</v>
      </c>
      <c r="G5" t="s">
        <v>820</v>
      </c>
      <c r="I5" t="s">
        <v>822</v>
      </c>
    </row>
    <row r="6" spans="1:9" x14ac:dyDescent="0.35">
      <c r="A6" t="s">
        <v>13</v>
      </c>
      <c r="B6" t="s">
        <v>811</v>
      </c>
      <c r="C6" s="2">
        <v>45435</v>
      </c>
      <c r="D6" s="2">
        <v>45465</v>
      </c>
      <c r="E6">
        <v>4345.1400000000003</v>
      </c>
      <c r="F6" t="s">
        <v>816</v>
      </c>
      <c r="G6" t="s">
        <v>820</v>
      </c>
      <c r="I6" t="s">
        <v>822</v>
      </c>
    </row>
    <row r="7" spans="1:9" x14ac:dyDescent="0.35">
      <c r="A7" t="s">
        <v>14</v>
      </c>
      <c r="B7" t="s">
        <v>810</v>
      </c>
      <c r="C7" s="2">
        <v>45482</v>
      </c>
      <c r="D7" s="2">
        <v>45512</v>
      </c>
      <c r="E7">
        <v>1599.18</v>
      </c>
      <c r="F7" t="s">
        <v>818</v>
      </c>
      <c r="G7" t="s">
        <v>819</v>
      </c>
      <c r="I7" t="s">
        <v>822</v>
      </c>
    </row>
    <row r="8" spans="1:9" x14ac:dyDescent="0.35">
      <c r="A8" t="s">
        <v>15</v>
      </c>
      <c r="B8" t="s">
        <v>809</v>
      </c>
      <c r="C8" s="2">
        <v>45646</v>
      </c>
      <c r="D8" s="2">
        <v>45676</v>
      </c>
      <c r="E8">
        <v>894.13</v>
      </c>
      <c r="F8" t="s">
        <v>817</v>
      </c>
      <c r="G8" t="s">
        <v>819</v>
      </c>
      <c r="I8" t="s">
        <v>822</v>
      </c>
    </row>
    <row r="9" spans="1:9" x14ac:dyDescent="0.35">
      <c r="A9" t="s">
        <v>16</v>
      </c>
      <c r="B9" t="s">
        <v>810</v>
      </c>
      <c r="C9" s="2">
        <v>45560</v>
      </c>
      <c r="D9" s="2">
        <v>45590</v>
      </c>
      <c r="E9">
        <v>1303.06</v>
      </c>
      <c r="F9" t="s">
        <v>816</v>
      </c>
      <c r="G9" t="s">
        <v>821</v>
      </c>
      <c r="H9" s="2">
        <v>45590</v>
      </c>
      <c r="I9" t="s">
        <v>822</v>
      </c>
    </row>
    <row r="10" spans="1:9" x14ac:dyDescent="0.35">
      <c r="A10" t="s">
        <v>17</v>
      </c>
      <c r="B10" t="s">
        <v>811</v>
      </c>
      <c r="C10" s="2">
        <v>45334</v>
      </c>
      <c r="D10" s="2">
        <v>45364</v>
      </c>
      <c r="E10">
        <v>3481.8</v>
      </c>
      <c r="F10" t="s">
        <v>815</v>
      </c>
      <c r="G10" t="s">
        <v>821</v>
      </c>
      <c r="H10" s="2">
        <v>45364</v>
      </c>
      <c r="I10" t="s">
        <v>822</v>
      </c>
    </row>
    <row r="11" spans="1:9" x14ac:dyDescent="0.35">
      <c r="A11" t="s">
        <v>18</v>
      </c>
      <c r="B11" t="s">
        <v>811</v>
      </c>
      <c r="C11" s="2">
        <v>45470</v>
      </c>
      <c r="D11" s="2">
        <v>45500</v>
      </c>
      <c r="E11">
        <v>217.97</v>
      </c>
      <c r="F11" t="s">
        <v>817</v>
      </c>
      <c r="G11" t="s">
        <v>819</v>
      </c>
      <c r="I11" t="s">
        <v>822</v>
      </c>
    </row>
    <row r="12" spans="1:9" x14ac:dyDescent="0.35">
      <c r="A12" t="s">
        <v>19</v>
      </c>
      <c r="B12" t="s">
        <v>809</v>
      </c>
      <c r="C12" s="2">
        <v>45360</v>
      </c>
      <c r="D12" s="2">
        <v>45390</v>
      </c>
      <c r="E12">
        <v>1809.07</v>
      </c>
      <c r="F12" t="s">
        <v>814</v>
      </c>
      <c r="G12" t="s">
        <v>820</v>
      </c>
      <c r="I12" t="s">
        <v>822</v>
      </c>
    </row>
    <row r="13" spans="1:9" x14ac:dyDescent="0.35">
      <c r="A13" t="s">
        <v>20</v>
      </c>
      <c r="B13" t="s">
        <v>809</v>
      </c>
      <c r="C13" s="2">
        <v>45575</v>
      </c>
      <c r="D13" s="2">
        <v>45605</v>
      </c>
      <c r="E13">
        <v>884.1</v>
      </c>
      <c r="F13" t="s">
        <v>817</v>
      </c>
      <c r="G13" t="s">
        <v>819</v>
      </c>
      <c r="I13" t="s">
        <v>822</v>
      </c>
    </row>
    <row r="14" spans="1:9" x14ac:dyDescent="0.35">
      <c r="A14" t="s">
        <v>21</v>
      </c>
      <c r="B14" t="s">
        <v>811</v>
      </c>
      <c r="C14" s="2">
        <v>45065</v>
      </c>
      <c r="D14" s="2">
        <v>45095</v>
      </c>
      <c r="E14">
        <v>1491.7</v>
      </c>
      <c r="F14" t="s">
        <v>816</v>
      </c>
      <c r="G14" t="s">
        <v>819</v>
      </c>
      <c r="I14" t="s">
        <v>822</v>
      </c>
    </row>
    <row r="15" spans="1:9" x14ac:dyDescent="0.35">
      <c r="A15" t="s">
        <v>22</v>
      </c>
      <c r="B15" t="s">
        <v>811</v>
      </c>
      <c r="C15" s="2">
        <v>45249</v>
      </c>
      <c r="D15" s="2">
        <v>45279</v>
      </c>
      <c r="E15">
        <v>4212.17</v>
      </c>
      <c r="F15" t="s">
        <v>818</v>
      </c>
      <c r="G15" t="s">
        <v>821</v>
      </c>
      <c r="H15" s="2">
        <v>45279</v>
      </c>
      <c r="I15" t="s">
        <v>822</v>
      </c>
    </row>
    <row r="16" spans="1:9" x14ac:dyDescent="0.35">
      <c r="A16" t="s">
        <v>23</v>
      </c>
      <c r="B16" t="s">
        <v>809</v>
      </c>
      <c r="C16" s="2">
        <v>45417</v>
      </c>
      <c r="D16" s="2">
        <v>45447</v>
      </c>
      <c r="E16">
        <v>1632.82</v>
      </c>
      <c r="F16" t="s">
        <v>816</v>
      </c>
      <c r="G16" t="s">
        <v>819</v>
      </c>
      <c r="I16" t="s">
        <v>822</v>
      </c>
    </row>
    <row r="17" spans="1:9" x14ac:dyDescent="0.35">
      <c r="A17" t="s">
        <v>24</v>
      </c>
      <c r="B17" t="s">
        <v>809</v>
      </c>
      <c r="C17" s="2">
        <v>45081</v>
      </c>
      <c r="D17" s="2">
        <v>45111</v>
      </c>
      <c r="E17">
        <v>1887.67</v>
      </c>
      <c r="F17" t="s">
        <v>814</v>
      </c>
      <c r="G17" t="s">
        <v>821</v>
      </c>
      <c r="H17" s="2">
        <v>45111</v>
      </c>
      <c r="I17" t="s">
        <v>822</v>
      </c>
    </row>
    <row r="18" spans="1:9" x14ac:dyDescent="0.35">
      <c r="A18" t="s">
        <v>25</v>
      </c>
      <c r="B18" t="s">
        <v>809</v>
      </c>
      <c r="C18" s="2">
        <v>45270</v>
      </c>
      <c r="D18" s="2">
        <v>45300</v>
      </c>
      <c r="E18">
        <v>1721.41</v>
      </c>
      <c r="F18" t="s">
        <v>816</v>
      </c>
      <c r="G18" t="s">
        <v>819</v>
      </c>
      <c r="I18" t="s">
        <v>822</v>
      </c>
    </row>
    <row r="19" spans="1:9" x14ac:dyDescent="0.35">
      <c r="A19" t="s">
        <v>26</v>
      </c>
      <c r="B19" t="s">
        <v>812</v>
      </c>
      <c r="C19" s="2">
        <v>45656</v>
      </c>
      <c r="D19" s="2">
        <v>45686</v>
      </c>
      <c r="E19">
        <v>2941.63</v>
      </c>
      <c r="F19" t="s">
        <v>817</v>
      </c>
      <c r="G19" t="s">
        <v>819</v>
      </c>
      <c r="I19" t="s">
        <v>822</v>
      </c>
    </row>
    <row r="20" spans="1:9" x14ac:dyDescent="0.35">
      <c r="A20" t="s">
        <v>27</v>
      </c>
      <c r="B20" t="s">
        <v>810</v>
      </c>
      <c r="C20" s="2">
        <v>45470</v>
      </c>
      <c r="D20" s="2">
        <v>45500</v>
      </c>
      <c r="E20">
        <v>889.44</v>
      </c>
      <c r="F20" t="s">
        <v>817</v>
      </c>
      <c r="G20" t="s">
        <v>821</v>
      </c>
      <c r="H20" s="2">
        <v>45500</v>
      </c>
      <c r="I20" t="s">
        <v>822</v>
      </c>
    </row>
    <row r="21" spans="1:9" x14ac:dyDescent="0.35">
      <c r="A21" t="s">
        <v>28</v>
      </c>
      <c r="B21" t="s">
        <v>810</v>
      </c>
      <c r="C21" s="2">
        <v>45744</v>
      </c>
      <c r="D21" s="2">
        <v>45774</v>
      </c>
      <c r="E21">
        <v>1539.53</v>
      </c>
      <c r="F21" t="s">
        <v>818</v>
      </c>
      <c r="G21" t="s">
        <v>820</v>
      </c>
      <c r="I21" t="s">
        <v>822</v>
      </c>
    </row>
    <row r="22" spans="1:9" x14ac:dyDescent="0.35">
      <c r="A22" t="s">
        <v>29</v>
      </c>
      <c r="B22" t="s">
        <v>813</v>
      </c>
      <c r="C22" s="2">
        <v>45121</v>
      </c>
      <c r="D22" s="2">
        <v>45151</v>
      </c>
      <c r="E22">
        <v>996.27</v>
      </c>
      <c r="F22" t="s">
        <v>818</v>
      </c>
      <c r="G22" t="s">
        <v>819</v>
      </c>
      <c r="I22" t="s">
        <v>822</v>
      </c>
    </row>
    <row r="23" spans="1:9" x14ac:dyDescent="0.35">
      <c r="A23" t="s">
        <v>30</v>
      </c>
      <c r="B23" t="s">
        <v>813</v>
      </c>
      <c r="C23" s="2">
        <v>45105</v>
      </c>
      <c r="D23" s="2">
        <v>45135</v>
      </c>
      <c r="E23">
        <v>2450.1</v>
      </c>
      <c r="F23" t="s">
        <v>815</v>
      </c>
      <c r="G23" t="s">
        <v>820</v>
      </c>
      <c r="I23" t="s">
        <v>822</v>
      </c>
    </row>
    <row r="24" spans="1:9" x14ac:dyDescent="0.35">
      <c r="A24" t="s">
        <v>31</v>
      </c>
      <c r="B24" t="s">
        <v>812</v>
      </c>
      <c r="C24" s="2">
        <v>45653</v>
      </c>
      <c r="D24" s="2">
        <v>45683</v>
      </c>
      <c r="E24">
        <v>797.8</v>
      </c>
      <c r="F24" t="s">
        <v>815</v>
      </c>
      <c r="G24" t="s">
        <v>819</v>
      </c>
      <c r="I24" t="s">
        <v>822</v>
      </c>
    </row>
    <row r="25" spans="1:9" x14ac:dyDescent="0.35">
      <c r="A25" t="s">
        <v>32</v>
      </c>
      <c r="B25" t="s">
        <v>809</v>
      </c>
      <c r="C25" s="2">
        <v>45062</v>
      </c>
      <c r="D25" s="2">
        <v>45092</v>
      </c>
      <c r="E25">
        <v>4237.6499999999996</v>
      </c>
      <c r="F25" t="s">
        <v>816</v>
      </c>
      <c r="G25" t="s">
        <v>820</v>
      </c>
      <c r="I25" t="s">
        <v>822</v>
      </c>
    </row>
    <row r="26" spans="1:9" x14ac:dyDescent="0.35">
      <c r="A26" t="s">
        <v>33</v>
      </c>
      <c r="B26" t="s">
        <v>812</v>
      </c>
      <c r="C26" s="2">
        <v>45199</v>
      </c>
      <c r="D26" s="2">
        <v>45229</v>
      </c>
      <c r="E26">
        <v>665.06</v>
      </c>
      <c r="F26" t="s">
        <v>818</v>
      </c>
      <c r="G26" t="s">
        <v>819</v>
      </c>
      <c r="I26" t="s">
        <v>822</v>
      </c>
    </row>
    <row r="27" spans="1:9" x14ac:dyDescent="0.35">
      <c r="A27" t="s">
        <v>34</v>
      </c>
      <c r="B27" t="s">
        <v>812</v>
      </c>
      <c r="C27" s="2">
        <v>45640</v>
      </c>
      <c r="D27" s="2">
        <v>45670</v>
      </c>
      <c r="E27">
        <v>3849.16</v>
      </c>
      <c r="F27" t="s">
        <v>816</v>
      </c>
      <c r="G27" t="s">
        <v>820</v>
      </c>
      <c r="I27" t="s">
        <v>822</v>
      </c>
    </row>
    <row r="28" spans="1:9" x14ac:dyDescent="0.35">
      <c r="A28" t="s">
        <v>35</v>
      </c>
      <c r="B28" t="s">
        <v>809</v>
      </c>
      <c r="C28" s="2">
        <v>45124</v>
      </c>
      <c r="D28" s="2">
        <v>45154</v>
      </c>
      <c r="E28">
        <v>4411.88</v>
      </c>
      <c r="F28" t="s">
        <v>815</v>
      </c>
      <c r="G28" t="s">
        <v>821</v>
      </c>
      <c r="H28" s="2">
        <v>45154</v>
      </c>
      <c r="I28" t="s">
        <v>822</v>
      </c>
    </row>
    <row r="29" spans="1:9" x14ac:dyDescent="0.35">
      <c r="A29" t="s">
        <v>36</v>
      </c>
      <c r="B29" t="s">
        <v>810</v>
      </c>
      <c r="C29" s="2">
        <v>45376</v>
      </c>
      <c r="D29" s="2">
        <v>45406</v>
      </c>
      <c r="E29">
        <v>296.64999999999998</v>
      </c>
      <c r="F29" t="s">
        <v>817</v>
      </c>
      <c r="G29" t="s">
        <v>821</v>
      </c>
      <c r="H29" s="2">
        <v>45406</v>
      </c>
      <c r="I29" t="s">
        <v>822</v>
      </c>
    </row>
    <row r="30" spans="1:9" x14ac:dyDescent="0.35">
      <c r="A30" t="s">
        <v>37</v>
      </c>
      <c r="B30" t="s">
        <v>813</v>
      </c>
      <c r="C30" s="2">
        <v>45593</v>
      </c>
      <c r="D30" s="2">
        <v>45623</v>
      </c>
      <c r="E30">
        <v>3099.8</v>
      </c>
      <c r="F30" t="s">
        <v>816</v>
      </c>
      <c r="G30" t="s">
        <v>819</v>
      </c>
      <c r="I30" t="s">
        <v>822</v>
      </c>
    </row>
    <row r="31" spans="1:9" x14ac:dyDescent="0.35">
      <c r="A31" t="s">
        <v>38</v>
      </c>
      <c r="B31" t="s">
        <v>812</v>
      </c>
      <c r="C31" s="2">
        <v>44991</v>
      </c>
      <c r="D31" s="2">
        <v>45021</v>
      </c>
      <c r="E31">
        <v>4007.29</v>
      </c>
      <c r="F31" t="s">
        <v>815</v>
      </c>
      <c r="G31" t="s">
        <v>819</v>
      </c>
      <c r="I31" t="s">
        <v>822</v>
      </c>
    </row>
    <row r="32" spans="1:9" x14ac:dyDescent="0.35">
      <c r="A32" t="s">
        <v>39</v>
      </c>
      <c r="B32" t="s">
        <v>810</v>
      </c>
      <c r="C32" s="2">
        <v>45335</v>
      </c>
      <c r="D32" s="2">
        <v>45365</v>
      </c>
      <c r="E32">
        <v>2884.32</v>
      </c>
      <c r="F32" t="s">
        <v>815</v>
      </c>
      <c r="G32" t="s">
        <v>820</v>
      </c>
      <c r="I32" t="s">
        <v>822</v>
      </c>
    </row>
    <row r="33" spans="1:9" x14ac:dyDescent="0.35">
      <c r="A33" t="s">
        <v>40</v>
      </c>
      <c r="B33" t="s">
        <v>810</v>
      </c>
      <c r="C33" s="2">
        <v>45000</v>
      </c>
      <c r="D33" s="2">
        <v>45030</v>
      </c>
      <c r="E33">
        <v>4830.24</v>
      </c>
      <c r="F33" t="s">
        <v>814</v>
      </c>
      <c r="G33" t="s">
        <v>821</v>
      </c>
      <c r="H33" s="2">
        <v>45030</v>
      </c>
      <c r="I33" t="s">
        <v>822</v>
      </c>
    </row>
    <row r="34" spans="1:9" x14ac:dyDescent="0.35">
      <c r="A34" t="s">
        <v>41</v>
      </c>
      <c r="B34" t="s">
        <v>812</v>
      </c>
      <c r="C34" s="2">
        <v>45210</v>
      </c>
      <c r="D34" s="2">
        <v>45240</v>
      </c>
      <c r="E34">
        <v>4841.22</v>
      </c>
      <c r="F34" t="s">
        <v>817</v>
      </c>
      <c r="G34" t="s">
        <v>821</v>
      </c>
      <c r="H34" s="2">
        <v>45240</v>
      </c>
      <c r="I34" t="s">
        <v>822</v>
      </c>
    </row>
    <row r="35" spans="1:9" x14ac:dyDescent="0.35">
      <c r="A35" t="s">
        <v>42</v>
      </c>
      <c r="B35" t="s">
        <v>811</v>
      </c>
      <c r="C35" s="2">
        <v>45598</v>
      </c>
      <c r="D35" s="2">
        <v>45628</v>
      </c>
      <c r="E35">
        <v>3601.17</v>
      </c>
      <c r="F35" t="s">
        <v>818</v>
      </c>
      <c r="G35" t="s">
        <v>819</v>
      </c>
      <c r="I35" t="s">
        <v>822</v>
      </c>
    </row>
    <row r="36" spans="1:9" x14ac:dyDescent="0.35">
      <c r="A36" t="s">
        <v>43</v>
      </c>
      <c r="B36" t="s">
        <v>810</v>
      </c>
      <c r="C36" s="2">
        <v>45668</v>
      </c>
      <c r="D36" s="2">
        <v>45698</v>
      </c>
      <c r="E36">
        <v>3913.65</v>
      </c>
      <c r="F36" t="s">
        <v>816</v>
      </c>
      <c r="G36" t="s">
        <v>821</v>
      </c>
      <c r="H36" s="2">
        <v>45698</v>
      </c>
      <c r="I36" t="s">
        <v>822</v>
      </c>
    </row>
    <row r="37" spans="1:9" x14ac:dyDescent="0.35">
      <c r="A37" t="s">
        <v>44</v>
      </c>
      <c r="B37" t="s">
        <v>811</v>
      </c>
      <c r="C37" s="2">
        <v>45025</v>
      </c>
      <c r="D37" s="2">
        <v>45055</v>
      </c>
      <c r="E37">
        <v>1117.52</v>
      </c>
      <c r="F37" t="s">
        <v>815</v>
      </c>
      <c r="G37" t="s">
        <v>819</v>
      </c>
      <c r="I37" t="s">
        <v>822</v>
      </c>
    </row>
    <row r="38" spans="1:9" x14ac:dyDescent="0.35">
      <c r="A38" t="s">
        <v>45</v>
      </c>
      <c r="B38" t="s">
        <v>809</v>
      </c>
      <c r="C38" s="2">
        <v>45128</v>
      </c>
      <c r="D38" s="2">
        <v>45158</v>
      </c>
      <c r="E38">
        <v>4178.2</v>
      </c>
      <c r="F38" t="s">
        <v>815</v>
      </c>
      <c r="G38" t="s">
        <v>820</v>
      </c>
      <c r="I38" t="s">
        <v>822</v>
      </c>
    </row>
    <row r="39" spans="1:9" x14ac:dyDescent="0.35">
      <c r="A39" t="s">
        <v>46</v>
      </c>
      <c r="B39" t="s">
        <v>812</v>
      </c>
      <c r="C39" s="2">
        <v>45504</v>
      </c>
      <c r="D39" s="2">
        <v>45534</v>
      </c>
      <c r="E39">
        <v>504.02</v>
      </c>
      <c r="F39" t="s">
        <v>817</v>
      </c>
      <c r="G39" t="s">
        <v>820</v>
      </c>
      <c r="I39" t="s">
        <v>822</v>
      </c>
    </row>
    <row r="40" spans="1:9" x14ac:dyDescent="0.35">
      <c r="A40" t="s">
        <v>47</v>
      </c>
      <c r="B40" t="s">
        <v>809</v>
      </c>
      <c r="C40" s="2">
        <v>44934</v>
      </c>
      <c r="D40" s="2">
        <v>44964</v>
      </c>
      <c r="E40">
        <v>3156.05</v>
      </c>
      <c r="F40" t="s">
        <v>816</v>
      </c>
      <c r="G40" t="s">
        <v>819</v>
      </c>
      <c r="I40" t="s">
        <v>822</v>
      </c>
    </row>
    <row r="41" spans="1:9" x14ac:dyDescent="0.35">
      <c r="A41" t="s">
        <v>48</v>
      </c>
      <c r="B41" t="s">
        <v>812</v>
      </c>
      <c r="C41" s="2">
        <v>45108</v>
      </c>
      <c r="D41" s="2">
        <v>45138</v>
      </c>
      <c r="E41">
        <v>3284.77</v>
      </c>
      <c r="F41" t="s">
        <v>814</v>
      </c>
      <c r="G41" t="s">
        <v>820</v>
      </c>
      <c r="I41" t="s">
        <v>822</v>
      </c>
    </row>
    <row r="42" spans="1:9" x14ac:dyDescent="0.35">
      <c r="A42" t="s">
        <v>49</v>
      </c>
      <c r="B42" t="s">
        <v>812</v>
      </c>
      <c r="C42" s="2">
        <v>45801</v>
      </c>
      <c r="D42" s="2">
        <v>45831</v>
      </c>
      <c r="E42">
        <v>4519.76</v>
      </c>
      <c r="F42" t="s">
        <v>817</v>
      </c>
      <c r="G42" t="s">
        <v>819</v>
      </c>
      <c r="I42" t="s">
        <v>822</v>
      </c>
    </row>
    <row r="43" spans="1:9" x14ac:dyDescent="0.35">
      <c r="A43" t="s">
        <v>50</v>
      </c>
      <c r="B43" t="s">
        <v>809</v>
      </c>
      <c r="C43" s="2">
        <v>45313</v>
      </c>
      <c r="D43" s="2">
        <v>45343</v>
      </c>
      <c r="E43">
        <v>4094.28</v>
      </c>
      <c r="F43" t="s">
        <v>814</v>
      </c>
      <c r="G43" t="s">
        <v>820</v>
      </c>
      <c r="I43" t="s">
        <v>822</v>
      </c>
    </row>
    <row r="44" spans="1:9" x14ac:dyDescent="0.35">
      <c r="A44" t="s">
        <v>51</v>
      </c>
      <c r="B44" t="s">
        <v>809</v>
      </c>
      <c r="C44" s="2">
        <v>44967</v>
      </c>
      <c r="D44" s="2">
        <v>44997</v>
      </c>
      <c r="E44">
        <v>3097.79</v>
      </c>
      <c r="F44" t="s">
        <v>814</v>
      </c>
      <c r="G44" t="s">
        <v>821</v>
      </c>
      <c r="H44" s="2">
        <v>44997</v>
      </c>
      <c r="I44" t="s">
        <v>822</v>
      </c>
    </row>
    <row r="45" spans="1:9" x14ac:dyDescent="0.35">
      <c r="A45" t="s">
        <v>52</v>
      </c>
      <c r="B45" t="s">
        <v>810</v>
      </c>
      <c r="C45" s="2">
        <v>45809</v>
      </c>
      <c r="D45" s="2">
        <v>45839</v>
      </c>
      <c r="E45">
        <v>1415.24</v>
      </c>
      <c r="F45" t="s">
        <v>818</v>
      </c>
      <c r="G45" t="s">
        <v>820</v>
      </c>
      <c r="I45" t="s">
        <v>822</v>
      </c>
    </row>
    <row r="46" spans="1:9" x14ac:dyDescent="0.35">
      <c r="A46" t="s">
        <v>53</v>
      </c>
      <c r="B46" t="s">
        <v>809</v>
      </c>
      <c r="C46" s="2">
        <v>45102</v>
      </c>
      <c r="D46" s="2">
        <v>45132</v>
      </c>
      <c r="E46">
        <v>3224.33</v>
      </c>
      <c r="F46" t="s">
        <v>816</v>
      </c>
      <c r="G46" t="s">
        <v>820</v>
      </c>
      <c r="I46" t="s">
        <v>822</v>
      </c>
    </row>
    <row r="47" spans="1:9" x14ac:dyDescent="0.35">
      <c r="A47" t="s">
        <v>54</v>
      </c>
      <c r="B47" t="s">
        <v>813</v>
      </c>
      <c r="C47" s="2">
        <v>45103</v>
      </c>
      <c r="D47" s="2">
        <v>45133</v>
      </c>
      <c r="E47">
        <v>1164.49</v>
      </c>
      <c r="F47" t="s">
        <v>817</v>
      </c>
      <c r="G47" t="s">
        <v>820</v>
      </c>
      <c r="I47" t="s">
        <v>822</v>
      </c>
    </row>
    <row r="48" spans="1:9" x14ac:dyDescent="0.35">
      <c r="A48" t="s">
        <v>55</v>
      </c>
      <c r="B48" t="s">
        <v>813</v>
      </c>
      <c r="C48" s="2">
        <v>45668</v>
      </c>
      <c r="D48" s="2">
        <v>45698</v>
      </c>
      <c r="E48">
        <v>2557.61</v>
      </c>
      <c r="F48" t="s">
        <v>817</v>
      </c>
      <c r="G48" t="s">
        <v>821</v>
      </c>
      <c r="H48" s="2">
        <v>45698</v>
      </c>
      <c r="I48" t="s">
        <v>822</v>
      </c>
    </row>
    <row r="49" spans="1:9" x14ac:dyDescent="0.35">
      <c r="A49" t="s">
        <v>56</v>
      </c>
      <c r="B49" t="s">
        <v>809</v>
      </c>
      <c r="C49" s="2">
        <v>45682</v>
      </c>
      <c r="D49" s="2">
        <v>45712</v>
      </c>
      <c r="E49">
        <v>393.4</v>
      </c>
      <c r="F49" t="s">
        <v>816</v>
      </c>
      <c r="G49" t="s">
        <v>819</v>
      </c>
      <c r="I49" t="s">
        <v>822</v>
      </c>
    </row>
    <row r="50" spans="1:9" x14ac:dyDescent="0.35">
      <c r="A50" t="s">
        <v>57</v>
      </c>
      <c r="B50" t="s">
        <v>812</v>
      </c>
      <c r="C50" s="2">
        <v>45733</v>
      </c>
      <c r="D50" s="2">
        <v>45763</v>
      </c>
      <c r="E50">
        <v>2307.0500000000002</v>
      </c>
      <c r="F50" t="s">
        <v>815</v>
      </c>
      <c r="G50" t="s">
        <v>821</v>
      </c>
      <c r="H50" s="2">
        <v>45763</v>
      </c>
      <c r="I50" t="s">
        <v>822</v>
      </c>
    </row>
    <row r="51" spans="1:9" x14ac:dyDescent="0.35">
      <c r="A51" t="s">
        <v>58</v>
      </c>
      <c r="B51" t="s">
        <v>809</v>
      </c>
      <c r="C51" s="2">
        <v>45197</v>
      </c>
      <c r="D51" s="2">
        <v>45227</v>
      </c>
      <c r="E51">
        <v>728.35</v>
      </c>
      <c r="F51" t="s">
        <v>816</v>
      </c>
      <c r="G51" t="s">
        <v>821</v>
      </c>
      <c r="H51" s="2">
        <v>45227</v>
      </c>
      <c r="I51" t="s">
        <v>822</v>
      </c>
    </row>
    <row r="52" spans="1:9" x14ac:dyDescent="0.35">
      <c r="A52" t="s">
        <v>59</v>
      </c>
      <c r="B52" t="s">
        <v>810</v>
      </c>
      <c r="C52" s="2">
        <v>45801</v>
      </c>
      <c r="D52" s="2">
        <v>45831</v>
      </c>
      <c r="E52">
        <v>3580.44</v>
      </c>
      <c r="F52" t="s">
        <v>816</v>
      </c>
      <c r="G52" t="s">
        <v>819</v>
      </c>
      <c r="I52" t="s">
        <v>822</v>
      </c>
    </row>
    <row r="53" spans="1:9" x14ac:dyDescent="0.35">
      <c r="A53" t="s">
        <v>60</v>
      </c>
      <c r="B53" t="s">
        <v>809</v>
      </c>
      <c r="C53" s="2">
        <v>45382</v>
      </c>
      <c r="D53" s="2">
        <v>45412</v>
      </c>
      <c r="E53">
        <v>1527.67</v>
      </c>
      <c r="F53" t="s">
        <v>818</v>
      </c>
      <c r="G53" t="s">
        <v>821</v>
      </c>
      <c r="H53" s="2">
        <v>45412</v>
      </c>
      <c r="I53" t="s">
        <v>822</v>
      </c>
    </row>
    <row r="54" spans="1:9" x14ac:dyDescent="0.35">
      <c r="A54" t="s">
        <v>61</v>
      </c>
      <c r="B54" t="s">
        <v>809</v>
      </c>
      <c r="C54" s="2">
        <v>45039</v>
      </c>
      <c r="D54" s="2">
        <v>45069</v>
      </c>
      <c r="E54">
        <v>3014.35</v>
      </c>
      <c r="F54" t="s">
        <v>815</v>
      </c>
      <c r="G54" t="s">
        <v>821</v>
      </c>
      <c r="H54" s="2">
        <v>45069</v>
      </c>
      <c r="I54" t="s">
        <v>822</v>
      </c>
    </row>
    <row r="55" spans="1:9" x14ac:dyDescent="0.35">
      <c r="A55" t="s">
        <v>62</v>
      </c>
      <c r="B55" t="s">
        <v>811</v>
      </c>
      <c r="C55" s="2">
        <v>45162</v>
      </c>
      <c r="D55" s="2">
        <v>45192</v>
      </c>
      <c r="E55">
        <v>3099.88</v>
      </c>
      <c r="F55" t="s">
        <v>815</v>
      </c>
      <c r="G55" t="s">
        <v>820</v>
      </c>
      <c r="I55" t="s">
        <v>822</v>
      </c>
    </row>
    <row r="56" spans="1:9" x14ac:dyDescent="0.35">
      <c r="A56" t="s">
        <v>63</v>
      </c>
      <c r="B56" t="s">
        <v>809</v>
      </c>
      <c r="C56" s="2">
        <v>45055</v>
      </c>
      <c r="D56" s="2">
        <v>45085</v>
      </c>
      <c r="E56">
        <v>1484.54</v>
      </c>
      <c r="F56" t="s">
        <v>818</v>
      </c>
      <c r="G56" t="s">
        <v>820</v>
      </c>
      <c r="I56" t="s">
        <v>822</v>
      </c>
    </row>
    <row r="57" spans="1:9" x14ac:dyDescent="0.35">
      <c r="A57" t="s">
        <v>64</v>
      </c>
      <c r="B57" t="s">
        <v>813</v>
      </c>
      <c r="C57" s="2">
        <v>45279</v>
      </c>
      <c r="D57" s="2">
        <v>45309</v>
      </c>
      <c r="E57">
        <v>2922.4</v>
      </c>
      <c r="F57" t="s">
        <v>818</v>
      </c>
      <c r="G57" t="s">
        <v>820</v>
      </c>
      <c r="I57" t="s">
        <v>822</v>
      </c>
    </row>
    <row r="58" spans="1:9" x14ac:dyDescent="0.35">
      <c r="A58" t="s">
        <v>65</v>
      </c>
      <c r="B58" t="s">
        <v>812</v>
      </c>
      <c r="C58" s="2">
        <v>45238</v>
      </c>
      <c r="D58" s="2">
        <v>45268</v>
      </c>
      <c r="E58">
        <v>422.98</v>
      </c>
      <c r="F58" t="s">
        <v>817</v>
      </c>
      <c r="G58" t="s">
        <v>821</v>
      </c>
      <c r="H58" s="2">
        <v>45268</v>
      </c>
      <c r="I58" t="s">
        <v>822</v>
      </c>
    </row>
    <row r="59" spans="1:9" x14ac:dyDescent="0.35">
      <c r="A59" t="s">
        <v>66</v>
      </c>
      <c r="B59" t="s">
        <v>809</v>
      </c>
      <c r="C59" s="2">
        <v>44929</v>
      </c>
      <c r="D59" s="2">
        <v>44959</v>
      </c>
      <c r="E59">
        <v>2784.23</v>
      </c>
      <c r="F59" t="s">
        <v>817</v>
      </c>
      <c r="G59" t="s">
        <v>820</v>
      </c>
      <c r="I59" t="s">
        <v>822</v>
      </c>
    </row>
    <row r="60" spans="1:9" x14ac:dyDescent="0.35">
      <c r="A60" t="s">
        <v>67</v>
      </c>
      <c r="B60" t="s">
        <v>813</v>
      </c>
      <c r="C60" s="2">
        <v>45462</v>
      </c>
      <c r="D60" s="2">
        <v>45492</v>
      </c>
      <c r="E60">
        <v>2946.12</v>
      </c>
      <c r="F60" t="s">
        <v>815</v>
      </c>
      <c r="G60" t="s">
        <v>819</v>
      </c>
      <c r="I60" t="s">
        <v>822</v>
      </c>
    </row>
    <row r="61" spans="1:9" x14ac:dyDescent="0.35">
      <c r="A61" t="s">
        <v>68</v>
      </c>
      <c r="B61" t="s">
        <v>809</v>
      </c>
      <c r="C61" s="2">
        <v>45725</v>
      </c>
      <c r="D61" s="2">
        <v>45755</v>
      </c>
      <c r="E61">
        <v>578.58000000000004</v>
      </c>
      <c r="F61" t="s">
        <v>816</v>
      </c>
      <c r="G61" t="s">
        <v>820</v>
      </c>
      <c r="I61" t="s">
        <v>822</v>
      </c>
    </row>
    <row r="62" spans="1:9" x14ac:dyDescent="0.35">
      <c r="A62" t="s">
        <v>69</v>
      </c>
      <c r="B62" t="s">
        <v>809</v>
      </c>
      <c r="C62" s="2">
        <v>45440</v>
      </c>
      <c r="D62" s="2">
        <v>45470</v>
      </c>
      <c r="E62">
        <v>3849.56</v>
      </c>
      <c r="F62" t="s">
        <v>816</v>
      </c>
      <c r="G62" t="s">
        <v>821</v>
      </c>
      <c r="H62" s="2">
        <v>45470</v>
      </c>
      <c r="I62" t="s">
        <v>822</v>
      </c>
    </row>
    <row r="63" spans="1:9" x14ac:dyDescent="0.35">
      <c r="A63" t="s">
        <v>70</v>
      </c>
      <c r="B63" t="s">
        <v>809</v>
      </c>
      <c r="C63" s="2">
        <v>45408</v>
      </c>
      <c r="D63" s="2">
        <v>45438</v>
      </c>
      <c r="E63">
        <v>2055.5300000000002</v>
      </c>
      <c r="F63" t="s">
        <v>815</v>
      </c>
      <c r="G63" t="s">
        <v>820</v>
      </c>
      <c r="I63" t="s">
        <v>822</v>
      </c>
    </row>
    <row r="64" spans="1:9" x14ac:dyDescent="0.35">
      <c r="A64" t="s">
        <v>71</v>
      </c>
      <c r="B64" t="s">
        <v>811</v>
      </c>
      <c r="C64" s="2">
        <v>44981</v>
      </c>
      <c r="D64" s="2">
        <v>45011</v>
      </c>
      <c r="E64">
        <v>2185.3200000000002</v>
      </c>
      <c r="F64" t="s">
        <v>818</v>
      </c>
      <c r="G64" t="s">
        <v>821</v>
      </c>
      <c r="H64" s="2">
        <v>45011</v>
      </c>
      <c r="I64" t="s">
        <v>822</v>
      </c>
    </row>
    <row r="65" spans="1:9" x14ac:dyDescent="0.35">
      <c r="A65" t="s">
        <v>72</v>
      </c>
      <c r="B65" t="s">
        <v>809</v>
      </c>
      <c r="C65" s="2">
        <v>45703</v>
      </c>
      <c r="D65" s="2">
        <v>45733</v>
      </c>
      <c r="E65">
        <v>3382.98</v>
      </c>
      <c r="F65" t="s">
        <v>816</v>
      </c>
      <c r="G65" t="s">
        <v>821</v>
      </c>
      <c r="H65" s="2">
        <v>45733</v>
      </c>
      <c r="I65" t="s">
        <v>822</v>
      </c>
    </row>
    <row r="66" spans="1:9" x14ac:dyDescent="0.35">
      <c r="A66" t="s">
        <v>73</v>
      </c>
      <c r="B66" t="s">
        <v>810</v>
      </c>
      <c r="C66" s="2">
        <v>45404</v>
      </c>
      <c r="D66" s="2">
        <v>45434</v>
      </c>
      <c r="E66">
        <v>3571.55</v>
      </c>
      <c r="F66" t="s">
        <v>816</v>
      </c>
      <c r="G66" t="s">
        <v>820</v>
      </c>
      <c r="I66" t="s">
        <v>822</v>
      </c>
    </row>
    <row r="67" spans="1:9" x14ac:dyDescent="0.35">
      <c r="A67" t="s">
        <v>74</v>
      </c>
      <c r="B67" t="s">
        <v>811</v>
      </c>
      <c r="C67" s="2">
        <v>45762</v>
      </c>
      <c r="D67" s="2">
        <v>45792</v>
      </c>
      <c r="E67">
        <v>2137.4499999999998</v>
      </c>
      <c r="F67" t="s">
        <v>817</v>
      </c>
      <c r="G67" t="s">
        <v>819</v>
      </c>
      <c r="I67" t="s">
        <v>822</v>
      </c>
    </row>
    <row r="68" spans="1:9" x14ac:dyDescent="0.35">
      <c r="A68" t="s">
        <v>75</v>
      </c>
      <c r="B68" t="s">
        <v>813</v>
      </c>
      <c r="C68" s="2">
        <v>45697</v>
      </c>
      <c r="D68" s="2">
        <v>45727</v>
      </c>
      <c r="E68">
        <v>3793.28</v>
      </c>
      <c r="F68" t="s">
        <v>817</v>
      </c>
      <c r="G68" t="s">
        <v>821</v>
      </c>
      <c r="H68" s="2">
        <v>45727</v>
      </c>
      <c r="I68" t="s">
        <v>822</v>
      </c>
    </row>
    <row r="69" spans="1:9" x14ac:dyDescent="0.35">
      <c r="A69" t="s">
        <v>76</v>
      </c>
      <c r="B69" t="s">
        <v>809</v>
      </c>
      <c r="C69" s="2">
        <v>45660</v>
      </c>
      <c r="D69" s="2">
        <v>45690</v>
      </c>
      <c r="E69">
        <v>2973.27</v>
      </c>
      <c r="F69" t="s">
        <v>815</v>
      </c>
      <c r="G69" t="s">
        <v>821</v>
      </c>
      <c r="H69" s="2">
        <v>45690</v>
      </c>
      <c r="I69" t="s">
        <v>822</v>
      </c>
    </row>
    <row r="70" spans="1:9" x14ac:dyDescent="0.35">
      <c r="A70" t="s">
        <v>77</v>
      </c>
      <c r="B70" t="s">
        <v>809</v>
      </c>
      <c r="C70" s="2">
        <v>45497</v>
      </c>
      <c r="D70" s="2">
        <v>45527</v>
      </c>
      <c r="E70">
        <v>4968.32</v>
      </c>
      <c r="F70" t="s">
        <v>817</v>
      </c>
      <c r="G70" t="s">
        <v>819</v>
      </c>
      <c r="I70" t="s">
        <v>822</v>
      </c>
    </row>
    <row r="71" spans="1:9" x14ac:dyDescent="0.35">
      <c r="A71" t="s">
        <v>78</v>
      </c>
      <c r="B71" t="s">
        <v>809</v>
      </c>
      <c r="C71" s="2">
        <v>44958</v>
      </c>
      <c r="D71" s="2">
        <v>44988</v>
      </c>
      <c r="E71">
        <v>4336.91</v>
      </c>
      <c r="F71" t="s">
        <v>817</v>
      </c>
      <c r="G71" t="s">
        <v>819</v>
      </c>
      <c r="I71" t="s">
        <v>822</v>
      </c>
    </row>
    <row r="72" spans="1:9" x14ac:dyDescent="0.35">
      <c r="A72" t="s">
        <v>79</v>
      </c>
      <c r="B72" t="s">
        <v>813</v>
      </c>
      <c r="C72" s="2">
        <v>45629</v>
      </c>
      <c r="D72" s="2">
        <v>45659</v>
      </c>
      <c r="E72">
        <v>2479.9499999999998</v>
      </c>
      <c r="F72" t="s">
        <v>817</v>
      </c>
      <c r="G72" t="s">
        <v>821</v>
      </c>
      <c r="H72" s="2">
        <v>45659</v>
      </c>
      <c r="I72" t="s">
        <v>822</v>
      </c>
    </row>
    <row r="73" spans="1:9" x14ac:dyDescent="0.35">
      <c r="A73" t="s">
        <v>80</v>
      </c>
      <c r="B73" t="s">
        <v>813</v>
      </c>
      <c r="C73" s="2">
        <v>45821</v>
      </c>
      <c r="D73" s="2">
        <v>45851</v>
      </c>
      <c r="E73">
        <v>2498.69</v>
      </c>
      <c r="F73" t="s">
        <v>817</v>
      </c>
      <c r="G73" t="s">
        <v>819</v>
      </c>
      <c r="I73" t="s">
        <v>822</v>
      </c>
    </row>
    <row r="74" spans="1:9" x14ac:dyDescent="0.35">
      <c r="A74" t="s">
        <v>81</v>
      </c>
      <c r="B74" t="s">
        <v>810</v>
      </c>
      <c r="C74" s="2">
        <v>45597</v>
      </c>
      <c r="D74" s="2">
        <v>45627</v>
      </c>
      <c r="E74">
        <v>2106.66</v>
      </c>
      <c r="F74" t="s">
        <v>815</v>
      </c>
      <c r="G74" t="s">
        <v>821</v>
      </c>
      <c r="H74" s="2">
        <v>45627</v>
      </c>
      <c r="I74" t="s">
        <v>822</v>
      </c>
    </row>
    <row r="75" spans="1:9" x14ac:dyDescent="0.35">
      <c r="A75" t="s">
        <v>82</v>
      </c>
      <c r="B75" t="s">
        <v>809</v>
      </c>
      <c r="C75" s="2">
        <v>45092</v>
      </c>
      <c r="D75" s="2">
        <v>45122</v>
      </c>
      <c r="E75">
        <v>2082.92</v>
      </c>
      <c r="F75" t="s">
        <v>818</v>
      </c>
      <c r="G75" t="s">
        <v>820</v>
      </c>
      <c r="I75" t="s">
        <v>822</v>
      </c>
    </row>
    <row r="76" spans="1:9" x14ac:dyDescent="0.35">
      <c r="A76" t="s">
        <v>83</v>
      </c>
      <c r="B76" t="s">
        <v>811</v>
      </c>
      <c r="C76" s="2">
        <v>45187</v>
      </c>
      <c r="D76" s="2">
        <v>45217</v>
      </c>
      <c r="E76">
        <v>3536.09</v>
      </c>
      <c r="F76" t="s">
        <v>817</v>
      </c>
      <c r="G76" t="s">
        <v>821</v>
      </c>
      <c r="H76" s="2">
        <v>45217</v>
      </c>
      <c r="I76" t="s">
        <v>822</v>
      </c>
    </row>
    <row r="77" spans="1:9" x14ac:dyDescent="0.35">
      <c r="A77" t="s">
        <v>84</v>
      </c>
      <c r="B77" t="s">
        <v>809</v>
      </c>
      <c r="C77" s="2">
        <v>45661</v>
      </c>
      <c r="D77" s="2">
        <v>45691</v>
      </c>
      <c r="E77">
        <v>3984.82</v>
      </c>
      <c r="F77" t="s">
        <v>815</v>
      </c>
      <c r="G77" t="s">
        <v>819</v>
      </c>
      <c r="I77" t="s">
        <v>822</v>
      </c>
    </row>
    <row r="78" spans="1:9" x14ac:dyDescent="0.35">
      <c r="A78" t="s">
        <v>85</v>
      </c>
      <c r="B78" t="s">
        <v>813</v>
      </c>
      <c r="C78" s="2">
        <v>45068</v>
      </c>
      <c r="D78" s="2">
        <v>45098</v>
      </c>
      <c r="E78">
        <v>1175.94</v>
      </c>
      <c r="F78" t="s">
        <v>817</v>
      </c>
      <c r="G78" t="s">
        <v>820</v>
      </c>
      <c r="I78" t="s">
        <v>822</v>
      </c>
    </row>
    <row r="79" spans="1:9" x14ac:dyDescent="0.35">
      <c r="A79" t="s">
        <v>86</v>
      </c>
      <c r="B79" t="s">
        <v>812</v>
      </c>
      <c r="C79" s="2">
        <v>45556</v>
      </c>
      <c r="D79" s="2">
        <v>45586</v>
      </c>
      <c r="E79">
        <v>1596.04</v>
      </c>
      <c r="F79" t="s">
        <v>818</v>
      </c>
      <c r="G79" t="s">
        <v>821</v>
      </c>
      <c r="H79" s="2">
        <v>45586</v>
      </c>
      <c r="I79" t="s">
        <v>822</v>
      </c>
    </row>
    <row r="80" spans="1:9" x14ac:dyDescent="0.35">
      <c r="A80" t="s">
        <v>87</v>
      </c>
      <c r="B80" t="s">
        <v>812</v>
      </c>
      <c r="C80" s="2">
        <v>45401</v>
      </c>
      <c r="D80" s="2">
        <v>45431</v>
      </c>
      <c r="E80">
        <v>1687.52</v>
      </c>
      <c r="F80" t="s">
        <v>817</v>
      </c>
      <c r="G80" t="s">
        <v>821</v>
      </c>
      <c r="H80" s="2">
        <v>45431</v>
      </c>
      <c r="I80" t="s">
        <v>822</v>
      </c>
    </row>
    <row r="81" spans="1:9" x14ac:dyDescent="0.35">
      <c r="A81" t="s">
        <v>88</v>
      </c>
      <c r="B81" t="s">
        <v>812</v>
      </c>
      <c r="C81" s="2">
        <v>45161</v>
      </c>
      <c r="D81" s="2">
        <v>45191</v>
      </c>
      <c r="E81">
        <v>1247.56</v>
      </c>
      <c r="F81" t="s">
        <v>817</v>
      </c>
      <c r="G81" t="s">
        <v>821</v>
      </c>
      <c r="H81" s="2">
        <v>45191</v>
      </c>
      <c r="I81" t="s">
        <v>822</v>
      </c>
    </row>
    <row r="82" spans="1:9" x14ac:dyDescent="0.35">
      <c r="A82" t="s">
        <v>89</v>
      </c>
      <c r="B82" t="s">
        <v>811</v>
      </c>
      <c r="C82" s="2">
        <v>45811</v>
      </c>
      <c r="D82" s="2">
        <v>45841</v>
      </c>
      <c r="E82">
        <v>3330.96</v>
      </c>
      <c r="F82" t="s">
        <v>818</v>
      </c>
      <c r="G82" t="s">
        <v>820</v>
      </c>
      <c r="I82" t="s">
        <v>822</v>
      </c>
    </row>
    <row r="83" spans="1:9" x14ac:dyDescent="0.35">
      <c r="A83" t="s">
        <v>90</v>
      </c>
      <c r="B83" t="s">
        <v>813</v>
      </c>
      <c r="C83" s="2">
        <v>45561</v>
      </c>
      <c r="D83" s="2">
        <v>45591</v>
      </c>
      <c r="E83">
        <v>1612.59</v>
      </c>
      <c r="F83" t="s">
        <v>814</v>
      </c>
      <c r="G83" t="s">
        <v>819</v>
      </c>
      <c r="I83" t="s">
        <v>822</v>
      </c>
    </row>
    <row r="84" spans="1:9" x14ac:dyDescent="0.35">
      <c r="A84" t="s">
        <v>91</v>
      </c>
      <c r="B84" t="s">
        <v>812</v>
      </c>
      <c r="C84" s="2">
        <v>45458</v>
      </c>
      <c r="D84" s="2">
        <v>45488</v>
      </c>
      <c r="E84">
        <v>1096.08</v>
      </c>
      <c r="F84" t="s">
        <v>815</v>
      </c>
      <c r="G84" t="s">
        <v>820</v>
      </c>
      <c r="I84" t="s">
        <v>822</v>
      </c>
    </row>
    <row r="85" spans="1:9" x14ac:dyDescent="0.35">
      <c r="A85" t="s">
        <v>92</v>
      </c>
      <c r="B85" t="s">
        <v>811</v>
      </c>
      <c r="C85" s="2">
        <v>45423</v>
      </c>
      <c r="D85" s="2">
        <v>45453</v>
      </c>
      <c r="E85">
        <v>1927.05</v>
      </c>
      <c r="F85" t="s">
        <v>817</v>
      </c>
      <c r="G85" t="s">
        <v>820</v>
      </c>
      <c r="I85" t="s">
        <v>822</v>
      </c>
    </row>
    <row r="86" spans="1:9" x14ac:dyDescent="0.35">
      <c r="A86" t="s">
        <v>93</v>
      </c>
      <c r="B86" t="s">
        <v>811</v>
      </c>
      <c r="C86" s="2">
        <v>45082</v>
      </c>
      <c r="D86" s="2">
        <v>45112</v>
      </c>
      <c r="E86">
        <v>1169.93</v>
      </c>
      <c r="F86" t="s">
        <v>817</v>
      </c>
      <c r="G86" t="s">
        <v>819</v>
      </c>
      <c r="I86" t="s">
        <v>822</v>
      </c>
    </row>
    <row r="87" spans="1:9" x14ac:dyDescent="0.35">
      <c r="A87" t="s">
        <v>94</v>
      </c>
      <c r="B87" t="s">
        <v>813</v>
      </c>
      <c r="C87" s="2">
        <v>45820</v>
      </c>
      <c r="D87" s="2">
        <v>45850</v>
      </c>
      <c r="E87">
        <v>662.31</v>
      </c>
      <c r="F87" t="s">
        <v>816</v>
      </c>
      <c r="G87" t="s">
        <v>819</v>
      </c>
      <c r="I87" t="s">
        <v>822</v>
      </c>
    </row>
    <row r="88" spans="1:9" x14ac:dyDescent="0.35">
      <c r="A88" t="s">
        <v>95</v>
      </c>
      <c r="B88" t="s">
        <v>813</v>
      </c>
      <c r="C88" s="2">
        <v>45111</v>
      </c>
      <c r="D88" s="2">
        <v>45141</v>
      </c>
      <c r="E88">
        <v>3443.5</v>
      </c>
      <c r="F88" t="s">
        <v>815</v>
      </c>
      <c r="G88" t="s">
        <v>821</v>
      </c>
      <c r="H88" s="2">
        <v>45141</v>
      </c>
      <c r="I88" t="s">
        <v>822</v>
      </c>
    </row>
    <row r="89" spans="1:9" x14ac:dyDescent="0.35">
      <c r="A89" t="s">
        <v>96</v>
      </c>
      <c r="B89" t="s">
        <v>813</v>
      </c>
      <c r="C89" s="2">
        <v>45456</v>
      </c>
      <c r="D89" s="2">
        <v>45486</v>
      </c>
      <c r="E89">
        <v>3290.86</v>
      </c>
      <c r="F89" t="s">
        <v>815</v>
      </c>
      <c r="G89" t="s">
        <v>821</v>
      </c>
      <c r="H89" s="2">
        <v>45486</v>
      </c>
      <c r="I89" t="s">
        <v>822</v>
      </c>
    </row>
    <row r="90" spans="1:9" x14ac:dyDescent="0.35">
      <c r="A90" t="s">
        <v>97</v>
      </c>
      <c r="B90" t="s">
        <v>813</v>
      </c>
      <c r="C90" s="2">
        <v>45737</v>
      </c>
      <c r="D90" s="2">
        <v>45767</v>
      </c>
      <c r="E90">
        <v>1872.61</v>
      </c>
      <c r="F90" t="s">
        <v>814</v>
      </c>
      <c r="G90" t="s">
        <v>819</v>
      </c>
      <c r="I90" t="s">
        <v>822</v>
      </c>
    </row>
    <row r="91" spans="1:9" x14ac:dyDescent="0.35">
      <c r="A91" t="s">
        <v>98</v>
      </c>
      <c r="B91" t="s">
        <v>813</v>
      </c>
      <c r="C91" s="2">
        <v>45520</v>
      </c>
      <c r="D91" s="2">
        <v>45550</v>
      </c>
      <c r="E91">
        <v>307.49</v>
      </c>
      <c r="F91" t="s">
        <v>816</v>
      </c>
      <c r="G91" t="s">
        <v>819</v>
      </c>
      <c r="I91" t="s">
        <v>822</v>
      </c>
    </row>
    <row r="92" spans="1:9" x14ac:dyDescent="0.35">
      <c r="A92" t="s">
        <v>99</v>
      </c>
      <c r="B92" t="s">
        <v>813</v>
      </c>
      <c r="C92" s="2">
        <v>45403</v>
      </c>
      <c r="D92" s="2">
        <v>45433</v>
      </c>
      <c r="E92">
        <v>211.08</v>
      </c>
      <c r="F92" t="s">
        <v>818</v>
      </c>
      <c r="G92" t="s">
        <v>820</v>
      </c>
      <c r="I92" t="s">
        <v>822</v>
      </c>
    </row>
    <row r="93" spans="1:9" x14ac:dyDescent="0.35">
      <c r="A93" t="s">
        <v>100</v>
      </c>
      <c r="B93" t="s">
        <v>813</v>
      </c>
      <c r="C93" s="2">
        <v>44966</v>
      </c>
      <c r="D93" s="2">
        <v>44996</v>
      </c>
      <c r="E93">
        <v>2052.0100000000002</v>
      </c>
      <c r="F93" t="s">
        <v>814</v>
      </c>
      <c r="G93" t="s">
        <v>819</v>
      </c>
      <c r="I93" t="s">
        <v>822</v>
      </c>
    </row>
    <row r="94" spans="1:9" x14ac:dyDescent="0.35">
      <c r="A94" t="s">
        <v>101</v>
      </c>
      <c r="B94" t="s">
        <v>813</v>
      </c>
      <c r="C94" s="2">
        <v>45071</v>
      </c>
      <c r="D94" s="2">
        <v>45101</v>
      </c>
      <c r="E94">
        <v>4091.87</v>
      </c>
      <c r="F94" t="s">
        <v>818</v>
      </c>
      <c r="G94" t="s">
        <v>819</v>
      </c>
      <c r="I94" t="s">
        <v>822</v>
      </c>
    </row>
    <row r="95" spans="1:9" x14ac:dyDescent="0.35">
      <c r="A95" t="s">
        <v>102</v>
      </c>
      <c r="B95" t="s">
        <v>812</v>
      </c>
      <c r="C95" s="2">
        <v>45227</v>
      </c>
      <c r="D95" s="2">
        <v>45257</v>
      </c>
      <c r="E95">
        <v>1321.04</v>
      </c>
      <c r="F95" t="s">
        <v>818</v>
      </c>
      <c r="G95" t="s">
        <v>819</v>
      </c>
      <c r="I95" t="s">
        <v>822</v>
      </c>
    </row>
    <row r="96" spans="1:9" x14ac:dyDescent="0.35">
      <c r="A96" t="s">
        <v>103</v>
      </c>
      <c r="B96" t="s">
        <v>809</v>
      </c>
      <c r="C96" s="2">
        <v>45088</v>
      </c>
      <c r="D96" s="2">
        <v>45118</v>
      </c>
      <c r="E96">
        <v>4205.21</v>
      </c>
      <c r="F96" t="s">
        <v>818</v>
      </c>
      <c r="G96" t="s">
        <v>821</v>
      </c>
      <c r="H96" s="2">
        <v>45118</v>
      </c>
      <c r="I96" t="s">
        <v>822</v>
      </c>
    </row>
    <row r="97" spans="1:9" x14ac:dyDescent="0.35">
      <c r="A97" t="s">
        <v>104</v>
      </c>
      <c r="B97" t="s">
        <v>810</v>
      </c>
      <c r="C97" s="2">
        <v>45426</v>
      </c>
      <c r="D97" s="2">
        <v>45456</v>
      </c>
      <c r="E97">
        <v>4804.12</v>
      </c>
      <c r="F97" t="s">
        <v>815</v>
      </c>
      <c r="G97" t="s">
        <v>819</v>
      </c>
      <c r="I97" t="s">
        <v>822</v>
      </c>
    </row>
    <row r="98" spans="1:9" x14ac:dyDescent="0.35">
      <c r="A98" t="s">
        <v>105</v>
      </c>
      <c r="B98" t="s">
        <v>810</v>
      </c>
      <c r="C98" s="2">
        <v>45442</v>
      </c>
      <c r="D98" s="2">
        <v>45472</v>
      </c>
      <c r="E98">
        <v>2179.34</v>
      </c>
      <c r="F98" t="s">
        <v>817</v>
      </c>
      <c r="G98" t="s">
        <v>821</v>
      </c>
      <c r="H98" s="2">
        <v>45472</v>
      </c>
      <c r="I98" t="s">
        <v>822</v>
      </c>
    </row>
    <row r="99" spans="1:9" x14ac:dyDescent="0.35">
      <c r="A99" t="s">
        <v>106</v>
      </c>
      <c r="B99" t="s">
        <v>811</v>
      </c>
      <c r="C99" s="2">
        <v>45350</v>
      </c>
      <c r="D99" s="2">
        <v>45380</v>
      </c>
      <c r="E99">
        <v>2918.59</v>
      </c>
      <c r="F99" t="s">
        <v>815</v>
      </c>
      <c r="G99" t="s">
        <v>819</v>
      </c>
      <c r="I99" t="s">
        <v>822</v>
      </c>
    </row>
    <row r="100" spans="1:9" x14ac:dyDescent="0.35">
      <c r="A100" t="s">
        <v>107</v>
      </c>
      <c r="B100" t="s">
        <v>812</v>
      </c>
      <c r="C100" s="2">
        <v>45568</v>
      </c>
      <c r="D100" s="2">
        <v>45598</v>
      </c>
      <c r="E100">
        <v>4508.92</v>
      </c>
      <c r="F100" t="s">
        <v>815</v>
      </c>
      <c r="G100" t="s">
        <v>821</v>
      </c>
      <c r="H100" s="2">
        <v>45598</v>
      </c>
      <c r="I100" t="s">
        <v>822</v>
      </c>
    </row>
    <row r="101" spans="1:9" x14ac:dyDescent="0.35">
      <c r="A101" t="s">
        <v>108</v>
      </c>
      <c r="B101" t="s">
        <v>809</v>
      </c>
      <c r="C101" s="2">
        <v>45134</v>
      </c>
      <c r="D101" s="2">
        <v>45164</v>
      </c>
      <c r="E101">
        <v>3543.69</v>
      </c>
      <c r="F101" t="s">
        <v>814</v>
      </c>
      <c r="G101" t="s">
        <v>820</v>
      </c>
      <c r="I101" t="s">
        <v>822</v>
      </c>
    </row>
    <row r="102" spans="1:9" x14ac:dyDescent="0.35">
      <c r="A102" t="s">
        <v>109</v>
      </c>
      <c r="B102" t="s">
        <v>812</v>
      </c>
      <c r="C102" s="2">
        <v>45554</v>
      </c>
      <c r="D102" s="2">
        <v>45584</v>
      </c>
      <c r="E102">
        <v>3606.75</v>
      </c>
      <c r="F102" t="s">
        <v>818</v>
      </c>
      <c r="G102" t="s">
        <v>819</v>
      </c>
      <c r="I102" t="s">
        <v>822</v>
      </c>
    </row>
    <row r="103" spans="1:9" x14ac:dyDescent="0.35">
      <c r="A103" t="s">
        <v>110</v>
      </c>
      <c r="B103" t="s">
        <v>812</v>
      </c>
      <c r="C103" s="2">
        <v>45838</v>
      </c>
      <c r="D103" s="2">
        <v>45868</v>
      </c>
      <c r="E103">
        <v>3518.19</v>
      </c>
      <c r="F103" t="s">
        <v>817</v>
      </c>
      <c r="G103" t="s">
        <v>820</v>
      </c>
      <c r="I103" t="s">
        <v>822</v>
      </c>
    </row>
    <row r="104" spans="1:9" x14ac:dyDescent="0.35">
      <c r="A104" t="s">
        <v>111</v>
      </c>
      <c r="B104" t="s">
        <v>810</v>
      </c>
      <c r="C104" s="2">
        <v>45653</v>
      </c>
      <c r="D104" s="2">
        <v>45683</v>
      </c>
      <c r="E104">
        <v>4853.53</v>
      </c>
      <c r="F104" t="s">
        <v>815</v>
      </c>
      <c r="G104" t="s">
        <v>819</v>
      </c>
      <c r="I104" t="s">
        <v>822</v>
      </c>
    </row>
    <row r="105" spans="1:9" x14ac:dyDescent="0.35">
      <c r="A105" t="s">
        <v>112</v>
      </c>
      <c r="B105" t="s">
        <v>809</v>
      </c>
      <c r="C105" s="2">
        <v>45533</v>
      </c>
      <c r="D105" s="2">
        <v>45563</v>
      </c>
      <c r="E105">
        <v>4099.79</v>
      </c>
      <c r="F105" t="s">
        <v>814</v>
      </c>
      <c r="G105" t="s">
        <v>820</v>
      </c>
      <c r="I105" t="s">
        <v>822</v>
      </c>
    </row>
    <row r="106" spans="1:9" x14ac:dyDescent="0.35">
      <c r="A106" t="s">
        <v>113</v>
      </c>
      <c r="B106" t="s">
        <v>809</v>
      </c>
      <c r="C106" s="2">
        <v>44958</v>
      </c>
      <c r="D106" s="2">
        <v>44988</v>
      </c>
      <c r="E106">
        <v>3167.66</v>
      </c>
      <c r="F106" t="s">
        <v>815</v>
      </c>
      <c r="G106" t="s">
        <v>821</v>
      </c>
      <c r="H106" s="2">
        <v>44988</v>
      </c>
      <c r="I106" t="s">
        <v>822</v>
      </c>
    </row>
    <row r="107" spans="1:9" x14ac:dyDescent="0.35">
      <c r="A107" t="s">
        <v>114</v>
      </c>
      <c r="B107" t="s">
        <v>812</v>
      </c>
      <c r="C107" s="2">
        <v>45024</v>
      </c>
      <c r="D107" s="2">
        <v>45054</v>
      </c>
      <c r="E107">
        <v>4646.9799999999996</v>
      </c>
      <c r="F107" t="s">
        <v>814</v>
      </c>
      <c r="G107" t="s">
        <v>820</v>
      </c>
      <c r="I107" t="s">
        <v>822</v>
      </c>
    </row>
    <row r="108" spans="1:9" x14ac:dyDescent="0.35">
      <c r="A108" t="s">
        <v>115</v>
      </c>
      <c r="B108" t="s">
        <v>813</v>
      </c>
      <c r="C108" s="2">
        <v>45552</v>
      </c>
      <c r="D108" s="2">
        <v>45582</v>
      </c>
      <c r="E108">
        <v>4202.6099999999997</v>
      </c>
      <c r="F108" t="s">
        <v>816</v>
      </c>
      <c r="G108" t="s">
        <v>819</v>
      </c>
      <c r="I108" t="s">
        <v>822</v>
      </c>
    </row>
    <row r="109" spans="1:9" x14ac:dyDescent="0.35">
      <c r="A109" t="s">
        <v>116</v>
      </c>
      <c r="B109" t="s">
        <v>813</v>
      </c>
      <c r="C109" s="2">
        <v>45250</v>
      </c>
      <c r="D109" s="2">
        <v>45280</v>
      </c>
      <c r="E109">
        <v>1491.57</v>
      </c>
      <c r="F109" t="s">
        <v>814</v>
      </c>
      <c r="G109" t="s">
        <v>821</v>
      </c>
      <c r="H109" s="2">
        <v>45280</v>
      </c>
      <c r="I109" t="s">
        <v>822</v>
      </c>
    </row>
    <row r="110" spans="1:9" x14ac:dyDescent="0.35">
      <c r="A110" t="s">
        <v>117</v>
      </c>
      <c r="B110" t="s">
        <v>809</v>
      </c>
      <c r="C110" s="2">
        <v>45339</v>
      </c>
      <c r="D110" s="2">
        <v>45369</v>
      </c>
      <c r="E110">
        <v>2302.71</v>
      </c>
      <c r="F110" t="s">
        <v>817</v>
      </c>
      <c r="G110" t="s">
        <v>821</v>
      </c>
      <c r="H110" s="2">
        <v>45369</v>
      </c>
      <c r="I110" t="s">
        <v>822</v>
      </c>
    </row>
    <row r="111" spans="1:9" x14ac:dyDescent="0.35">
      <c r="A111" t="s">
        <v>118</v>
      </c>
      <c r="B111" t="s">
        <v>812</v>
      </c>
      <c r="C111" s="2">
        <v>45787</v>
      </c>
      <c r="D111" s="2">
        <v>45817</v>
      </c>
      <c r="E111">
        <v>222.31</v>
      </c>
      <c r="F111" t="s">
        <v>814</v>
      </c>
      <c r="G111" t="s">
        <v>820</v>
      </c>
      <c r="I111" t="s">
        <v>822</v>
      </c>
    </row>
    <row r="112" spans="1:9" x14ac:dyDescent="0.35">
      <c r="A112" t="s">
        <v>119</v>
      </c>
      <c r="B112" t="s">
        <v>812</v>
      </c>
      <c r="C112" s="2">
        <v>45621</v>
      </c>
      <c r="D112" s="2">
        <v>45651</v>
      </c>
      <c r="E112">
        <v>1191.67</v>
      </c>
      <c r="F112" t="s">
        <v>816</v>
      </c>
      <c r="G112" t="s">
        <v>819</v>
      </c>
      <c r="I112" t="s">
        <v>822</v>
      </c>
    </row>
    <row r="113" spans="1:9" x14ac:dyDescent="0.35">
      <c r="A113" t="s">
        <v>120</v>
      </c>
      <c r="B113" t="s">
        <v>812</v>
      </c>
      <c r="C113" s="2">
        <v>45273</v>
      </c>
      <c r="D113" s="2">
        <v>45303</v>
      </c>
      <c r="E113">
        <v>3805.91</v>
      </c>
      <c r="F113" t="s">
        <v>815</v>
      </c>
      <c r="G113" t="s">
        <v>821</v>
      </c>
      <c r="H113" s="2">
        <v>45303</v>
      </c>
      <c r="I113" t="s">
        <v>822</v>
      </c>
    </row>
    <row r="114" spans="1:9" x14ac:dyDescent="0.35">
      <c r="A114" t="s">
        <v>121</v>
      </c>
      <c r="B114" t="s">
        <v>813</v>
      </c>
      <c r="C114" s="2">
        <v>45028</v>
      </c>
      <c r="D114" s="2">
        <v>45058</v>
      </c>
      <c r="E114">
        <v>945.2</v>
      </c>
      <c r="F114" t="s">
        <v>817</v>
      </c>
      <c r="G114" t="s">
        <v>820</v>
      </c>
      <c r="I114" t="s">
        <v>822</v>
      </c>
    </row>
    <row r="115" spans="1:9" x14ac:dyDescent="0.35">
      <c r="A115" t="s">
        <v>122</v>
      </c>
      <c r="B115" t="s">
        <v>812</v>
      </c>
      <c r="C115" s="2">
        <v>45311</v>
      </c>
      <c r="D115" s="2">
        <v>45341</v>
      </c>
      <c r="E115">
        <v>2517.4699999999998</v>
      </c>
      <c r="F115" t="s">
        <v>815</v>
      </c>
      <c r="G115" t="s">
        <v>820</v>
      </c>
      <c r="I115" t="s">
        <v>822</v>
      </c>
    </row>
    <row r="116" spans="1:9" x14ac:dyDescent="0.35">
      <c r="A116" t="s">
        <v>123</v>
      </c>
      <c r="B116" t="s">
        <v>813</v>
      </c>
      <c r="C116" s="2">
        <v>45625</v>
      </c>
      <c r="D116" s="2">
        <v>45655</v>
      </c>
      <c r="E116">
        <v>4131.71</v>
      </c>
      <c r="F116" t="s">
        <v>817</v>
      </c>
      <c r="G116" t="s">
        <v>820</v>
      </c>
      <c r="I116" t="s">
        <v>822</v>
      </c>
    </row>
    <row r="117" spans="1:9" x14ac:dyDescent="0.35">
      <c r="A117" t="s">
        <v>124</v>
      </c>
      <c r="B117" t="s">
        <v>813</v>
      </c>
      <c r="C117" s="2">
        <v>45370</v>
      </c>
      <c r="D117" s="2">
        <v>45400</v>
      </c>
      <c r="E117">
        <v>1116.42</v>
      </c>
      <c r="F117" t="s">
        <v>815</v>
      </c>
      <c r="G117" t="s">
        <v>819</v>
      </c>
      <c r="I117" t="s">
        <v>822</v>
      </c>
    </row>
    <row r="118" spans="1:9" x14ac:dyDescent="0.35">
      <c r="A118" t="s">
        <v>125</v>
      </c>
      <c r="B118" t="s">
        <v>813</v>
      </c>
      <c r="C118" s="2">
        <v>45193</v>
      </c>
      <c r="D118" s="2">
        <v>45223</v>
      </c>
      <c r="E118">
        <v>4575.2700000000004</v>
      </c>
      <c r="F118" t="s">
        <v>815</v>
      </c>
      <c r="G118" t="s">
        <v>819</v>
      </c>
      <c r="I118" t="s">
        <v>822</v>
      </c>
    </row>
    <row r="119" spans="1:9" x14ac:dyDescent="0.35">
      <c r="A119" t="s">
        <v>126</v>
      </c>
      <c r="B119" t="s">
        <v>813</v>
      </c>
      <c r="C119" s="2">
        <v>44973</v>
      </c>
      <c r="D119" s="2">
        <v>45003</v>
      </c>
      <c r="E119">
        <v>1514.17</v>
      </c>
      <c r="F119" t="s">
        <v>815</v>
      </c>
      <c r="G119" t="s">
        <v>819</v>
      </c>
      <c r="I119" t="s">
        <v>822</v>
      </c>
    </row>
    <row r="120" spans="1:9" x14ac:dyDescent="0.35">
      <c r="A120" t="s">
        <v>127</v>
      </c>
      <c r="B120" t="s">
        <v>809</v>
      </c>
      <c r="C120" s="2">
        <v>45152</v>
      </c>
      <c r="D120" s="2">
        <v>45182</v>
      </c>
      <c r="E120">
        <v>4267.03</v>
      </c>
      <c r="F120" t="s">
        <v>815</v>
      </c>
      <c r="G120" t="s">
        <v>819</v>
      </c>
      <c r="I120" t="s">
        <v>822</v>
      </c>
    </row>
    <row r="121" spans="1:9" x14ac:dyDescent="0.35">
      <c r="A121" t="s">
        <v>128</v>
      </c>
      <c r="B121" t="s">
        <v>810</v>
      </c>
      <c r="C121" s="2">
        <v>45685</v>
      </c>
      <c r="D121" s="2">
        <v>45715</v>
      </c>
      <c r="E121">
        <v>4482.04</v>
      </c>
      <c r="F121" t="s">
        <v>816</v>
      </c>
      <c r="G121" t="s">
        <v>820</v>
      </c>
      <c r="I121" t="s">
        <v>822</v>
      </c>
    </row>
    <row r="122" spans="1:9" x14ac:dyDescent="0.35">
      <c r="A122" t="s">
        <v>129</v>
      </c>
      <c r="B122" t="s">
        <v>813</v>
      </c>
      <c r="C122" s="2">
        <v>45412</v>
      </c>
      <c r="D122" s="2">
        <v>45442</v>
      </c>
      <c r="E122">
        <v>1407.76</v>
      </c>
      <c r="F122" t="s">
        <v>816</v>
      </c>
      <c r="G122" t="s">
        <v>821</v>
      </c>
      <c r="H122" s="2">
        <v>45442</v>
      </c>
      <c r="I122" t="s">
        <v>822</v>
      </c>
    </row>
    <row r="123" spans="1:9" x14ac:dyDescent="0.35">
      <c r="A123" t="s">
        <v>130</v>
      </c>
      <c r="B123" t="s">
        <v>811</v>
      </c>
      <c r="C123" s="2">
        <v>45253</v>
      </c>
      <c r="D123" s="2">
        <v>45283</v>
      </c>
      <c r="E123">
        <v>2739.91</v>
      </c>
      <c r="F123" t="s">
        <v>814</v>
      </c>
      <c r="G123" t="s">
        <v>819</v>
      </c>
      <c r="I123" t="s">
        <v>822</v>
      </c>
    </row>
    <row r="124" spans="1:9" x14ac:dyDescent="0.35">
      <c r="A124" t="s">
        <v>131</v>
      </c>
      <c r="B124" t="s">
        <v>809</v>
      </c>
      <c r="C124" s="2">
        <v>45729</v>
      </c>
      <c r="D124" s="2">
        <v>45759</v>
      </c>
      <c r="E124">
        <v>2094.14</v>
      </c>
      <c r="F124" t="s">
        <v>816</v>
      </c>
      <c r="G124" t="s">
        <v>820</v>
      </c>
      <c r="I124" t="s">
        <v>822</v>
      </c>
    </row>
    <row r="125" spans="1:9" x14ac:dyDescent="0.35">
      <c r="A125" t="s">
        <v>132</v>
      </c>
      <c r="B125" t="s">
        <v>813</v>
      </c>
      <c r="C125" s="2">
        <v>45647</v>
      </c>
      <c r="D125" s="2">
        <v>45677</v>
      </c>
      <c r="E125">
        <v>1636.17</v>
      </c>
      <c r="F125" t="s">
        <v>816</v>
      </c>
      <c r="G125" t="s">
        <v>819</v>
      </c>
      <c r="I125" t="s">
        <v>822</v>
      </c>
    </row>
    <row r="126" spans="1:9" x14ac:dyDescent="0.35">
      <c r="A126" t="s">
        <v>133</v>
      </c>
      <c r="B126" t="s">
        <v>810</v>
      </c>
      <c r="C126" s="2">
        <v>45204</v>
      </c>
      <c r="D126" s="2">
        <v>45234</v>
      </c>
      <c r="E126">
        <v>1052.47</v>
      </c>
      <c r="F126" t="s">
        <v>818</v>
      </c>
      <c r="G126" t="s">
        <v>820</v>
      </c>
      <c r="I126" t="s">
        <v>822</v>
      </c>
    </row>
    <row r="127" spans="1:9" x14ac:dyDescent="0.35">
      <c r="A127" t="s">
        <v>134</v>
      </c>
      <c r="B127" t="s">
        <v>810</v>
      </c>
      <c r="C127" s="2">
        <v>45186</v>
      </c>
      <c r="D127" s="2">
        <v>45216</v>
      </c>
      <c r="E127">
        <v>4195.09</v>
      </c>
      <c r="F127" t="s">
        <v>818</v>
      </c>
      <c r="G127" t="s">
        <v>819</v>
      </c>
      <c r="I127" t="s">
        <v>822</v>
      </c>
    </row>
    <row r="128" spans="1:9" x14ac:dyDescent="0.35">
      <c r="A128" t="s">
        <v>135</v>
      </c>
      <c r="B128" t="s">
        <v>811</v>
      </c>
      <c r="C128" s="2">
        <v>44940</v>
      </c>
      <c r="D128" s="2">
        <v>44970</v>
      </c>
      <c r="E128">
        <v>2545.81</v>
      </c>
      <c r="F128" t="s">
        <v>817</v>
      </c>
      <c r="G128" t="s">
        <v>820</v>
      </c>
      <c r="I128" t="s">
        <v>822</v>
      </c>
    </row>
    <row r="129" spans="1:9" x14ac:dyDescent="0.35">
      <c r="A129" t="s">
        <v>136</v>
      </c>
      <c r="B129" t="s">
        <v>812</v>
      </c>
      <c r="C129" s="2">
        <v>45396</v>
      </c>
      <c r="D129" s="2">
        <v>45426</v>
      </c>
      <c r="E129">
        <v>993.34</v>
      </c>
      <c r="F129" t="s">
        <v>818</v>
      </c>
      <c r="G129" t="s">
        <v>820</v>
      </c>
      <c r="I129" t="s">
        <v>822</v>
      </c>
    </row>
    <row r="130" spans="1:9" x14ac:dyDescent="0.35">
      <c r="A130" t="s">
        <v>137</v>
      </c>
      <c r="B130" t="s">
        <v>812</v>
      </c>
      <c r="C130" s="2">
        <v>45091</v>
      </c>
      <c r="D130" s="2">
        <v>45121</v>
      </c>
      <c r="E130">
        <v>834.51</v>
      </c>
      <c r="F130" t="s">
        <v>816</v>
      </c>
      <c r="G130" t="s">
        <v>820</v>
      </c>
      <c r="I130" t="s">
        <v>822</v>
      </c>
    </row>
    <row r="131" spans="1:9" x14ac:dyDescent="0.35">
      <c r="A131" t="s">
        <v>138</v>
      </c>
      <c r="B131" t="s">
        <v>812</v>
      </c>
      <c r="C131" s="2">
        <v>45286</v>
      </c>
      <c r="D131" s="2">
        <v>45316</v>
      </c>
      <c r="E131">
        <v>2107.58</v>
      </c>
      <c r="F131" t="s">
        <v>817</v>
      </c>
      <c r="G131" t="s">
        <v>820</v>
      </c>
      <c r="I131" t="s">
        <v>822</v>
      </c>
    </row>
    <row r="132" spans="1:9" x14ac:dyDescent="0.35">
      <c r="A132" t="s">
        <v>139</v>
      </c>
      <c r="B132" t="s">
        <v>813</v>
      </c>
      <c r="C132" s="2">
        <v>45782</v>
      </c>
      <c r="D132" s="2">
        <v>45812</v>
      </c>
      <c r="E132">
        <v>1874.69</v>
      </c>
      <c r="F132" t="s">
        <v>817</v>
      </c>
      <c r="G132" t="s">
        <v>819</v>
      </c>
      <c r="I132" t="s">
        <v>822</v>
      </c>
    </row>
    <row r="133" spans="1:9" x14ac:dyDescent="0.35">
      <c r="A133" t="s">
        <v>140</v>
      </c>
      <c r="B133" t="s">
        <v>812</v>
      </c>
      <c r="C133" s="2">
        <v>45471</v>
      </c>
      <c r="D133" s="2">
        <v>45501</v>
      </c>
      <c r="E133">
        <v>4388.51</v>
      </c>
      <c r="F133" t="s">
        <v>814</v>
      </c>
      <c r="G133" t="s">
        <v>821</v>
      </c>
      <c r="H133" s="2">
        <v>45501</v>
      </c>
      <c r="I133" t="s">
        <v>822</v>
      </c>
    </row>
    <row r="134" spans="1:9" x14ac:dyDescent="0.35">
      <c r="A134" t="s">
        <v>141</v>
      </c>
      <c r="B134" t="s">
        <v>810</v>
      </c>
      <c r="C134" s="2">
        <v>45365</v>
      </c>
      <c r="D134" s="2">
        <v>45395</v>
      </c>
      <c r="E134">
        <v>125.24</v>
      </c>
      <c r="F134" t="s">
        <v>815</v>
      </c>
      <c r="G134" t="s">
        <v>820</v>
      </c>
      <c r="I134" t="s">
        <v>822</v>
      </c>
    </row>
    <row r="135" spans="1:9" x14ac:dyDescent="0.35">
      <c r="A135" t="s">
        <v>142</v>
      </c>
      <c r="B135" t="s">
        <v>811</v>
      </c>
      <c r="C135" s="2">
        <v>45392</v>
      </c>
      <c r="D135" s="2">
        <v>45422</v>
      </c>
      <c r="E135">
        <v>1249.8900000000001</v>
      </c>
      <c r="F135" t="s">
        <v>818</v>
      </c>
      <c r="G135" t="s">
        <v>819</v>
      </c>
      <c r="I135" t="s">
        <v>822</v>
      </c>
    </row>
    <row r="136" spans="1:9" x14ac:dyDescent="0.35">
      <c r="A136" t="s">
        <v>143</v>
      </c>
      <c r="B136" t="s">
        <v>811</v>
      </c>
      <c r="C136" s="2">
        <v>45631</v>
      </c>
      <c r="D136" s="2">
        <v>45661</v>
      </c>
      <c r="E136">
        <v>4937.78</v>
      </c>
      <c r="F136" t="s">
        <v>814</v>
      </c>
      <c r="G136" t="s">
        <v>819</v>
      </c>
      <c r="I136" t="s">
        <v>822</v>
      </c>
    </row>
    <row r="137" spans="1:9" x14ac:dyDescent="0.35">
      <c r="A137" t="s">
        <v>144</v>
      </c>
      <c r="B137" t="s">
        <v>809</v>
      </c>
      <c r="C137" s="2">
        <v>45381</v>
      </c>
      <c r="D137" s="2">
        <v>45411</v>
      </c>
      <c r="E137">
        <v>2379.1799999999998</v>
      </c>
      <c r="F137" t="s">
        <v>818</v>
      </c>
      <c r="G137" t="s">
        <v>821</v>
      </c>
      <c r="H137" s="2">
        <v>45411</v>
      </c>
      <c r="I137" t="s">
        <v>822</v>
      </c>
    </row>
    <row r="138" spans="1:9" x14ac:dyDescent="0.35">
      <c r="A138" t="s">
        <v>145</v>
      </c>
      <c r="B138" t="s">
        <v>809</v>
      </c>
      <c r="C138" s="2">
        <v>45265</v>
      </c>
      <c r="D138" s="2">
        <v>45295</v>
      </c>
      <c r="E138">
        <v>4032.55</v>
      </c>
      <c r="F138" t="s">
        <v>815</v>
      </c>
      <c r="G138" t="s">
        <v>821</v>
      </c>
      <c r="H138" s="2">
        <v>45295</v>
      </c>
      <c r="I138" t="s">
        <v>822</v>
      </c>
    </row>
    <row r="139" spans="1:9" x14ac:dyDescent="0.35">
      <c r="A139" t="s">
        <v>146</v>
      </c>
      <c r="B139" t="s">
        <v>813</v>
      </c>
      <c r="C139" s="2">
        <v>45494</v>
      </c>
      <c r="D139" s="2">
        <v>45524</v>
      </c>
      <c r="E139">
        <v>3922.59</v>
      </c>
      <c r="F139" t="s">
        <v>818</v>
      </c>
      <c r="G139" t="s">
        <v>821</v>
      </c>
      <c r="H139" s="2">
        <v>45524</v>
      </c>
      <c r="I139" t="s">
        <v>822</v>
      </c>
    </row>
    <row r="140" spans="1:9" x14ac:dyDescent="0.35">
      <c r="A140" t="s">
        <v>147</v>
      </c>
      <c r="B140" t="s">
        <v>813</v>
      </c>
      <c r="C140" s="2">
        <v>45174</v>
      </c>
      <c r="D140" s="2">
        <v>45204</v>
      </c>
      <c r="E140">
        <v>3377.42</v>
      </c>
      <c r="F140" t="s">
        <v>816</v>
      </c>
      <c r="G140" t="s">
        <v>821</v>
      </c>
      <c r="H140" s="2">
        <v>45204</v>
      </c>
      <c r="I140" t="s">
        <v>822</v>
      </c>
    </row>
    <row r="141" spans="1:9" x14ac:dyDescent="0.35">
      <c r="A141" t="s">
        <v>148</v>
      </c>
      <c r="B141" t="s">
        <v>812</v>
      </c>
      <c r="C141" s="2">
        <v>45638</v>
      </c>
      <c r="D141" s="2">
        <v>45668</v>
      </c>
      <c r="E141">
        <v>3927.21</v>
      </c>
      <c r="F141" t="s">
        <v>814</v>
      </c>
      <c r="G141" t="s">
        <v>820</v>
      </c>
      <c r="I141" t="s">
        <v>822</v>
      </c>
    </row>
    <row r="142" spans="1:9" x14ac:dyDescent="0.35">
      <c r="A142" t="s">
        <v>149</v>
      </c>
      <c r="B142" t="s">
        <v>812</v>
      </c>
      <c r="C142" s="2">
        <v>45400</v>
      </c>
      <c r="D142" s="2">
        <v>45430</v>
      </c>
      <c r="E142">
        <v>4292.3500000000004</v>
      </c>
      <c r="F142" t="s">
        <v>815</v>
      </c>
      <c r="G142" t="s">
        <v>819</v>
      </c>
      <c r="I142" t="s">
        <v>822</v>
      </c>
    </row>
    <row r="143" spans="1:9" x14ac:dyDescent="0.35">
      <c r="A143" t="s">
        <v>150</v>
      </c>
      <c r="B143" t="s">
        <v>810</v>
      </c>
      <c r="C143" s="2">
        <v>45827</v>
      </c>
      <c r="D143" s="2">
        <v>45857</v>
      </c>
      <c r="E143">
        <v>3350.66</v>
      </c>
      <c r="F143" t="s">
        <v>817</v>
      </c>
      <c r="G143" t="s">
        <v>820</v>
      </c>
      <c r="I143" t="s">
        <v>822</v>
      </c>
    </row>
    <row r="144" spans="1:9" x14ac:dyDescent="0.35">
      <c r="A144" t="s">
        <v>151</v>
      </c>
      <c r="B144" t="s">
        <v>813</v>
      </c>
      <c r="C144" s="2">
        <v>45074</v>
      </c>
      <c r="D144" s="2">
        <v>45104</v>
      </c>
      <c r="E144">
        <v>4762.47</v>
      </c>
      <c r="F144" t="s">
        <v>817</v>
      </c>
      <c r="G144" t="s">
        <v>820</v>
      </c>
      <c r="I144" t="s">
        <v>822</v>
      </c>
    </row>
    <row r="145" spans="1:9" x14ac:dyDescent="0.35">
      <c r="A145" t="s">
        <v>152</v>
      </c>
      <c r="B145" t="s">
        <v>813</v>
      </c>
      <c r="C145" s="2">
        <v>45139</v>
      </c>
      <c r="D145" s="2">
        <v>45169</v>
      </c>
      <c r="E145">
        <v>1589.97</v>
      </c>
      <c r="F145" t="s">
        <v>818</v>
      </c>
      <c r="G145" t="s">
        <v>819</v>
      </c>
      <c r="I145" t="s">
        <v>822</v>
      </c>
    </row>
    <row r="146" spans="1:9" x14ac:dyDescent="0.35">
      <c r="A146" t="s">
        <v>153</v>
      </c>
      <c r="B146" t="s">
        <v>811</v>
      </c>
      <c r="C146" s="2">
        <v>45467</v>
      </c>
      <c r="D146" s="2">
        <v>45497</v>
      </c>
      <c r="E146">
        <v>2206.4</v>
      </c>
      <c r="F146" t="s">
        <v>816</v>
      </c>
      <c r="G146" t="s">
        <v>820</v>
      </c>
      <c r="I146" t="s">
        <v>822</v>
      </c>
    </row>
    <row r="147" spans="1:9" x14ac:dyDescent="0.35">
      <c r="A147" t="s">
        <v>154</v>
      </c>
      <c r="B147" t="s">
        <v>812</v>
      </c>
      <c r="C147" s="2">
        <v>45258</v>
      </c>
      <c r="D147" s="2">
        <v>45288</v>
      </c>
      <c r="E147">
        <v>2642.46</v>
      </c>
      <c r="F147" t="s">
        <v>816</v>
      </c>
      <c r="G147" t="s">
        <v>821</v>
      </c>
      <c r="H147" s="2">
        <v>45288</v>
      </c>
      <c r="I147" t="s">
        <v>822</v>
      </c>
    </row>
    <row r="148" spans="1:9" x14ac:dyDescent="0.35">
      <c r="A148" t="s">
        <v>155</v>
      </c>
      <c r="B148" t="s">
        <v>813</v>
      </c>
      <c r="C148" s="2">
        <v>45392</v>
      </c>
      <c r="D148" s="2">
        <v>45422</v>
      </c>
      <c r="E148">
        <v>2413.9</v>
      </c>
      <c r="F148" t="s">
        <v>815</v>
      </c>
      <c r="G148" t="s">
        <v>820</v>
      </c>
      <c r="I148" t="s">
        <v>822</v>
      </c>
    </row>
    <row r="149" spans="1:9" x14ac:dyDescent="0.35">
      <c r="A149" t="s">
        <v>156</v>
      </c>
      <c r="B149" t="s">
        <v>812</v>
      </c>
      <c r="C149" s="2">
        <v>45154</v>
      </c>
      <c r="D149" s="2">
        <v>45184</v>
      </c>
      <c r="E149">
        <v>2803.47</v>
      </c>
      <c r="F149" t="s">
        <v>817</v>
      </c>
      <c r="G149" t="s">
        <v>820</v>
      </c>
      <c r="I149" t="s">
        <v>822</v>
      </c>
    </row>
    <row r="150" spans="1:9" x14ac:dyDescent="0.35">
      <c r="A150" t="s">
        <v>157</v>
      </c>
      <c r="B150" t="s">
        <v>810</v>
      </c>
      <c r="C150" s="2">
        <v>45199</v>
      </c>
      <c r="D150" s="2">
        <v>45229</v>
      </c>
      <c r="E150">
        <v>3709.9</v>
      </c>
      <c r="F150" t="s">
        <v>814</v>
      </c>
      <c r="G150" t="s">
        <v>820</v>
      </c>
      <c r="I150" t="s">
        <v>822</v>
      </c>
    </row>
    <row r="151" spans="1:9" x14ac:dyDescent="0.35">
      <c r="A151" t="s">
        <v>158</v>
      </c>
      <c r="B151" t="s">
        <v>811</v>
      </c>
      <c r="C151" s="2">
        <v>45456</v>
      </c>
      <c r="D151" s="2">
        <v>45486</v>
      </c>
      <c r="E151">
        <v>4721.1499999999996</v>
      </c>
      <c r="F151" t="s">
        <v>818</v>
      </c>
      <c r="G151" t="s">
        <v>821</v>
      </c>
      <c r="H151" s="2">
        <v>45486</v>
      </c>
      <c r="I151" t="s">
        <v>822</v>
      </c>
    </row>
    <row r="152" spans="1:9" x14ac:dyDescent="0.35">
      <c r="A152" t="s">
        <v>159</v>
      </c>
      <c r="B152" t="s">
        <v>813</v>
      </c>
      <c r="C152" s="2">
        <v>45144</v>
      </c>
      <c r="D152" s="2">
        <v>45174</v>
      </c>
      <c r="E152">
        <v>1555.44</v>
      </c>
      <c r="F152" t="s">
        <v>817</v>
      </c>
      <c r="G152" t="s">
        <v>820</v>
      </c>
      <c r="I152" t="s">
        <v>822</v>
      </c>
    </row>
    <row r="153" spans="1:9" x14ac:dyDescent="0.35">
      <c r="A153" t="s">
        <v>160</v>
      </c>
      <c r="B153" t="s">
        <v>811</v>
      </c>
      <c r="C153" s="2">
        <v>45390</v>
      </c>
      <c r="D153" s="2">
        <v>45420</v>
      </c>
      <c r="E153">
        <v>2731.15</v>
      </c>
      <c r="F153" t="s">
        <v>817</v>
      </c>
      <c r="G153" t="s">
        <v>821</v>
      </c>
      <c r="H153" s="2">
        <v>45420</v>
      </c>
      <c r="I153" t="s">
        <v>822</v>
      </c>
    </row>
    <row r="154" spans="1:9" x14ac:dyDescent="0.35">
      <c r="A154" t="s">
        <v>161</v>
      </c>
      <c r="B154" t="s">
        <v>809</v>
      </c>
      <c r="C154" s="2">
        <v>45622</v>
      </c>
      <c r="D154" s="2">
        <v>45652</v>
      </c>
      <c r="E154">
        <v>3600.41</v>
      </c>
      <c r="F154" t="s">
        <v>815</v>
      </c>
      <c r="G154" t="s">
        <v>820</v>
      </c>
      <c r="I154" t="s">
        <v>822</v>
      </c>
    </row>
    <row r="155" spans="1:9" x14ac:dyDescent="0.35">
      <c r="A155" t="s">
        <v>162</v>
      </c>
      <c r="B155" t="s">
        <v>809</v>
      </c>
      <c r="C155" s="2">
        <v>44990</v>
      </c>
      <c r="D155" s="2">
        <v>45020</v>
      </c>
      <c r="E155">
        <v>1532.1</v>
      </c>
      <c r="F155" t="s">
        <v>814</v>
      </c>
      <c r="G155" t="s">
        <v>821</v>
      </c>
      <c r="H155" s="2">
        <v>45020</v>
      </c>
      <c r="I155" t="s">
        <v>822</v>
      </c>
    </row>
    <row r="156" spans="1:9" x14ac:dyDescent="0.35">
      <c r="A156" t="s">
        <v>163</v>
      </c>
      <c r="B156" t="s">
        <v>810</v>
      </c>
      <c r="C156" s="2">
        <v>45475</v>
      </c>
      <c r="D156" s="2">
        <v>45505</v>
      </c>
      <c r="E156">
        <v>3671.9</v>
      </c>
      <c r="F156" t="s">
        <v>817</v>
      </c>
      <c r="G156" t="s">
        <v>819</v>
      </c>
      <c r="I156" t="s">
        <v>822</v>
      </c>
    </row>
    <row r="157" spans="1:9" x14ac:dyDescent="0.35">
      <c r="A157" t="s">
        <v>164</v>
      </c>
      <c r="B157" t="s">
        <v>811</v>
      </c>
      <c r="C157" s="2">
        <v>45345</v>
      </c>
      <c r="D157" s="2">
        <v>45375</v>
      </c>
      <c r="E157">
        <v>249.12</v>
      </c>
      <c r="F157" t="s">
        <v>817</v>
      </c>
      <c r="G157" t="s">
        <v>819</v>
      </c>
      <c r="I157" t="s">
        <v>822</v>
      </c>
    </row>
    <row r="158" spans="1:9" x14ac:dyDescent="0.35">
      <c r="A158" t="s">
        <v>165</v>
      </c>
      <c r="B158" t="s">
        <v>812</v>
      </c>
      <c r="C158" s="2">
        <v>45567</v>
      </c>
      <c r="D158" s="2">
        <v>45597</v>
      </c>
      <c r="E158">
        <v>1247.49</v>
      </c>
      <c r="F158" t="s">
        <v>814</v>
      </c>
      <c r="G158" t="s">
        <v>820</v>
      </c>
      <c r="I158" t="s">
        <v>822</v>
      </c>
    </row>
    <row r="159" spans="1:9" x14ac:dyDescent="0.35">
      <c r="A159" t="s">
        <v>166</v>
      </c>
      <c r="B159" t="s">
        <v>812</v>
      </c>
      <c r="C159" s="2">
        <v>45081</v>
      </c>
      <c r="D159" s="2">
        <v>45111</v>
      </c>
      <c r="E159">
        <v>4374.63</v>
      </c>
      <c r="F159" t="s">
        <v>817</v>
      </c>
      <c r="G159" t="s">
        <v>820</v>
      </c>
      <c r="I159" t="s">
        <v>822</v>
      </c>
    </row>
    <row r="160" spans="1:9" x14ac:dyDescent="0.35">
      <c r="A160" t="s">
        <v>167</v>
      </c>
      <c r="B160" t="s">
        <v>812</v>
      </c>
      <c r="C160" s="2">
        <v>45044</v>
      </c>
      <c r="D160" s="2">
        <v>45074</v>
      </c>
      <c r="E160">
        <v>3691.12</v>
      </c>
      <c r="F160" t="s">
        <v>814</v>
      </c>
      <c r="G160" t="s">
        <v>820</v>
      </c>
      <c r="I160" t="s">
        <v>822</v>
      </c>
    </row>
    <row r="161" spans="1:9" x14ac:dyDescent="0.35">
      <c r="A161" t="s">
        <v>168</v>
      </c>
      <c r="B161" t="s">
        <v>812</v>
      </c>
      <c r="C161" s="2">
        <v>45443</v>
      </c>
      <c r="D161" s="2">
        <v>45473</v>
      </c>
      <c r="E161">
        <v>4217.3900000000003</v>
      </c>
      <c r="F161" t="s">
        <v>818</v>
      </c>
      <c r="G161" t="s">
        <v>821</v>
      </c>
      <c r="H161" s="2">
        <v>45473</v>
      </c>
      <c r="I161" t="s">
        <v>822</v>
      </c>
    </row>
    <row r="162" spans="1:9" x14ac:dyDescent="0.35">
      <c r="A162" t="s">
        <v>169</v>
      </c>
      <c r="B162" t="s">
        <v>810</v>
      </c>
      <c r="C162" s="2">
        <v>45204</v>
      </c>
      <c r="D162" s="2">
        <v>45234</v>
      </c>
      <c r="E162">
        <v>4642.3599999999997</v>
      </c>
      <c r="F162" t="s">
        <v>815</v>
      </c>
      <c r="G162" t="s">
        <v>819</v>
      </c>
      <c r="I162" t="s">
        <v>822</v>
      </c>
    </row>
    <row r="163" spans="1:9" x14ac:dyDescent="0.35">
      <c r="A163" t="s">
        <v>170</v>
      </c>
      <c r="B163" t="s">
        <v>809</v>
      </c>
      <c r="C163" s="2">
        <v>45734</v>
      </c>
      <c r="D163" s="2">
        <v>45764</v>
      </c>
      <c r="E163">
        <v>3580.35</v>
      </c>
      <c r="F163" t="s">
        <v>818</v>
      </c>
      <c r="G163" t="s">
        <v>820</v>
      </c>
      <c r="I163" t="s">
        <v>822</v>
      </c>
    </row>
    <row r="164" spans="1:9" x14ac:dyDescent="0.35">
      <c r="A164" t="s">
        <v>171</v>
      </c>
      <c r="B164" t="s">
        <v>813</v>
      </c>
      <c r="C164" s="2">
        <v>45325</v>
      </c>
      <c r="D164" s="2">
        <v>45355</v>
      </c>
      <c r="E164">
        <v>3588.69</v>
      </c>
      <c r="F164" t="s">
        <v>818</v>
      </c>
      <c r="G164" t="s">
        <v>820</v>
      </c>
      <c r="I164" t="s">
        <v>822</v>
      </c>
    </row>
    <row r="165" spans="1:9" x14ac:dyDescent="0.35">
      <c r="A165" t="s">
        <v>172</v>
      </c>
      <c r="B165" t="s">
        <v>813</v>
      </c>
      <c r="C165" s="2">
        <v>45586</v>
      </c>
      <c r="D165" s="2">
        <v>45616</v>
      </c>
      <c r="E165">
        <v>2407.4</v>
      </c>
      <c r="F165" t="s">
        <v>815</v>
      </c>
      <c r="G165" t="s">
        <v>820</v>
      </c>
      <c r="I165" t="s">
        <v>822</v>
      </c>
    </row>
    <row r="166" spans="1:9" x14ac:dyDescent="0.35">
      <c r="A166" t="s">
        <v>173</v>
      </c>
      <c r="B166" t="s">
        <v>813</v>
      </c>
      <c r="C166" s="2">
        <v>45017</v>
      </c>
      <c r="D166" s="2">
        <v>45047</v>
      </c>
      <c r="E166">
        <v>649.78</v>
      </c>
      <c r="F166" t="s">
        <v>815</v>
      </c>
      <c r="G166" t="s">
        <v>820</v>
      </c>
      <c r="I166" t="s">
        <v>822</v>
      </c>
    </row>
    <row r="167" spans="1:9" x14ac:dyDescent="0.35">
      <c r="A167" t="s">
        <v>174</v>
      </c>
      <c r="B167" t="s">
        <v>811</v>
      </c>
      <c r="C167" s="2">
        <v>45549</v>
      </c>
      <c r="D167" s="2">
        <v>45579</v>
      </c>
      <c r="E167">
        <v>143.83000000000001</v>
      </c>
      <c r="F167" t="s">
        <v>815</v>
      </c>
      <c r="G167" t="s">
        <v>821</v>
      </c>
      <c r="H167" s="2">
        <v>45579</v>
      </c>
      <c r="I167" t="s">
        <v>822</v>
      </c>
    </row>
    <row r="168" spans="1:9" x14ac:dyDescent="0.35">
      <c r="A168" t="s">
        <v>175</v>
      </c>
      <c r="B168" t="s">
        <v>812</v>
      </c>
      <c r="C168" s="2">
        <v>45813</v>
      </c>
      <c r="D168" s="2">
        <v>45843</v>
      </c>
      <c r="E168">
        <v>1041.99</v>
      </c>
      <c r="F168" t="s">
        <v>817</v>
      </c>
      <c r="G168" t="s">
        <v>819</v>
      </c>
      <c r="I168" t="s">
        <v>822</v>
      </c>
    </row>
    <row r="169" spans="1:9" x14ac:dyDescent="0.35">
      <c r="A169" t="s">
        <v>176</v>
      </c>
      <c r="B169" t="s">
        <v>809</v>
      </c>
      <c r="C169" s="2">
        <v>45088</v>
      </c>
      <c r="D169" s="2">
        <v>45118</v>
      </c>
      <c r="E169">
        <v>2826</v>
      </c>
      <c r="F169" t="s">
        <v>815</v>
      </c>
      <c r="G169" t="s">
        <v>819</v>
      </c>
      <c r="I169" t="s">
        <v>822</v>
      </c>
    </row>
    <row r="170" spans="1:9" x14ac:dyDescent="0.35">
      <c r="A170" t="s">
        <v>177</v>
      </c>
      <c r="B170" t="s">
        <v>809</v>
      </c>
      <c r="C170" s="2">
        <v>45637</v>
      </c>
      <c r="D170" s="2">
        <v>45667</v>
      </c>
      <c r="E170">
        <v>3078.5</v>
      </c>
      <c r="F170" t="s">
        <v>816</v>
      </c>
      <c r="G170" t="s">
        <v>821</v>
      </c>
      <c r="H170" s="2">
        <v>45667</v>
      </c>
      <c r="I170" t="s">
        <v>822</v>
      </c>
    </row>
    <row r="171" spans="1:9" x14ac:dyDescent="0.35">
      <c r="A171" t="s">
        <v>178</v>
      </c>
      <c r="B171" t="s">
        <v>810</v>
      </c>
      <c r="C171" s="2">
        <v>45748</v>
      </c>
      <c r="D171" s="2">
        <v>45778</v>
      </c>
      <c r="E171">
        <v>3139.88</v>
      </c>
      <c r="F171" t="s">
        <v>818</v>
      </c>
      <c r="G171" t="s">
        <v>820</v>
      </c>
      <c r="I171" t="s">
        <v>822</v>
      </c>
    </row>
    <row r="172" spans="1:9" x14ac:dyDescent="0.35">
      <c r="A172" t="s">
        <v>179</v>
      </c>
      <c r="B172" t="s">
        <v>813</v>
      </c>
      <c r="C172" s="2">
        <v>45043</v>
      </c>
      <c r="D172" s="2">
        <v>45073</v>
      </c>
      <c r="E172">
        <v>4899.6400000000003</v>
      </c>
      <c r="F172" t="s">
        <v>818</v>
      </c>
      <c r="G172" t="s">
        <v>821</v>
      </c>
      <c r="H172" s="2">
        <v>45073</v>
      </c>
      <c r="I172" t="s">
        <v>822</v>
      </c>
    </row>
    <row r="173" spans="1:9" x14ac:dyDescent="0.35">
      <c r="A173" t="s">
        <v>180</v>
      </c>
      <c r="B173" t="s">
        <v>809</v>
      </c>
      <c r="C173" s="2">
        <v>45635</v>
      </c>
      <c r="D173" s="2">
        <v>45665</v>
      </c>
      <c r="E173">
        <v>3205.33</v>
      </c>
      <c r="F173" t="s">
        <v>817</v>
      </c>
      <c r="G173" t="s">
        <v>820</v>
      </c>
      <c r="I173" t="s">
        <v>822</v>
      </c>
    </row>
    <row r="174" spans="1:9" x14ac:dyDescent="0.35">
      <c r="A174" t="s">
        <v>181</v>
      </c>
      <c r="B174" t="s">
        <v>811</v>
      </c>
      <c r="C174" s="2">
        <v>45605</v>
      </c>
      <c r="D174" s="2">
        <v>45635</v>
      </c>
      <c r="E174">
        <v>1285.77</v>
      </c>
      <c r="F174" t="s">
        <v>817</v>
      </c>
      <c r="G174" t="s">
        <v>820</v>
      </c>
      <c r="I174" t="s">
        <v>822</v>
      </c>
    </row>
    <row r="175" spans="1:9" x14ac:dyDescent="0.35">
      <c r="A175" t="s">
        <v>182</v>
      </c>
      <c r="B175" t="s">
        <v>809</v>
      </c>
      <c r="C175" s="2">
        <v>45828</v>
      </c>
      <c r="D175" s="2">
        <v>45858</v>
      </c>
      <c r="E175">
        <v>216.78</v>
      </c>
      <c r="F175" t="s">
        <v>817</v>
      </c>
      <c r="G175" t="s">
        <v>820</v>
      </c>
      <c r="I175" t="s">
        <v>822</v>
      </c>
    </row>
    <row r="176" spans="1:9" x14ac:dyDescent="0.35">
      <c r="A176" t="s">
        <v>183</v>
      </c>
      <c r="B176" t="s">
        <v>813</v>
      </c>
      <c r="C176" s="2">
        <v>44990</v>
      </c>
      <c r="D176" s="2">
        <v>45020</v>
      </c>
      <c r="E176">
        <v>4512.7700000000004</v>
      </c>
      <c r="F176" t="s">
        <v>815</v>
      </c>
      <c r="G176" t="s">
        <v>820</v>
      </c>
      <c r="I176" t="s">
        <v>822</v>
      </c>
    </row>
    <row r="177" spans="1:9" x14ac:dyDescent="0.35">
      <c r="A177" t="s">
        <v>184</v>
      </c>
      <c r="B177" t="s">
        <v>810</v>
      </c>
      <c r="C177" s="2">
        <v>45241</v>
      </c>
      <c r="D177" s="2">
        <v>45271</v>
      </c>
      <c r="E177">
        <v>4283.63</v>
      </c>
      <c r="F177" t="s">
        <v>818</v>
      </c>
      <c r="G177" t="s">
        <v>821</v>
      </c>
      <c r="H177" s="2">
        <v>45271</v>
      </c>
      <c r="I177" t="s">
        <v>822</v>
      </c>
    </row>
    <row r="178" spans="1:9" x14ac:dyDescent="0.35">
      <c r="A178" t="s">
        <v>185</v>
      </c>
      <c r="B178" t="s">
        <v>809</v>
      </c>
      <c r="C178" s="2">
        <v>45564</v>
      </c>
      <c r="D178" s="2">
        <v>45594</v>
      </c>
      <c r="E178">
        <v>370.46</v>
      </c>
      <c r="F178" t="s">
        <v>815</v>
      </c>
      <c r="G178" t="s">
        <v>821</v>
      </c>
      <c r="H178" s="2">
        <v>45594</v>
      </c>
      <c r="I178" t="s">
        <v>822</v>
      </c>
    </row>
    <row r="179" spans="1:9" x14ac:dyDescent="0.35">
      <c r="A179" t="s">
        <v>186</v>
      </c>
      <c r="B179" t="s">
        <v>812</v>
      </c>
      <c r="C179" s="2">
        <v>45453</v>
      </c>
      <c r="D179" s="2">
        <v>45483</v>
      </c>
      <c r="E179">
        <v>3313.07</v>
      </c>
      <c r="F179" t="s">
        <v>814</v>
      </c>
      <c r="G179" t="s">
        <v>819</v>
      </c>
      <c r="I179" t="s">
        <v>822</v>
      </c>
    </row>
    <row r="180" spans="1:9" x14ac:dyDescent="0.35">
      <c r="A180" t="s">
        <v>187</v>
      </c>
      <c r="B180" t="s">
        <v>811</v>
      </c>
      <c r="C180" s="2">
        <v>45253</v>
      </c>
      <c r="D180" s="2">
        <v>45283</v>
      </c>
      <c r="E180">
        <v>4616.42</v>
      </c>
      <c r="F180" t="s">
        <v>817</v>
      </c>
      <c r="G180" t="s">
        <v>821</v>
      </c>
      <c r="H180" s="2">
        <v>45283</v>
      </c>
      <c r="I180" t="s">
        <v>822</v>
      </c>
    </row>
    <row r="181" spans="1:9" x14ac:dyDescent="0.35">
      <c r="A181" t="s">
        <v>188</v>
      </c>
      <c r="B181" t="s">
        <v>811</v>
      </c>
      <c r="C181" s="2">
        <v>44998</v>
      </c>
      <c r="D181" s="2">
        <v>45028</v>
      </c>
      <c r="E181">
        <v>1731.08</v>
      </c>
      <c r="F181" t="s">
        <v>817</v>
      </c>
      <c r="G181" t="s">
        <v>819</v>
      </c>
      <c r="I181" t="s">
        <v>822</v>
      </c>
    </row>
    <row r="182" spans="1:9" x14ac:dyDescent="0.35">
      <c r="A182" t="s">
        <v>189</v>
      </c>
      <c r="B182" t="s">
        <v>809</v>
      </c>
      <c r="C182" s="2">
        <v>45693</v>
      </c>
      <c r="D182" s="2">
        <v>45723</v>
      </c>
      <c r="E182">
        <v>4027.83</v>
      </c>
      <c r="F182" t="s">
        <v>815</v>
      </c>
      <c r="G182" t="s">
        <v>820</v>
      </c>
      <c r="I182" t="s">
        <v>822</v>
      </c>
    </row>
    <row r="183" spans="1:9" x14ac:dyDescent="0.35">
      <c r="A183" t="s">
        <v>190</v>
      </c>
      <c r="B183" t="s">
        <v>813</v>
      </c>
      <c r="C183" s="2">
        <v>45498</v>
      </c>
      <c r="D183" s="2">
        <v>45528</v>
      </c>
      <c r="E183">
        <v>1770.47</v>
      </c>
      <c r="F183" t="s">
        <v>815</v>
      </c>
      <c r="G183" t="s">
        <v>821</v>
      </c>
      <c r="H183" s="2">
        <v>45528</v>
      </c>
      <c r="I183" t="s">
        <v>822</v>
      </c>
    </row>
    <row r="184" spans="1:9" x14ac:dyDescent="0.35">
      <c r="A184" t="s">
        <v>191</v>
      </c>
      <c r="B184" t="s">
        <v>810</v>
      </c>
      <c r="C184" s="2">
        <v>45646</v>
      </c>
      <c r="D184" s="2">
        <v>45676</v>
      </c>
      <c r="E184">
        <v>4140.83</v>
      </c>
      <c r="F184" t="s">
        <v>814</v>
      </c>
      <c r="G184" t="s">
        <v>821</v>
      </c>
      <c r="H184" s="2">
        <v>45676</v>
      </c>
      <c r="I184" t="s">
        <v>822</v>
      </c>
    </row>
    <row r="185" spans="1:9" x14ac:dyDescent="0.35">
      <c r="A185" t="s">
        <v>192</v>
      </c>
      <c r="B185" t="s">
        <v>811</v>
      </c>
      <c r="C185" s="2">
        <v>45763</v>
      </c>
      <c r="D185" s="2">
        <v>45793</v>
      </c>
      <c r="E185">
        <v>606.74</v>
      </c>
      <c r="F185" t="s">
        <v>814</v>
      </c>
      <c r="G185" t="s">
        <v>820</v>
      </c>
      <c r="I185" t="s">
        <v>822</v>
      </c>
    </row>
    <row r="186" spans="1:9" x14ac:dyDescent="0.35">
      <c r="A186" t="s">
        <v>193</v>
      </c>
      <c r="B186" t="s">
        <v>813</v>
      </c>
      <c r="C186" s="2">
        <v>44961</v>
      </c>
      <c r="D186" s="2">
        <v>44991</v>
      </c>
      <c r="E186">
        <v>3488.56</v>
      </c>
      <c r="F186" t="s">
        <v>816</v>
      </c>
      <c r="G186" t="s">
        <v>819</v>
      </c>
      <c r="I186" t="s">
        <v>822</v>
      </c>
    </row>
    <row r="187" spans="1:9" x14ac:dyDescent="0.35">
      <c r="A187" t="s">
        <v>194</v>
      </c>
      <c r="B187" t="s">
        <v>811</v>
      </c>
      <c r="C187" s="2">
        <v>45830</v>
      </c>
      <c r="D187" s="2">
        <v>45860</v>
      </c>
      <c r="E187">
        <v>816.61</v>
      </c>
      <c r="F187" t="s">
        <v>815</v>
      </c>
      <c r="G187" t="s">
        <v>819</v>
      </c>
      <c r="I187" t="s">
        <v>822</v>
      </c>
    </row>
    <row r="188" spans="1:9" x14ac:dyDescent="0.35">
      <c r="A188" t="s">
        <v>195</v>
      </c>
      <c r="B188" t="s">
        <v>809</v>
      </c>
      <c r="C188" s="2">
        <v>45414</v>
      </c>
      <c r="D188" s="2">
        <v>45444</v>
      </c>
      <c r="E188">
        <v>2178.88</v>
      </c>
      <c r="F188" t="s">
        <v>816</v>
      </c>
      <c r="G188" t="s">
        <v>821</v>
      </c>
      <c r="H188" s="2">
        <v>45444</v>
      </c>
      <c r="I188" t="s">
        <v>822</v>
      </c>
    </row>
    <row r="189" spans="1:9" x14ac:dyDescent="0.35">
      <c r="A189" t="s">
        <v>196</v>
      </c>
      <c r="B189" t="s">
        <v>810</v>
      </c>
      <c r="C189" s="2">
        <v>45279</v>
      </c>
      <c r="D189" s="2">
        <v>45309</v>
      </c>
      <c r="E189">
        <v>4356.53</v>
      </c>
      <c r="F189" t="s">
        <v>817</v>
      </c>
      <c r="G189" t="s">
        <v>820</v>
      </c>
      <c r="I189" t="s">
        <v>822</v>
      </c>
    </row>
    <row r="190" spans="1:9" x14ac:dyDescent="0.35">
      <c r="A190" t="s">
        <v>197</v>
      </c>
      <c r="B190" t="s">
        <v>809</v>
      </c>
      <c r="C190" s="2">
        <v>45399</v>
      </c>
      <c r="D190" s="2">
        <v>45429</v>
      </c>
      <c r="E190">
        <v>2905.63</v>
      </c>
      <c r="F190" t="s">
        <v>818</v>
      </c>
      <c r="G190" t="s">
        <v>819</v>
      </c>
      <c r="I190" t="s">
        <v>822</v>
      </c>
    </row>
    <row r="191" spans="1:9" x14ac:dyDescent="0.35">
      <c r="A191" t="s">
        <v>198</v>
      </c>
      <c r="B191" t="s">
        <v>812</v>
      </c>
      <c r="C191" s="2">
        <v>45414</v>
      </c>
      <c r="D191" s="2">
        <v>45444</v>
      </c>
      <c r="E191">
        <v>940.95</v>
      </c>
      <c r="F191" t="s">
        <v>815</v>
      </c>
      <c r="G191" t="s">
        <v>821</v>
      </c>
      <c r="H191" s="2">
        <v>45444</v>
      </c>
      <c r="I191" t="s">
        <v>822</v>
      </c>
    </row>
    <row r="192" spans="1:9" x14ac:dyDescent="0.35">
      <c r="A192" t="s">
        <v>199</v>
      </c>
      <c r="B192" t="s">
        <v>811</v>
      </c>
      <c r="C192" s="2">
        <v>44974</v>
      </c>
      <c r="D192" s="2">
        <v>45004</v>
      </c>
      <c r="E192">
        <v>4744.18</v>
      </c>
      <c r="F192" t="s">
        <v>818</v>
      </c>
      <c r="G192" t="s">
        <v>820</v>
      </c>
      <c r="I192" t="s">
        <v>822</v>
      </c>
    </row>
    <row r="193" spans="1:9" x14ac:dyDescent="0.35">
      <c r="A193" t="s">
        <v>200</v>
      </c>
      <c r="B193" t="s">
        <v>812</v>
      </c>
      <c r="C193" s="2">
        <v>45710</v>
      </c>
      <c r="D193" s="2">
        <v>45740</v>
      </c>
      <c r="E193">
        <v>147.49</v>
      </c>
      <c r="F193" t="s">
        <v>818</v>
      </c>
      <c r="G193" t="s">
        <v>821</v>
      </c>
      <c r="H193" s="2">
        <v>45740</v>
      </c>
      <c r="I193" t="s">
        <v>822</v>
      </c>
    </row>
    <row r="194" spans="1:9" x14ac:dyDescent="0.35">
      <c r="A194" t="s">
        <v>201</v>
      </c>
      <c r="B194" t="s">
        <v>813</v>
      </c>
      <c r="C194" s="2">
        <v>45817</v>
      </c>
      <c r="D194" s="2">
        <v>45847</v>
      </c>
      <c r="E194">
        <v>495.23</v>
      </c>
      <c r="F194" t="s">
        <v>815</v>
      </c>
      <c r="G194" t="s">
        <v>820</v>
      </c>
      <c r="I194" t="s">
        <v>822</v>
      </c>
    </row>
    <row r="195" spans="1:9" x14ac:dyDescent="0.35">
      <c r="A195" t="s">
        <v>202</v>
      </c>
      <c r="B195" t="s">
        <v>812</v>
      </c>
      <c r="C195" s="2">
        <v>45076</v>
      </c>
      <c r="D195" s="2">
        <v>45106</v>
      </c>
      <c r="E195">
        <v>2497.87</v>
      </c>
      <c r="F195" t="s">
        <v>816</v>
      </c>
      <c r="G195" t="s">
        <v>820</v>
      </c>
      <c r="I195" t="s">
        <v>822</v>
      </c>
    </row>
    <row r="196" spans="1:9" x14ac:dyDescent="0.35">
      <c r="A196" t="s">
        <v>203</v>
      </c>
      <c r="B196" t="s">
        <v>813</v>
      </c>
      <c r="C196" s="2">
        <v>45454</v>
      </c>
      <c r="D196" s="2">
        <v>45484</v>
      </c>
      <c r="E196">
        <v>1407.52</v>
      </c>
      <c r="F196" t="s">
        <v>815</v>
      </c>
      <c r="G196" t="s">
        <v>819</v>
      </c>
      <c r="I196" t="s">
        <v>822</v>
      </c>
    </row>
    <row r="197" spans="1:9" x14ac:dyDescent="0.35">
      <c r="A197" t="s">
        <v>204</v>
      </c>
      <c r="B197" t="s">
        <v>813</v>
      </c>
      <c r="C197" s="2">
        <v>45723</v>
      </c>
      <c r="D197" s="2">
        <v>45753</v>
      </c>
      <c r="E197">
        <v>2632.28</v>
      </c>
      <c r="F197" t="s">
        <v>818</v>
      </c>
      <c r="G197" t="s">
        <v>820</v>
      </c>
      <c r="I197" t="s">
        <v>822</v>
      </c>
    </row>
    <row r="198" spans="1:9" x14ac:dyDescent="0.35">
      <c r="A198" t="s">
        <v>205</v>
      </c>
      <c r="B198" t="s">
        <v>810</v>
      </c>
      <c r="C198" s="2">
        <v>45384</v>
      </c>
      <c r="D198" s="2">
        <v>45414</v>
      </c>
      <c r="E198">
        <v>3255.92</v>
      </c>
      <c r="F198" t="s">
        <v>816</v>
      </c>
      <c r="G198" t="s">
        <v>819</v>
      </c>
      <c r="I198" t="s">
        <v>822</v>
      </c>
    </row>
    <row r="199" spans="1:9" x14ac:dyDescent="0.35">
      <c r="A199" t="s">
        <v>206</v>
      </c>
      <c r="B199" t="s">
        <v>809</v>
      </c>
      <c r="C199" s="2">
        <v>45190</v>
      </c>
      <c r="D199" s="2">
        <v>45220</v>
      </c>
      <c r="E199">
        <v>392.7</v>
      </c>
      <c r="F199" t="s">
        <v>817</v>
      </c>
      <c r="G199" t="s">
        <v>821</v>
      </c>
      <c r="H199" s="2">
        <v>45220</v>
      </c>
      <c r="I199" t="s">
        <v>822</v>
      </c>
    </row>
    <row r="200" spans="1:9" x14ac:dyDescent="0.35">
      <c r="A200" t="s">
        <v>207</v>
      </c>
      <c r="B200" t="s">
        <v>810</v>
      </c>
      <c r="C200" s="2">
        <v>45388</v>
      </c>
      <c r="D200" s="2">
        <v>45418</v>
      </c>
      <c r="E200">
        <v>4366.6499999999996</v>
      </c>
      <c r="F200" t="s">
        <v>817</v>
      </c>
      <c r="G200" t="s">
        <v>820</v>
      </c>
      <c r="I200" t="s">
        <v>822</v>
      </c>
    </row>
    <row r="201" spans="1:9" x14ac:dyDescent="0.35">
      <c r="A201" t="s">
        <v>208</v>
      </c>
      <c r="B201" t="s">
        <v>813</v>
      </c>
      <c r="C201" s="2">
        <v>45372</v>
      </c>
      <c r="D201" s="2">
        <v>45402</v>
      </c>
      <c r="E201">
        <v>1348.94</v>
      </c>
      <c r="F201" t="s">
        <v>814</v>
      </c>
      <c r="G201" t="s">
        <v>821</v>
      </c>
      <c r="H201" s="2">
        <v>45402</v>
      </c>
      <c r="I201" t="s">
        <v>822</v>
      </c>
    </row>
    <row r="202" spans="1:9" x14ac:dyDescent="0.35">
      <c r="A202" t="s">
        <v>209</v>
      </c>
      <c r="B202" t="s">
        <v>812</v>
      </c>
      <c r="C202" s="2">
        <v>45837</v>
      </c>
      <c r="D202" s="2">
        <v>45867</v>
      </c>
      <c r="E202">
        <v>4373.5200000000004</v>
      </c>
      <c r="F202" t="s">
        <v>816</v>
      </c>
      <c r="G202" t="s">
        <v>819</v>
      </c>
      <c r="I202" t="s">
        <v>822</v>
      </c>
    </row>
    <row r="203" spans="1:9" x14ac:dyDescent="0.35">
      <c r="A203" t="s">
        <v>210</v>
      </c>
      <c r="B203" t="s">
        <v>812</v>
      </c>
      <c r="C203" s="2">
        <v>45232</v>
      </c>
      <c r="D203" s="2">
        <v>45262</v>
      </c>
      <c r="E203">
        <v>3414.97</v>
      </c>
      <c r="F203" t="s">
        <v>817</v>
      </c>
      <c r="G203" t="s">
        <v>821</v>
      </c>
      <c r="H203" s="2">
        <v>45262</v>
      </c>
      <c r="I203" t="s">
        <v>822</v>
      </c>
    </row>
    <row r="204" spans="1:9" x14ac:dyDescent="0.35">
      <c r="A204" t="s">
        <v>211</v>
      </c>
      <c r="B204" t="s">
        <v>812</v>
      </c>
      <c r="C204" s="2">
        <v>45665</v>
      </c>
      <c r="D204" s="2">
        <v>45695</v>
      </c>
      <c r="E204">
        <v>1646.53</v>
      </c>
      <c r="F204" t="s">
        <v>815</v>
      </c>
      <c r="G204" t="s">
        <v>821</v>
      </c>
      <c r="H204" s="2">
        <v>45695</v>
      </c>
      <c r="I204" t="s">
        <v>822</v>
      </c>
    </row>
    <row r="205" spans="1:9" x14ac:dyDescent="0.35">
      <c r="A205" t="s">
        <v>212</v>
      </c>
      <c r="B205" t="s">
        <v>810</v>
      </c>
      <c r="C205" s="2">
        <v>45727</v>
      </c>
      <c r="D205" s="2">
        <v>45757</v>
      </c>
      <c r="E205">
        <v>2688.88</v>
      </c>
      <c r="F205" t="s">
        <v>814</v>
      </c>
      <c r="G205" t="s">
        <v>819</v>
      </c>
      <c r="I205" t="s">
        <v>822</v>
      </c>
    </row>
    <row r="206" spans="1:9" x14ac:dyDescent="0.35">
      <c r="A206" t="s">
        <v>213</v>
      </c>
      <c r="B206" t="s">
        <v>811</v>
      </c>
      <c r="C206" s="2">
        <v>44933</v>
      </c>
      <c r="D206" s="2">
        <v>44963</v>
      </c>
      <c r="E206">
        <v>2187.09</v>
      </c>
      <c r="F206" t="s">
        <v>818</v>
      </c>
      <c r="G206" t="s">
        <v>820</v>
      </c>
      <c r="I206" t="s">
        <v>822</v>
      </c>
    </row>
    <row r="207" spans="1:9" x14ac:dyDescent="0.35">
      <c r="A207" t="s">
        <v>214</v>
      </c>
      <c r="B207" t="s">
        <v>813</v>
      </c>
      <c r="C207" s="2">
        <v>45805</v>
      </c>
      <c r="D207" s="2">
        <v>45835</v>
      </c>
      <c r="E207">
        <v>3171.13</v>
      </c>
      <c r="F207" t="s">
        <v>817</v>
      </c>
      <c r="G207" t="s">
        <v>821</v>
      </c>
      <c r="H207" s="2">
        <v>45835</v>
      </c>
      <c r="I207" t="s">
        <v>822</v>
      </c>
    </row>
    <row r="208" spans="1:9" x14ac:dyDescent="0.35">
      <c r="A208" t="s">
        <v>215</v>
      </c>
      <c r="B208" t="s">
        <v>809</v>
      </c>
      <c r="C208" s="2">
        <v>45437</v>
      </c>
      <c r="D208" s="2">
        <v>45467</v>
      </c>
      <c r="E208">
        <v>2235.4699999999998</v>
      </c>
      <c r="F208" t="s">
        <v>814</v>
      </c>
      <c r="G208" t="s">
        <v>821</v>
      </c>
      <c r="H208" s="2">
        <v>45467</v>
      </c>
      <c r="I208" t="s">
        <v>822</v>
      </c>
    </row>
    <row r="209" spans="1:9" x14ac:dyDescent="0.35">
      <c r="A209" t="s">
        <v>216</v>
      </c>
      <c r="B209" t="s">
        <v>809</v>
      </c>
      <c r="C209" s="2">
        <v>45445</v>
      </c>
      <c r="D209" s="2">
        <v>45475</v>
      </c>
      <c r="E209">
        <v>4392.95</v>
      </c>
      <c r="F209" t="s">
        <v>817</v>
      </c>
      <c r="G209" t="s">
        <v>821</v>
      </c>
      <c r="H209" s="2">
        <v>45475</v>
      </c>
      <c r="I209" t="s">
        <v>822</v>
      </c>
    </row>
    <row r="210" spans="1:9" x14ac:dyDescent="0.35">
      <c r="A210" t="s">
        <v>217</v>
      </c>
      <c r="B210" t="s">
        <v>812</v>
      </c>
      <c r="C210" s="2">
        <v>45204</v>
      </c>
      <c r="D210" s="2">
        <v>45234</v>
      </c>
      <c r="E210">
        <v>765.04</v>
      </c>
      <c r="F210" t="s">
        <v>814</v>
      </c>
      <c r="G210" t="s">
        <v>821</v>
      </c>
      <c r="H210" s="2">
        <v>45234</v>
      </c>
      <c r="I210" t="s">
        <v>822</v>
      </c>
    </row>
    <row r="211" spans="1:9" x14ac:dyDescent="0.35">
      <c r="A211" t="s">
        <v>218</v>
      </c>
      <c r="B211" t="s">
        <v>809</v>
      </c>
      <c r="C211" s="2">
        <v>45392</v>
      </c>
      <c r="D211" s="2">
        <v>45422</v>
      </c>
      <c r="E211">
        <v>4435.17</v>
      </c>
      <c r="F211" t="s">
        <v>817</v>
      </c>
      <c r="G211" t="s">
        <v>819</v>
      </c>
      <c r="I211" t="s">
        <v>822</v>
      </c>
    </row>
    <row r="212" spans="1:9" x14ac:dyDescent="0.35">
      <c r="A212" t="s">
        <v>219</v>
      </c>
      <c r="B212" t="s">
        <v>809</v>
      </c>
      <c r="C212" s="2">
        <v>44948</v>
      </c>
      <c r="D212" s="2">
        <v>44978</v>
      </c>
      <c r="E212">
        <v>2626.85</v>
      </c>
      <c r="F212" t="s">
        <v>815</v>
      </c>
      <c r="G212" t="s">
        <v>819</v>
      </c>
      <c r="I212" t="s">
        <v>822</v>
      </c>
    </row>
    <row r="213" spans="1:9" x14ac:dyDescent="0.35">
      <c r="A213" t="s">
        <v>220</v>
      </c>
      <c r="B213" t="s">
        <v>809</v>
      </c>
      <c r="C213" s="2">
        <v>45460</v>
      </c>
      <c r="D213" s="2">
        <v>45490</v>
      </c>
      <c r="E213">
        <v>4803.24</v>
      </c>
      <c r="F213" t="s">
        <v>817</v>
      </c>
      <c r="G213" t="s">
        <v>820</v>
      </c>
      <c r="I213" t="s">
        <v>822</v>
      </c>
    </row>
    <row r="214" spans="1:9" x14ac:dyDescent="0.35">
      <c r="A214" t="s">
        <v>221</v>
      </c>
      <c r="B214" t="s">
        <v>810</v>
      </c>
      <c r="C214" s="2">
        <v>45496</v>
      </c>
      <c r="D214" s="2">
        <v>45526</v>
      </c>
      <c r="E214">
        <v>3007.22</v>
      </c>
      <c r="F214" t="s">
        <v>817</v>
      </c>
      <c r="G214" t="s">
        <v>821</v>
      </c>
      <c r="H214" s="2">
        <v>45526</v>
      </c>
      <c r="I214" t="s">
        <v>822</v>
      </c>
    </row>
    <row r="215" spans="1:9" x14ac:dyDescent="0.35">
      <c r="A215" t="s">
        <v>222</v>
      </c>
      <c r="B215" t="s">
        <v>809</v>
      </c>
      <c r="C215" s="2">
        <v>45704</v>
      </c>
      <c r="D215" s="2">
        <v>45734</v>
      </c>
      <c r="E215">
        <v>4929.75</v>
      </c>
      <c r="F215" t="s">
        <v>815</v>
      </c>
      <c r="G215" t="s">
        <v>819</v>
      </c>
      <c r="I215" t="s">
        <v>822</v>
      </c>
    </row>
    <row r="216" spans="1:9" x14ac:dyDescent="0.35">
      <c r="A216" t="s">
        <v>223</v>
      </c>
      <c r="B216" t="s">
        <v>810</v>
      </c>
      <c r="C216" s="2">
        <v>45449</v>
      </c>
      <c r="D216" s="2">
        <v>45479</v>
      </c>
      <c r="E216">
        <v>1536.2</v>
      </c>
      <c r="F216" t="s">
        <v>814</v>
      </c>
      <c r="G216" t="s">
        <v>820</v>
      </c>
      <c r="I216" t="s">
        <v>822</v>
      </c>
    </row>
    <row r="217" spans="1:9" x14ac:dyDescent="0.35">
      <c r="A217" t="s">
        <v>224</v>
      </c>
      <c r="B217" t="s">
        <v>810</v>
      </c>
      <c r="C217" s="2">
        <v>45491</v>
      </c>
      <c r="D217" s="2">
        <v>45521</v>
      </c>
      <c r="E217">
        <v>2978.71</v>
      </c>
      <c r="F217" t="s">
        <v>816</v>
      </c>
      <c r="G217" t="s">
        <v>820</v>
      </c>
      <c r="I217" t="s">
        <v>822</v>
      </c>
    </row>
    <row r="218" spans="1:9" x14ac:dyDescent="0.35">
      <c r="A218" t="s">
        <v>225</v>
      </c>
      <c r="B218" t="s">
        <v>812</v>
      </c>
      <c r="C218" s="2">
        <v>45326</v>
      </c>
      <c r="D218" s="2">
        <v>45356</v>
      </c>
      <c r="E218">
        <v>915.17</v>
      </c>
      <c r="F218" t="s">
        <v>816</v>
      </c>
      <c r="G218" t="s">
        <v>821</v>
      </c>
      <c r="H218" s="2">
        <v>45356</v>
      </c>
      <c r="I218" t="s">
        <v>822</v>
      </c>
    </row>
    <row r="219" spans="1:9" x14ac:dyDescent="0.35">
      <c r="A219" t="s">
        <v>226</v>
      </c>
      <c r="B219" t="s">
        <v>810</v>
      </c>
      <c r="C219" s="2">
        <v>45109</v>
      </c>
      <c r="D219" s="2">
        <v>45139</v>
      </c>
      <c r="E219">
        <v>3188.52</v>
      </c>
      <c r="F219" t="s">
        <v>816</v>
      </c>
      <c r="G219" t="s">
        <v>820</v>
      </c>
      <c r="I219" t="s">
        <v>822</v>
      </c>
    </row>
    <row r="220" spans="1:9" x14ac:dyDescent="0.35">
      <c r="A220" t="s">
        <v>227</v>
      </c>
      <c r="B220" t="s">
        <v>811</v>
      </c>
      <c r="C220" s="2">
        <v>45432</v>
      </c>
      <c r="D220" s="2">
        <v>45462</v>
      </c>
      <c r="E220">
        <v>2307.79</v>
      </c>
      <c r="F220" t="s">
        <v>817</v>
      </c>
      <c r="G220" t="s">
        <v>820</v>
      </c>
      <c r="I220" t="s">
        <v>822</v>
      </c>
    </row>
    <row r="221" spans="1:9" x14ac:dyDescent="0.35">
      <c r="A221" t="s">
        <v>228</v>
      </c>
      <c r="B221" t="s">
        <v>811</v>
      </c>
      <c r="C221" s="2">
        <v>45251</v>
      </c>
      <c r="D221" s="2">
        <v>45281</v>
      </c>
      <c r="E221">
        <v>2903.71</v>
      </c>
      <c r="F221" t="s">
        <v>814</v>
      </c>
      <c r="G221" t="s">
        <v>820</v>
      </c>
      <c r="I221" t="s">
        <v>822</v>
      </c>
    </row>
    <row r="222" spans="1:9" x14ac:dyDescent="0.35">
      <c r="A222" t="s">
        <v>229</v>
      </c>
      <c r="B222" t="s">
        <v>811</v>
      </c>
      <c r="C222" s="2">
        <v>45432</v>
      </c>
      <c r="D222" s="2">
        <v>45462</v>
      </c>
      <c r="E222">
        <v>2565.02</v>
      </c>
      <c r="F222" t="s">
        <v>817</v>
      </c>
      <c r="G222" t="s">
        <v>820</v>
      </c>
      <c r="I222" t="s">
        <v>822</v>
      </c>
    </row>
    <row r="223" spans="1:9" x14ac:dyDescent="0.35">
      <c r="A223" t="s">
        <v>230</v>
      </c>
      <c r="B223" t="s">
        <v>810</v>
      </c>
      <c r="C223" s="2">
        <v>45790</v>
      </c>
      <c r="D223" s="2">
        <v>45820</v>
      </c>
      <c r="E223">
        <v>2121.21</v>
      </c>
      <c r="F223" t="s">
        <v>817</v>
      </c>
      <c r="G223" t="s">
        <v>819</v>
      </c>
      <c r="I223" t="s">
        <v>822</v>
      </c>
    </row>
    <row r="224" spans="1:9" x14ac:dyDescent="0.35">
      <c r="A224" t="s">
        <v>231</v>
      </c>
      <c r="B224" t="s">
        <v>810</v>
      </c>
      <c r="C224" s="2">
        <v>45748</v>
      </c>
      <c r="D224" s="2">
        <v>45778</v>
      </c>
      <c r="E224">
        <v>1273.9000000000001</v>
      </c>
      <c r="F224" t="s">
        <v>814</v>
      </c>
      <c r="G224" t="s">
        <v>819</v>
      </c>
      <c r="I224" t="s">
        <v>822</v>
      </c>
    </row>
    <row r="225" spans="1:9" x14ac:dyDescent="0.35">
      <c r="A225" t="s">
        <v>232</v>
      </c>
      <c r="B225" t="s">
        <v>810</v>
      </c>
      <c r="C225" s="2">
        <v>45711</v>
      </c>
      <c r="D225" s="2">
        <v>45741</v>
      </c>
      <c r="E225">
        <v>3975.5</v>
      </c>
      <c r="F225" t="s">
        <v>818</v>
      </c>
      <c r="G225" t="s">
        <v>819</v>
      </c>
      <c r="I225" t="s">
        <v>822</v>
      </c>
    </row>
    <row r="226" spans="1:9" x14ac:dyDescent="0.35">
      <c r="A226" t="s">
        <v>233</v>
      </c>
      <c r="B226" t="s">
        <v>809</v>
      </c>
      <c r="C226" s="2">
        <v>45588</v>
      </c>
      <c r="D226" s="2">
        <v>45618</v>
      </c>
      <c r="E226">
        <v>2421.44</v>
      </c>
      <c r="F226" t="s">
        <v>818</v>
      </c>
      <c r="G226" t="s">
        <v>819</v>
      </c>
      <c r="I226" t="s">
        <v>822</v>
      </c>
    </row>
    <row r="227" spans="1:9" x14ac:dyDescent="0.35">
      <c r="A227" t="s">
        <v>234</v>
      </c>
      <c r="B227" t="s">
        <v>809</v>
      </c>
      <c r="C227" s="2">
        <v>45688</v>
      </c>
      <c r="D227" s="2">
        <v>45718</v>
      </c>
      <c r="E227">
        <v>2458.0100000000002</v>
      </c>
      <c r="F227" t="s">
        <v>814</v>
      </c>
      <c r="G227" t="s">
        <v>819</v>
      </c>
      <c r="I227" t="s">
        <v>822</v>
      </c>
    </row>
    <row r="228" spans="1:9" x14ac:dyDescent="0.35">
      <c r="A228" t="s">
        <v>235</v>
      </c>
      <c r="B228" t="s">
        <v>809</v>
      </c>
      <c r="C228" s="2">
        <v>45136</v>
      </c>
      <c r="D228" s="2">
        <v>45166</v>
      </c>
      <c r="E228">
        <v>2854.39</v>
      </c>
      <c r="F228" t="s">
        <v>814</v>
      </c>
      <c r="G228" t="s">
        <v>821</v>
      </c>
      <c r="H228" s="2">
        <v>45166</v>
      </c>
      <c r="I228" t="s">
        <v>822</v>
      </c>
    </row>
    <row r="229" spans="1:9" x14ac:dyDescent="0.35">
      <c r="A229" t="s">
        <v>236</v>
      </c>
      <c r="B229" t="s">
        <v>810</v>
      </c>
      <c r="C229" s="2">
        <v>45319</v>
      </c>
      <c r="D229" s="2">
        <v>45349</v>
      </c>
      <c r="E229">
        <v>2918.95</v>
      </c>
      <c r="F229" t="s">
        <v>814</v>
      </c>
      <c r="G229" t="s">
        <v>819</v>
      </c>
      <c r="I229" t="s">
        <v>822</v>
      </c>
    </row>
    <row r="230" spans="1:9" x14ac:dyDescent="0.35">
      <c r="A230" t="s">
        <v>237</v>
      </c>
      <c r="B230" t="s">
        <v>812</v>
      </c>
      <c r="C230" s="2">
        <v>44997</v>
      </c>
      <c r="D230" s="2">
        <v>45027</v>
      </c>
      <c r="E230">
        <v>328.97</v>
      </c>
      <c r="F230" t="s">
        <v>817</v>
      </c>
      <c r="G230" t="s">
        <v>821</v>
      </c>
      <c r="H230" s="2">
        <v>45027</v>
      </c>
      <c r="I230" t="s">
        <v>822</v>
      </c>
    </row>
    <row r="231" spans="1:9" x14ac:dyDescent="0.35">
      <c r="A231" t="s">
        <v>238</v>
      </c>
      <c r="B231" t="s">
        <v>812</v>
      </c>
      <c r="C231" s="2">
        <v>45523</v>
      </c>
      <c r="D231" s="2">
        <v>45553</v>
      </c>
      <c r="E231">
        <v>1213.71</v>
      </c>
      <c r="F231" t="s">
        <v>817</v>
      </c>
      <c r="G231" t="s">
        <v>819</v>
      </c>
      <c r="I231" t="s">
        <v>822</v>
      </c>
    </row>
    <row r="232" spans="1:9" x14ac:dyDescent="0.35">
      <c r="A232" t="s">
        <v>239</v>
      </c>
      <c r="B232" t="s">
        <v>811</v>
      </c>
      <c r="C232" s="2">
        <v>45772</v>
      </c>
      <c r="D232" s="2">
        <v>45802</v>
      </c>
      <c r="E232">
        <v>454.59</v>
      </c>
      <c r="F232" t="s">
        <v>817</v>
      </c>
      <c r="G232" t="s">
        <v>819</v>
      </c>
      <c r="I232" t="s">
        <v>822</v>
      </c>
    </row>
    <row r="233" spans="1:9" x14ac:dyDescent="0.35">
      <c r="A233" t="s">
        <v>240</v>
      </c>
      <c r="B233" t="s">
        <v>811</v>
      </c>
      <c r="C233" s="2">
        <v>45040</v>
      </c>
      <c r="D233" s="2">
        <v>45070</v>
      </c>
      <c r="E233">
        <v>4278.37</v>
      </c>
      <c r="F233" t="s">
        <v>815</v>
      </c>
      <c r="G233" t="s">
        <v>821</v>
      </c>
      <c r="H233" s="2">
        <v>45070</v>
      </c>
      <c r="I233" t="s">
        <v>822</v>
      </c>
    </row>
    <row r="234" spans="1:9" x14ac:dyDescent="0.35">
      <c r="A234" t="s">
        <v>241</v>
      </c>
      <c r="B234" t="s">
        <v>809</v>
      </c>
      <c r="C234" s="2">
        <v>45524</v>
      </c>
      <c r="D234" s="2">
        <v>45554</v>
      </c>
      <c r="E234">
        <v>3048.16</v>
      </c>
      <c r="F234" t="s">
        <v>817</v>
      </c>
      <c r="G234" t="s">
        <v>819</v>
      </c>
      <c r="I234" t="s">
        <v>822</v>
      </c>
    </row>
    <row r="235" spans="1:9" x14ac:dyDescent="0.35">
      <c r="A235" t="s">
        <v>242</v>
      </c>
      <c r="B235" t="s">
        <v>812</v>
      </c>
      <c r="C235" s="2">
        <v>45065</v>
      </c>
      <c r="D235" s="2">
        <v>45095</v>
      </c>
      <c r="E235">
        <v>4611.88</v>
      </c>
      <c r="F235" t="s">
        <v>818</v>
      </c>
      <c r="G235" t="s">
        <v>820</v>
      </c>
      <c r="I235" t="s">
        <v>822</v>
      </c>
    </row>
    <row r="236" spans="1:9" x14ac:dyDescent="0.35">
      <c r="A236" t="s">
        <v>243</v>
      </c>
      <c r="B236" t="s">
        <v>809</v>
      </c>
      <c r="C236" s="2">
        <v>45315</v>
      </c>
      <c r="D236" s="2">
        <v>45345</v>
      </c>
      <c r="E236">
        <v>2206.77</v>
      </c>
      <c r="F236" t="s">
        <v>817</v>
      </c>
      <c r="G236" t="s">
        <v>819</v>
      </c>
      <c r="I236" t="s">
        <v>822</v>
      </c>
    </row>
    <row r="237" spans="1:9" x14ac:dyDescent="0.35">
      <c r="A237" t="s">
        <v>244</v>
      </c>
      <c r="B237" t="s">
        <v>809</v>
      </c>
      <c r="C237" s="2">
        <v>45269</v>
      </c>
      <c r="D237" s="2">
        <v>45299</v>
      </c>
      <c r="E237">
        <v>1191.52</v>
      </c>
      <c r="F237" t="s">
        <v>817</v>
      </c>
      <c r="G237" t="s">
        <v>821</v>
      </c>
      <c r="H237" s="2">
        <v>45299</v>
      </c>
      <c r="I237" t="s">
        <v>822</v>
      </c>
    </row>
    <row r="238" spans="1:9" x14ac:dyDescent="0.35">
      <c r="A238" t="s">
        <v>245</v>
      </c>
      <c r="B238" t="s">
        <v>809</v>
      </c>
      <c r="C238" s="2">
        <v>44938</v>
      </c>
      <c r="D238" s="2">
        <v>44968</v>
      </c>
      <c r="E238">
        <v>1715.9</v>
      </c>
      <c r="F238" t="s">
        <v>815</v>
      </c>
      <c r="G238" t="s">
        <v>820</v>
      </c>
      <c r="I238" t="s">
        <v>822</v>
      </c>
    </row>
    <row r="239" spans="1:9" x14ac:dyDescent="0.35">
      <c r="A239" t="s">
        <v>246</v>
      </c>
      <c r="B239" t="s">
        <v>810</v>
      </c>
      <c r="C239" s="2">
        <v>44956</v>
      </c>
      <c r="D239" s="2">
        <v>44986</v>
      </c>
      <c r="E239">
        <v>2281.3000000000002</v>
      </c>
      <c r="F239" t="s">
        <v>816</v>
      </c>
      <c r="G239" t="s">
        <v>821</v>
      </c>
      <c r="H239" s="2">
        <v>44986</v>
      </c>
      <c r="I239" t="s">
        <v>822</v>
      </c>
    </row>
    <row r="240" spans="1:9" x14ac:dyDescent="0.35">
      <c r="A240" t="s">
        <v>247</v>
      </c>
      <c r="B240" t="s">
        <v>811</v>
      </c>
      <c r="C240" s="2">
        <v>45362</v>
      </c>
      <c r="D240" s="2">
        <v>45392</v>
      </c>
      <c r="E240">
        <v>3825.33</v>
      </c>
      <c r="F240" t="s">
        <v>816</v>
      </c>
      <c r="G240" t="s">
        <v>819</v>
      </c>
      <c r="I240" t="s">
        <v>822</v>
      </c>
    </row>
    <row r="241" spans="1:9" x14ac:dyDescent="0.35">
      <c r="A241" t="s">
        <v>248</v>
      </c>
      <c r="B241" t="s">
        <v>811</v>
      </c>
      <c r="C241" s="2">
        <v>45008</v>
      </c>
      <c r="D241" s="2">
        <v>45038</v>
      </c>
      <c r="E241">
        <v>4771.6000000000004</v>
      </c>
      <c r="F241" t="s">
        <v>818</v>
      </c>
      <c r="G241" t="s">
        <v>820</v>
      </c>
      <c r="I241" t="s">
        <v>822</v>
      </c>
    </row>
    <row r="242" spans="1:9" x14ac:dyDescent="0.35">
      <c r="A242" t="s">
        <v>249</v>
      </c>
      <c r="B242" t="s">
        <v>811</v>
      </c>
      <c r="C242" s="2">
        <v>45474</v>
      </c>
      <c r="D242" s="2">
        <v>45504</v>
      </c>
      <c r="E242">
        <v>3536.61</v>
      </c>
      <c r="F242" t="s">
        <v>817</v>
      </c>
      <c r="G242" t="s">
        <v>820</v>
      </c>
      <c r="I242" t="s">
        <v>822</v>
      </c>
    </row>
    <row r="243" spans="1:9" x14ac:dyDescent="0.35">
      <c r="A243" t="s">
        <v>250</v>
      </c>
      <c r="B243" t="s">
        <v>813</v>
      </c>
      <c r="C243" s="2">
        <v>45087</v>
      </c>
      <c r="D243" s="2">
        <v>45117</v>
      </c>
      <c r="E243">
        <v>4873.4799999999996</v>
      </c>
      <c r="F243" t="s">
        <v>814</v>
      </c>
      <c r="G243" t="s">
        <v>821</v>
      </c>
      <c r="H243" s="2">
        <v>45117</v>
      </c>
      <c r="I243" t="s">
        <v>822</v>
      </c>
    </row>
    <row r="244" spans="1:9" x14ac:dyDescent="0.35">
      <c r="A244" t="s">
        <v>251</v>
      </c>
      <c r="B244" t="s">
        <v>809</v>
      </c>
      <c r="C244" s="2">
        <v>45618</v>
      </c>
      <c r="D244" s="2">
        <v>45648</v>
      </c>
      <c r="E244">
        <v>3763.83</v>
      </c>
      <c r="F244" t="s">
        <v>818</v>
      </c>
      <c r="G244" t="s">
        <v>820</v>
      </c>
      <c r="I244" t="s">
        <v>822</v>
      </c>
    </row>
    <row r="245" spans="1:9" x14ac:dyDescent="0.35">
      <c r="A245" t="s">
        <v>252</v>
      </c>
      <c r="B245" t="s">
        <v>809</v>
      </c>
      <c r="C245" s="2">
        <v>45045</v>
      </c>
      <c r="D245" s="2">
        <v>45075</v>
      </c>
      <c r="E245">
        <v>1956.76</v>
      </c>
      <c r="F245" t="s">
        <v>815</v>
      </c>
      <c r="G245" t="s">
        <v>820</v>
      </c>
      <c r="I245" t="s">
        <v>822</v>
      </c>
    </row>
    <row r="246" spans="1:9" x14ac:dyDescent="0.35">
      <c r="A246" t="s">
        <v>253</v>
      </c>
      <c r="B246" t="s">
        <v>809</v>
      </c>
      <c r="C246" s="2">
        <v>45396</v>
      </c>
      <c r="D246" s="2">
        <v>45426</v>
      </c>
      <c r="E246">
        <v>4541.03</v>
      </c>
      <c r="F246" t="s">
        <v>818</v>
      </c>
      <c r="G246" t="s">
        <v>820</v>
      </c>
      <c r="I246" t="s">
        <v>822</v>
      </c>
    </row>
    <row r="247" spans="1:9" x14ac:dyDescent="0.35">
      <c r="A247" t="s">
        <v>254</v>
      </c>
      <c r="B247" t="s">
        <v>811</v>
      </c>
      <c r="C247" s="2">
        <v>45203</v>
      </c>
      <c r="D247" s="2">
        <v>45233</v>
      </c>
      <c r="E247">
        <v>3118.33</v>
      </c>
      <c r="F247" t="s">
        <v>817</v>
      </c>
      <c r="G247" t="s">
        <v>820</v>
      </c>
      <c r="I247" t="s">
        <v>822</v>
      </c>
    </row>
    <row r="248" spans="1:9" x14ac:dyDescent="0.35">
      <c r="A248" t="s">
        <v>255</v>
      </c>
      <c r="B248" t="s">
        <v>811</v>
      </c>
      <c r="C248" s="2">
        <v>45503</v>
      </c>
      <c r="D248" s="2">
        <v>45533</v>
      </c>
      <c r="E248">
        <v>4825.22</v>
      </c>
      <c r="F248" t="s">
        <v>815</v>
      </c>
      <c r="G248" t="s">
        <v>821</v>
      </c>
      <c r="H248" s="2">
        <v>45533</v>
      </c>
      <c r="I248" t="s">
        <v>822</v>
      </c>
    </row>
    <row r="249" spans="1:9" x14ac:dyDescent="0.35">
      <c r="A249" t="s">
        <v>256</v>
      </c>
      <c r="B249" t="s">
        <v>813</v>
      </c>
      <c r="C249" s="2">
        <v>45712</v>
      </c>
      <c r="D249" s="2">
        <v>45742</v>
      </c>
      <c r="E249">
        <v>3534.62</v>
      </c>
      <c r="F249" t="s">
        <v>818</v>
      </c>
      <c r="G249" t="s">
        <v>820</v>
      </c>
      <c r="I249" t="s">
        <v>822</v>
      </c>
    </row>
    <row r="250" spans="1:9" x14ac:dyDescent="0.35">
      <c r="A250" t="s">
        <v>257</v>
      </c>
      <c r="B250" t="s">
        <v>811</v>
      </c>
      <c r="C250" s="2">
        <v>45075</v>
      </c>
      <c r="D250" s="2">
        <v>45105</v>
      </c>
      <c r="E250">
        <v>2784.2</v>
      </c>
      <c r="F250" t="s">
        <v>816</v>
      </c>
      <c r="G250" t="s">
        <v>821</v>
      </c>
      <c r="H250" s="2">
        <v>45105</v>
      </c>
      <c r="I250" t="s">
        <v>822</v>
      </c>
    </row>
    <row r="251" spans="1:9" x14ac:dyDescent="0.35">
      <c r="A251" t="s">
        <v>258</v>
      </c>
      <c r="B251" t="s">
        <v>810</v>
      </c>
      <c r="C251" s="2">
        <v>45792</v>
      </c>
      <c r="D251" s="2">
        <v>45822</v>
      </c>
      <c r="E251">
        <v>4703.79</v>
      </c>
      <c r="F251" t="s">
        <v>818</v>
      </c>
      <c r="G251" t="s">
        <v>819</v>
      </c>
      <c r="I251" t="s">
        <v>822</v>
      </c>
    </row>
    <row r="252" spans="1:9" x14ac:dyDescent="0.35">
      <c r="A252" t="s">
        <v>259</v>
      </c>
      <c r="B252" t="s">
        <v>813</v>
      </c>
      <c r="C252" s="2">
        <v>45423</v>
      </c>
      <c r="D252" s="2">
        <v>45453</v>
      </c>
      <c r="E252">
        <v>3586.26</v>
      </c>
      <c r="F252" t="s">
        <v>818</v>
      </c>
      <c r="G252" t="s">
        <v>819</v>
      </c>
      <c r="I252" t="s">
        <v>822</v>
      </c>
    </row>
    <row r="253" spans="1:9" x14ac:dyDescent="0.35">
      <c r="A253" t="s">
        <v>260</v>
      </c>
      <c r="B253" t="s">
        <v>809</v>
      </c>
      <c r="C253" s="2">
        <v>45373</v>
      </c>
      <c r="D253" s="2">
        <v>45403</v>
      </c>
      <c r="E253">
        <v>2609.4499999999998</v>
      </c>
      <c r="F253" t="s">
        <v>817</v>
      </c>
      <c r="G253" t="s">
        <v>821</v>
      </c>
      <c r="H253" s="2">
        <v>45403</v>
      </c>
      <c r="I253" t="s">
        <v>822</v>
      </c>
    </row>
    <row r="254" spans="1:9" x14ac:dyDescent="0.35">
      <c r="A254" t="s">
        <v>261</v>
      </c>
      <c r="B254" t="s">
        <v>809</v>
      </c>
      <c r="C254" s="2">
        <v>44999</v>
      </c>
      <c r="D254" s="2">
        <v>45029</v>
      </c>
      <c r="E254">
        <v>527.17999999999995</v>
      </c>
      <c r="F254" t="s">
        <v>816</v>
      </c>
      <c r="G254" t="s">
        <v>821</v>
      </c>
      <c r="H254" s="2">
        <v>45029</v>
      </c>
      <c r="I254" t="s">
        <v>822</v>
      </c>
    </row>
    <row r="255" spans="1:9" x14ac:dyDescent="0.35">
      <c r="A255" t="s">
        <v>262</v>
      </c>
      <c r="B255" t="s">
        <v>812</v>
      </c>
      <c r="C255" s="2">
        <v>45086</v>
      </c>
      <c r="D255" s="2">
        <v>45116</v>
      </c>
      <c r="E255">
        <v>3705.03</v>
      </c>
      <c r="F255" t="s">
        <v>818</v>
      </c>
      <c r="G255" t="s">
        <v>820</v>
      </c>
      <c r="I255" t="s">
        <v>822</v>
      </c>
    </row>
    <row r="256" spans="1:9" x14ac:dyDescent="0.35">
      <c r="A256" t="s">
        <v>263</v>
      </c>
      <c r="B256" t="s">
        <v>809</v>
      </c>
      <c r="C256" s="2">
        <v>45440</v>
      </c>
      <c r="D256" s="2">
        <v>45470</v>
      </c>
      <c r="E256">
        <v>1274.56</v>
      </c>
      <c r="F256" t="s">
        <v>818</v>
      </c>
      <c r="G256" t="s">
        <v>819</v>
      </c>
      <c r="I256" t="s">
        <v>822</v>
      </c>
    </row>
    <row r="257" spans="1:9" x14ac:dyDescent="0.35">
      <c r="A257" t="s">
        <v>264</v>
      </c>
      <c r="B257" t="s">
        <v>810</v>
      </c>
      <c r="C257" s="2">
        <v>45815</v>
      </c>
      <c r="D257" s="2">
        <v>45845</v>
      </c>
      <c r="E257">
        <v>928.12</v>
      </c>
      <c r="F257" t="s">
        <v>814</v>
      </c>
      <c r="G257" t="s">
        <v>821</v>
      </c>
      <c r="H257" s="2">
        <v>45845</v>
      </c>
      <c r="I257" t="s">
        <v>822</v>
      </c>
    </row>
    <row r="258" spans="1:9" x14ac:dyDescent="0.35">
      <c r="A258" t="s">
        <v>265</v>
      </c>
      <c r="B258" t="s">
        <v>813</v>
      </c>
      <c r="C258" s="2">
        <v>45695</v>
      </c>
      <c r="D258" s="2">
        <v>45725</v>
      </c>
      <c r="E258">
        <v>3380.41</v>
      </c>
      <c r="F258" t="s">
        <v>816</v>
      </c>
      <c r="G258" t="s">
        <v>820</v>
      </c>
      <c r="I258" t="s">
        <v>822</v>
      </c>
    </row>
    <row r="259" spans="1:9" x14ac:dyDescent="0.35">
      <c r="A259" t="s">
        <v>266</v>
      </c>
      <c r="B259" t="s">
        <v>813</v>
      </c>
      <c r="C259" s="2">
        <v>44949</v>
      </c>
      <c r="D259" s="2">
        <v>44979</v>
      </c>
      <c r="E259">
        <v>489.13</v>
      </c>
      <c r="F259" t="s">
        <v>814</v>
      </c>
      <c r="G259" t="s">
        <v>819</v>
      </c>
      <c r="I259" t="s">
        <v>822</v>
      </c>
    </row>
    <row r="260" spans="1:9" x14ac:dyDescent="0.35">
      <c r="A260" t="s">
        <v>267</v>
      </c>
      <c r="B260" t="s">
        <v>810</v>
      </c>
      <c r="C260" s="2">
        <v>45237</v>
      </c>
      <c r="D260" s="2">
        <v>45267</v>
      </c>
      <c r="E260">
        <v>2309.52</v>
      </c>
      <c r="F260" t="s">
        <v>817</v>
      </c>
      <c r="G260" t="s">
        <v>820</v>
      </c>
      <c r="I260" t="s">
        <v>822</v>
      </c>
    </row>
    <row r="261" spans="1:9" x14ac:dyDescent="0.35">
      <c r="A261" t="s">
        <v>268</v>
      </c>
      <c r="B261" t="s">
        <v>809</v>
      </c>
      <c r="C261" s="2">
        <v>45166</v>
      </c>
      <c r="D261" s="2">
        <v>45196</v>
      </c>
      <c r="E261">
        <v>2555.11</v>
      </c>
      <c r="F261" t="s">
        <v>815</v>
      </c>
      <c r="G261" t="s">
        <v>819</v>
      </c>
      <c r="I261" t="s">
        <v>822</v>
      </c>
    </row>
    <row r="262" spans="1:9" x14ac:dyDescent="0.35">
      <c r="A262" t="s">
        <v>269</v>
      </c>
      <c r="B262" t="s">
        <v>811</v>
      </c>
      <c r="C262" s="2">
        <v>45373</v>
      </c>
      <c r="D262" s="2">
        <v>45403</v>
      </c>
      <c r="E262">
        <v>3084.27</v>
      </c>
      <c r="F262" t="s">
        <v>817</v>
      </c>
      <c r="G262" t="s">
        <v>821</v>
      </c>
      <c r="H262" s="2">
        <v>45403</v>
      </c>
      <c r="I262" t="s">
        <v>822</v>
      </c>
    </row>
    <row r="263" spans="1:9" x14ac:dyDescent="0.35">
      <c r="A263" t="s">
        <v>270</v>
      </c>
      <c r="B263" t="s">
        <v>809</v>
      </c>
      <c r="C263" s="2">
        <v>45693</v>
      </c>
      <c r="D263" s="2">
        <v>45723</v>
      </c>
      <c r="E263">
        <v>2226.56</v>
      </c>
      <c r="F263" t="s">
        <v>814</v>
      </c>
      <c r="G263" t="s">
        <v>821</v>
      </c>
      <c r="H263" s="2">
        <v>45723</v>
      </c>
      <c r="I263" t="s">
        <v>822</v>
      </c>
    </row>
    <row r="264" spans="1:9" x14ac:dyDescent="0.35">
      <c r="A264" t="s">
        <v>271</v>
      </c>
      <c r="B264" t="s">
        <v>812</v>
      </c>
      <c r="C264" s="2">
        <v>45316</v>
      </c>
      <c r="D264" s="2">
        <v>45346</v>
      </c>
      <c r="E264">
        <v>1081.44</v>
      </c>
      <c r="F264" t="s">
        <v>818</v>
      </c>
      <c r="G264" t="s">
        <v>821</v>
      </c>
      <c r="H264" s="2">
        <v>45346</v>
      </c>
      <c r="I264" t="s">
        <v>822</v>
      </c>
    </row>
    <row r="265" spans="1:9" x14ac:dyDescent="0.35">
      <c r="A265" t="s">
        <v>272</v>
      </c>
      <c r="B265" t="s">
        <v>811</v>
      </c>
      <c r="C265" s="2">
        <v>45089</v>
      </c>
      <c r="D265" s="2">
        <v>45119</v>
      </c>
      <c r="E265">
        <v>985.69</v>
      </c>
      <c r="F265" t="s">
        <v>817</v>
      </c>
      <c r="G265" t="s">
        <v>820</v>
      </c>
      <c r="I265" t="s">
        <v>822</v>
      </c>
    </row>
    <row r="266" spans="1:9" x14ac:dyDescent="0.35">
      <c r="A266" t="s">
        <v>273</v>
      </c>
      <c r="B266" t="s">
        <v>809</v>
      </c>
      <c r="C266" s="2">
        <v>45792</v>
      </c>
      <c r="D266" s="2">
        <v>45822</v>
      </c>
      <c r="E266">
        <v>4502.04</v>
      </c>
      <c r="F266" t="s">
        <v>815</v>
      </c>
      <c r="G266" t="s">
        <v>820</v>
      </c>
      <c r="I266" t="s">
        <v>822</v>
      </c>
    </row>
    <row r="267" spans="1:9" x14ac:dyDescent="0.35">
      <c r="A267" t="s">
        <v>274</v>
      </c>
      <c r="B267" t="s">
        <v>813</v>
      </c>
      <c r="C267" s="2">
        <v>45686</v>
      </c>
      <c r="D267" s="2">
        <v>45716</v>
      </c>
      <c r="E267">
        <v>1415.18</v>
      </c>
      <c r="F267" t="s">
        <v>816</v>
      </c>
      <c r="G267" t="s">
        <v>820</v>
      </c>
      <c r="I267" t="s">
        <v>822</v>
      </c>
    </row>
    <row r="268" spans="1:9" x14ac:dyDescent="0.35">
      <c r="A268" t="s">
        <v>275</v>
      </c>
      <c r="B268" t="s">
        <v>812</v>
      </c>
      <c r="C268" s="2">
        <v>45209</v>
      </c>
      <c r="D268" s="2">
        <v>45239</v>
      </c>
      <c r="E268">
        <v>3176.41</v>
      </c>
      <c r="F268" t="s">
        <v>814</v>
      </c>
      <c r="G268" t="s">
        <v>819</v>
      </c>
      <c r="I268" t="s">
        <v>822</v>
      </c>
    </row>
    <row r="269" spans="1:9" x14ac:dyDescent="0.35">
      <c r="A269" t="s">
        <v>276</v>
      </c>
      <c r="B269" t="s">
        <v>811</v>
      </c>
      <c r="C269" s="2">
        <v>45094</v>
      </c>
      <c r="D269" s="2">
        <v>45124</v>
      </c>
      <c r="E269">
        <v>4887.26</v>
      </c>
      <c r="F269" t="s">
        <v>817</v>
      </c>
      <c r="G269" t="s">
        <v>819</v>
      </c>
      <c r="I269" t="s">
        <v>822</v>
      </c>
    </row>
    <row r="270" spans="1:9" x14ac:dyDescent="0.35">
      <c r="A270" t="s">
        <v>277</v>
      </c>
      <c r="B270" t="s">
        <v>812</v>
      </c>
      <c r="C270" s="2">
        <v>45545</v>
      </c>
      <c r="D270" s="2">
        <v>45575</v>
      </c>
      <c r="E270">
        <v>3883.76</v>
      </c>
      <c r="F270" t="s">
        <v>816</v>
      </c>
      <c r="G270" t="s">
        <v>820</v>
      </c>
      <c r="I270" t="s">
        <v>822</v>
      </c>
    </row>
    <row r="271" spans="1:9" x14ac:dyDescent="0.35">
      <c r="A271" t="s">
        <v>278</v>
      </c>
      <c r="B271" t="s">
        <v>812</v>
      </c>
      <c r="C271" s="2">
        <v>45820</v>
      </c>
      <c r="D271" s="2">
        <v>45850</v>
      </c>
      <c r="E271">
        <v>1284.06</v>
      </c>
      <c r="F271" t="s">
        <v>815</v>
      </c>
      <c r="G271" t="s">
        <v>819</v>
      </c>
      <c r="I271" t="s">
        <v>822</v>
      </c>
    </row>
    <row r="272" spans="1:9" x14ac:dyDescent="0.35">
      <c r="A272" t="s">
        <v>279</v>
      </c>
      <c r="B272" t="s">
        <v>812</v>
      </c>
      <c r="C272" s="2">
        <v>45834</v>
      </c>
      <c r="D272" s="2">
        <v>45864</v>
      </c>
      <c r="E272">
        <v>4305.1899999999996</v>
      </c>
      <c r="F272" t="s">
        <v>816</v>
      </c>
      <c r="G272" t="s">
        <v>821</v>
      </c>
      <c r="H272" s="2">
        <v>45864</v>
      </c>
      <c r="I272" t="s">
        <v>822</v>
      </c>
    </row>
    <row r="273" spans="1:9" x14ac:dyDescent="0.35">
      <c r="A273" t="s">
        <v>280</v>
      </c>
      <c r="B273" t="s">
        <v>812</v>
      </c>
      <c r="C273" s="2">
        <v>45242</v>
      </c>
      <c r="D273" s="2">
        <v>45272</v>
      </c>
      <c r="E273">
        <v>1810.33</v>
      </c>
      <c r="F273" t="s">
        <v>818</v>
      </c>
      <c r="G273" t="s">
        <v>819</v>
      </c>
      <c r="I273" t="s">
        <v>822</v>
      </c>
    </row>
    <row r="274" spans="1:9" x14ac:dyDescent="0.35">
      <c r="A274" t="s">
        <v>281</v>
      </c>
      <c r="B274" t="s">
        <v>809</v>
      </c>
      <c r="C274" s="2">
        <v>45373</v>
      </c>
      <c r="D274" s="2">
        <v>45403</v>
      </c>
      <c r="E274">
        <v>3741.63</v>
      </c>
      <c r="F274" t="s">
        <v>814</v>
      </c>
      <c r="G274" t="s">
        <v>819</v>
      </c>
      <c r="I274" t="s">
        <v>822</v>
      </c>
    </row>
    <row r="275" spans="1:9" x14ac:dyDescent="0.35">
      <c r="A275" t="s">
        <v>282</v>
      </c>
      <c r="B275" t="s">
        <v>810</v>
      </c>
      <c r="C275" s="2">
        <v>45322</v>
      </c>
      <c r="D275" s="2">
        <v>45352</v>
      </c>
      <c r="E275">
        <v>2037.12</v>
      </c>
      <c r="F275" t="s">
        <v>818</v>
      </c>
      <c r="G275" t="s">
        <v>821</v>
      </c>
      <c r="H275" s="2">
        <v>45352</v>
      </c>
      <c r="I275" t="s">
        <v>822</v>
      </c>
    </row>
    <row r="276" spans="1:9" x14ac:dyDescent="0.35">
      <c r="A276" t="s">
        <v>283</v>
      </c>
      <c r="B276" t="s">
        <v>810</v>
      </c>
      <c r="C276" s="2">
        <v>45332</v>
      </c>
      <c r="D276" s="2">
        <v>45362</v>
      </c>
      <c r="E276">
        <v>970.98</v>
      </c>
      <c r="F276" t="s">
        <v>817</v>
      </c>
      <c r="G276" t="s">
        <v>819</v>
      </c>
      <c r="I276" t="s">
        <v>822</v>
      </c>
    </row>
    <row r="277" spans="1:9" x14ac:dyDescent="0.35">
      <c r="A277" t="s">
        <v>284</v>
      </c>
      <c r="B277" t="s">
        <v>812</v>
      </c>
      <c r="C277" s="2">
        <v>44997</v>
      </c>
      <c r="D277" s="2">
        <v>45027</v>
      </c>
      <c r="E277">
        <v>743.53</v>
      </c>
      <c r="F277" t="s">
        <v>818</v>
      </c>
      <c r="G277" t="s">
        <v>821</v>
      </c>
      <c r="H277" s="2">
        <v>45027</v>
      </c>
      <c r="I277" t="s">
        <v>822</v>
      </c>
    </row>
    <row r="278" spans="1:9" x14ac:dyDescent="0.35">
      <c r="A278" t="s">
        <v>285</v>
      </c>
      <c r="B278" t="s">
        <v>811</v>
      </c>
      <c r="C278" s="2">
        <v>45478</v>
      </c>
      <c r="D278" s="2">
        <v>45508</v>
      </c>
      <c r="E278">
        <v>983.96</v>
      </c>
      <c r="F278" t="s">
        <v>816</v>
      </c>
      <c r="G278" t="s">
        <v>819</v>
      </c>
      <c r="I278" t="s">
        <v>822</v>
      </c>
    </row>
    <row r="279" spans="1:9" x14ac:dyDescent="0.35">
      <c r="A279" t="s">
        <v>286</v>
      </c>
      <c r="B279" t="s">
        <v>811</v>
      </c>
      <c r="C279" s="2">
        <v>45513</v>
      </c>
      <c r="D279" s="2">
        <v>45543</v>
      </c>
      <c r="E279">
        <v>1917.71</v>
      </c>
      <c r="F279" t="s">
        <v>816</v>
      </c>
      <c r="G279" t="s">
        <v>819</v>
      </c>
      <c r="I279" t="s">
        <v>822</v>
      </c>
    </row>
    <row r="280" spans="1:9" x14ac:dyDescent="0.35">
      <c r="A280" t="s">
        <v>287</v>
      </c>
      <c r="B280" t="s">
        <v>809</v>
      </c>
      <c r="C280" s="2">
        <v>45487</v>
      </c>
      <c r="D280" s="2">
        <v>45517</v>
      </c>
      <c r="E280">
        <v>1199.03</v>
      </c>
      <c r="F280" t="s">
        <v>817</v>
      </c>
      <c r="G280" t="s">
        <v>820</v>
      </c>
      <c r="I280" t="s">
        <v>822</v>
      </c>
    </row>
    <row r="281" spans="1:9" x14ac:dyDescent="0.35">
      <c r="A281" t="s">
        <v>288</v>
      </c>
      <c r="B281" t="s">
        <v>811</v>
      </c>
      <c r="C281" s="2">
        <v>45057</v>
      </c>
      <c r="D281" s="2">
        <v>45087</v>
      </c>
      <c r="E281">
        <v>317.85000000000002</v>
      </c>
      <c r="F281" t="s">
        <v>817</v>
      </c>
      <c r="G281" t="s">
        <v>821</v>
      </c>
      <c r="H281" s="2">
        <v>45087</v>
      </c>
      <c r="I281" t="s">
        <v>822</v>
      </c>
    </row>
    <row r="282" spans="1:9" x14ac:dyDescent="0.35">
      <c r="A282" t="s">
        <v>289</v>
      </c>
      <c r="B282" t="s">
        <v>810</v>
      </c>
      <c r="C282" s="2">
        <v>45753</v>
      </c>
      <c r="D282" s="2">
        <v>45783</v>
      </c>
      <c r="E282">
        <v>4556.93</v>
      </c>
      <c r="F282" t="s">
        <v>814</v>
      </c>
      <c r="G282" t="s">
        <v>820</v>
      </c>
      <c r="I282" t="s">
        <v>822</v>
      </c>
    </row>
    <row r="283" spans="1:9" x14ac:dyDescent="0.35">
      <c r="A283" t="s">
        <v>290</v>
      </c>
      <c r="B283" t="s">
        <v>809</v>
      </c>
      <c r="C283" s="2">
        <v>45606</v>
      </c>
      <c r="D283" s="2">
        <v>45636</v>
      </c>
      <c r="E283">
        <v>1600.22</v>
      </c>
      <c r="F283" t="s">
        <v>816</v>
      </c>
      <c r="G283" t="s">
        <v>819</v>
      </c>
      <c r="I283" t="s">
        <v>822</v>
      </c>
    </row>
    <row r="284" spans="1:9" x14ac:dyDescent="0.35">
      <c r="A284" t="s">
        <v>291</v>
      </c>
      <c r="B284" t="s">
        <v>810</v>
      </c>
      <c r="C284" s="2">
        <v>44974</v>
      </c>
      <c r="D284" s="2">
        <v>45004</v>
      </c>
      <c r="E284">
        <v>2011.23</v>
      </c>
      <c r="F284" t="s">
        <v>816</v>
      </c>
      <c r="G284" t="s">
        <v>819</v>
      </c>
      <c r="I284" t="s">
        <v>822</v>
      </c>
    </row>
    <row r="285" spans="1:9" x14ac:dyDescent="0.35">
      <c r="A285" t="s">
        <v>292</v>
      </c>
      <c r="B285" t="s">
        <v>810</v>
      </c>
      <c r="C285" s="2">
        <v>45581</v>
      </c>
      <c r="D285" s="2">
        <v>45611</v>
      </c>
      <c r="E285">
        <v>2093.29</v>
      </c>
      <c r="F285" t="s">
        <v>815</v>
      </c>
      <c r="G285" t="s">
        <v>819</v>
      </c>
      <c r="I285" t="s">
        <v>822</v>
      </c>
    </row>
    <row r="286" spans="1:9" x14ac:dyDescent="0.35">
      <c r="A286" t="s">
        <v>293</v>
      </c>
      <c r="B286" t="s">
        <v>813</v>
      </c>
      <c r="C286" s="2">
        <v>45752</v>
      </c>
      <c r="D286" s="2">
        <v>45782</v>
      </c>
      <c r="E286">
        <v>4095</v>
      </c>
      <c r="F286" t="s">
        <v>815</v>
      </c>
      <c r="G286" t="s">
        <v>820</v>
      </c>
      <c r="I286" t="s">
        <v>822</v>
      </c>
    </row>
    <row r="287" spans="1:9" x14ac:dyDescent="0.35">
      <c r="A287" t="s">
        <v>294</v>
      </c>
      <c r="B287" t="s">
        <v>809</v>
      </c>
      <c r="C287" s="2">
        <v>45302</v>
      </c>
      <c r="D287" s="2">
        <v>45332</v>
      </c>
      <c r="E287">
        <v>3459.29</v>
      </c>
      <c r="F287" t="s">
        <v>816</v>
      </c>
      <c r="G287" t="s">
        <v>820</v>
      </c>
      <c r="I287" t="s">
        <v>822</v>
      </c>
    </row>
    <row r="288" spans="1:9" x14ac:dyDescent="0.35">
      <c r="A288" t="s">
        <v>295</v>
      </c>
      <c r="B288" t="s">
        <v>810</v>
      </c>
      <c r="C288" s="2">
        <v>45225</v>
      </c>
      <c r="D288" s="2">
        <v>45255</v>
      </c>
      <c r="E288">
        <v>310.83999999999997</v>
      </c>
      <c r="F288" t="s">
        <v>817</v>
      </c>
      <c r="G288" t="s">
        <v>821</v>
      </c>
      <c r="H288" s="2">
        <v>45255</v>
      </c>
      <c r="I288" t="s">
        <v>822</v>
      </c>
    </row>
    <row r="289" spans="1:9" x14ac:dyDescent="0.35">
      <c r="A289" t="s">
        <v>296</v>
      </c>
      <c r="B289" t="s">
        <v>811</v>
      </c>
      <c r="C289" s="2">
        <v>45559</v>
      </c>
      <c r="D289" s="2">
        <v>45589</v>
      </c>
      <c r="E289">
        <v>929.39</v>
      </c>
      <c r="F289" t="s">
        <v>814</v>
      </c>
      <c r="G289" t="s">
        <v>820</v>
      </c>
      <c r="I289" t="s">
        <v>822</v>
      </c>
    </row>
    <row r="290" spans="1:9" x14ac:dyDescent="0.35">
      <c r="A290" t="s">
        <v>297</v>
      </c>
      <c r="B290" t="s">
        <v>813</v>
      </c>
      <c r="C290" s="2">
        <v>45001</v>
      </c>
      <c r="D290" s="2">
        <v>45031</v>
      </c>
      <c r="E290">
        <v>4087.15</v>
      </c>
      <c r="F290" t="s">
        <v>817</v>
      </c>
      <c r="G290" t="s">
        <v>821</v>
      </c>
      <c r="H290" s="2">
        <v>45031</v>
      </c>
      <c r="I290" t="s">
        <v>822</v>
      </c>
    </row>
    <row r="291" spans="1:9" x14ac:dyDescent="0.35">
      <c r="A291" t="s">
        <v>298</v>
      </c>
      <c r="B291" t="s">
        <v>812</v>
      </c>
      <c r="C291" s="2">
        <v>45741</v>
      </c>
      <c r="D291" s="2">
        <v>45771</v>
      </c>
      <c r="E291">
        <v>2351.0300000000002</v>
      </c>
      <c r="F291" t="s">
        <v>815</v>
      </c>
      <c r="G291" t="s">
        <v>819</v>
      </c>
      <c r="I291" t="s">
        <v>822</v>
      </c>
    </row>
    <row r="292" spans="1:9" x14ac:dyDescent="0.35">
      <c r="A292" t="s">
        <v>299</v>
      </c>
      <c r="B292" t="s">
        <v>813</v>
      </c>
      <c r="C292" s="2">
        <v>45152</v>
      </c>
      <c r="D292" s="2">
        <v>45182</v>
      </c>
      <c r="E292">
        <v>4799.5</v>
      </c>
      <c r="F292" t="s">
        <v>816</v>
      </c>
      <c r="G292" t="s">
        <v>821</v>
      </c>
      <c r="H292" s="2">
        <v>45182</v>
      </c>
      <c r="I292" t="s">
        <v>822</v>
      </c>
    </row>
    <row r="293" spans="1:9" x14ac:dyDescent="0.35">
      <c r="A293" t="s">
        <v>300</v>
      </c>
      <c r="B293" t="s">
        <v>813</v>
      </c>
      <c r="C293" s="2">
        <v>45105</v>
      </c>
      <c r="D293" s="2">
        <v>45135</v>
      </c>
      <c r="E293">
        <v>2284.77</v>
      </c>
      <c r="F293" t="s">
        <v>818</v>
      </c>
      <c r="G293" t="s">
        <v>819</v>
      </c>
      <c r="I293" t="s">
        <v>822</v>
      </c>
    </row>
    <row r="294" spans="1:9" x14ac:dyDescent="0.35">
      <c r="A294" t="s">
        <v>301</v>
      </c>
      <c r="B294" t="s">
        <v>810</v>
      </c>
      <c r="C294" s="2">
        <v>45142</v>
      </c>
      <c r="D294" s="2">
        <v>45172</v>
      </c>
      <c r="E294">
        <v>2951.68</v>
      </c>
      <c r="F294" t="s">
        <v>818</v>
      </c>
      <c r="G294" t="s">
        <v>821</v>
      </c>
      <c r="H294" s="2">
        <v>45172</v>
      </c>
      <c r="I294" t="s">
        <v>822</v>
      </c>
    </row>
    <row r="295" spans="1:9" x14ac:dyDescent="0.35">
      <c r="A295" t="s">
        <v>302</v>
      </c>
      <c r="B295" t="s">
        <v>811</v>
      </c>
      <c r="C295" s="2">
        <v>45457</v>
      </c>
      <c r="D295" s="2">
        <v>45487</v>
      </c>
      <c r="E295">
        <v>4227.92</v>
      </c>
      <c r="F295" t="s">
        <v>818</v>
      </c>
      <c r="G295" t="s">
        <v>820</v>
      </c>
      <c r="I295" t="s">
        <v>822</v>
      </c>
    </row>
    <row r="296" spans="1:9" x14ac:dyDescent="0.35">
      <c r="A296" t="s">
        <v>303</v>
      </c>
      <c r="B296" t="s">
        <v>813</v>
      </c>
      <c r="C296" s="2">
        <v>45617</v>
      </c>
      <c r="D296" s="2">
        <v>45647</v>
      </c>
      <c r="E296">
        <v>1060.77</v>
      </c>
      <c r="F296" t="s">
        <v>818</v>
      </c>
      <c r="G296" t="s">
        <v>821</v>
      </c>
      <c r="H296" s="2">
        <v>45647</v>
      </c>
      <c r="I296" t="s">
        <v>822</v>
      </c>
    </row>
    <row r="297" spans="1:9" x14ac:dyDescent="0.35">
      <c r="A297" t="s">
        <v>304</v>
      </c>
      <c r="B297" t="s">
        <v>809</v>
      </c>
      <c r="C297" s="2">
        <v>45285</v>
      </c>
      <c r="D297" s="2">
        <v>45315</v>
      </c>
      <c r="E297">
        <v>4147.42</v>
      </c>
      <c r="F297" t="s">
        <v>818</v>
      </c>
      <c r="G297" t="s">
        <v>820</v>
      </c>
      <c r="I297" t="s">
        <v>822</v>
      </c>
    </row>
    <row r="298" spans="1:9" x14ac:dyDescent="0.35">
      <c r="A298" t="s">
        <v>305</v>
      </c>
      <c r="B298" t="s">
        <v>811</v>
      </c>
      <c r="C298" s="2">
        <v>45206</v>
      </c>
      <c r="D298" s="2">
        <v>45236</v>
      </c>
      <c r="E298">
        <v>4406.58</v>
      </c>
      <c r="F298" t="s">
        <v>816</v>
      </c>
      <c r="G298" t="s">
        <v>821</v>
      </c>
      <c r="H298" s="2">
        <v>45236</v>
      </c>
      <c r="I298" t="s">
        <v>822</v>
      </c>
    </row>
    <row r="299" spans="1:9" x14ac:dyDescent="0.35">
      <c r="A299" t="s">
        <v>306</v>
      </c>
      <c r="B299" t="s">
        <v>812</v>
      </c>
      <c r="C299" s="2">
        <v>45069</v>
      </c>
      <c r="D299" s="2">
        <v>45099</v>
      </c>
      <c r="E299">
        <v>3855.44</v>
      </c>
      <c r="F299" t="s">
        <v>815</v>
      </c>
      <c r="G299" t="s">
        <v>819</v>
      </c>
      <c r="I299" t="s">
        <v>822</v>
      </c>
    </row>
    <row r="300" spans="1:9" x14ac:dyDescent="0.35">
      <c r="A300" t="s">
        <v>307</v>
      </c>
      <c r="B300" t="s">
        <v>811</v>
      </c>
      <c r="C300" s="2">
        <v>45773</v>
      </c>
      <c r="D300" s="2">
        <v>45803</v>
      </c>
      <c r="E300">
        <v>1239.49</v>
      </c>
      <c r="F300" t="s">
        <v>815</v>
      </c>
      <c r="G300" t="s">
        <v>819</v>
      </c>
      <c r="I300" t="s">
        <v>822</v>
      </c>
    </row>
    <row r="301" spans="1:9" x14ac:dyDescent="0.35">
      <c r="A301" t="s">
        <v>308</v>
      </c>
      <c r="B301" t="s">
        <v>812</v>
      </c>
      <c r="C301" s="2">
        <v>45819</v>
      </c>
      <c r="D301" s="2">
        <v>45849</v>
      </c>
      <c r="E301">
        <v>4842.93</v>
      </c>
      <c r="F301" t="s">
        <v>818</v>
      </c>
      <c r="G301" t="s">
        <v>819</v>
      </c>
      <c r="I301" t="s">
        <v>822</v>
      </c>
    </row>
    <row r="302" spans="1:9" x14ac:dyDescent="0.35">
      <c r="A302" t="s">
        <v>309</v>
      </c>
      <c r="B302" t="s">
        <v>809</v>
      </c>
      <c r="C302" s="2">
        <v>45833</v>
      </c>
      <c r="D302" s="2">
        <v>45863</v>
      </c>
      <c r="E302">
        <v>1477.77</v>
      </c>
      <c r="F302" t="s">
        <v>817</v>
      </c>
      <c r="G302" t="s">
        <v>819</v>
      </c>
      <c r="I302" t="s">
        <v>822</v>
      </c>
    </row>
    <row r="303" spans="1:9" x14ac:dyDescent="0.35">
      <c r="A303" t="s">
        <v>310</v>
      </c>
      <c r="B303" t="s">
        <v>810</v>
      </c>
      <c r="C303" s="2">
        <v>45717</v>
      </c>
      <c r="D303" s="2">
        <v>45747</v>
      </c>
      <c r="E303">
        <v>4772.12</v>
      </c>
      <c r="F303" t="s">
        <v>817</v>
      </c>
      <c r="G303" t="s">
        <v>821</v>
      </c>
      <c r="H303" s="2">
        <v>45747</v>
      </c>
      <c r="I303" t="s">
        <v>822</v>
      </c>
    </row>
    <row r="304" spans="1:9" x14ac:dyDescent="0.35">
      <c r="A304" t="s">
        <v>311</v>
      </c>
      <c r="B304" t="s">
        <v>813</v>
      </c>
      <c r="C304" s="2">
        <v>45035</v>
      </c>
      <c r="D304" s="2">
        <v>45065</v>
      </c>
      <c r="E304">
        <v>2860.03</v>
      </c>
      <c r="F304" t="s">
        <v>818</v>
      </c>
      <c r="G304" t="s">
        <v>821</v>
      </c>
      <c r="H304" s="2">
        <v>45065</v>
      </c>
      <c r="I304" t="s">
        <v>822</v>
      </c>
    </row>
    <row r="305" spans="1:9" x14ac:dyDescent="0.35">
      <c r="A305" t="s">
        <v>312</v>
      </c>
      <c r="B305" t="s">
        <v>813</v>
      </c>
      <c r="C305" s="2">
        <v>45504</v>
      </c>
      <c r="D305" s="2">
        <v>45534</v>
      </c>
      <c r="E305">
        <v>1886.55</v>
      </c>
      <c r="F305" t="s">
        <v>818</v>
      </c>
      <c r="G305" t="s">
        <v>820</v>
      </c>
      <c r="I305" t="s">
        <v>822</v>
      </c>
    </row>
    <row r="306" spans="1:9" x14ac:dyDescent="0.35">
      <c r="A306" t="s">
        <v>313</v>
      </c>
      <c r="B306" t="s">
        <v>809</v>
      </c>
      <c r="C306" s="2">
        <v>45449</v>
      </c>
      <c r="D306" s="2">
        <v>45479</v>
      </c>
      <c r="E306">
        <v>4336.49</v>
      </c>
      <c r="F306" t="s">
        <v>818</v>
      </c>
      <c r="G306" t="s">
        <v>819</v>
      </c>
      <c r="I306" t="s">
        <v>822</v>
      </c>
    </row>
    <row r="307" spans="1:9" x14ac:dyDescent="0.35">
      <c r="A307" t="s">
        <v>314</v>
      </c>
      <c r="B307" t="s">
        <v>809</v>
      </c>
      <c r="C307" s="2">
        <v>45256</v>
      </c>
      <c r="D307" s="2">
        <v>45286</v>
      </c>
      <c r="E307">
        <v>4046.8</v>
      </c>
      <c r="F307" t="s">
        <v>817</v>
      </c>
      <c r="G307" t="s">
        <v>820</v>
      </c>
      <c r="I307" t="s">
        <v>822</v>
      </c>
    </row>
    <row r="308" spans="1:9" x14ac:dyDescent="0.35">
      <c r="A308" t="s">
        <v>315</v>
      </c>
      <c r="B308" t="s">
        <v>809</v>
      </c>
      <c r="C308" s="2">
        <v>45787</v>
      </c>
      <c r="D308" s="2">
        <v>45817</v>
      </c>
      <c r="E308">
        <v>3387.6</v>
      </c>
      <c r="F308" t="s">
        <v>818</v>
      </c>
      <c r="G308" t="s">
        <v>821</v>
      </c>
      <c r="H308" s="2">
        <v>45817</v>
      </c>
      <c r="I308" t="s">
        <v>822</v>
      </c>
    </row>
    <row r="309" spans="1:9" x14ac:dyDescent="0.35">
      <c r="A309" t="s">
        <v>316</v>
      </c>
      <c r="B309" t="s">
        <v>812</v>
      </c>
      <c r="C309" s="2">
        <v>45679</v>
      </c>
      <c r="D309" s="2">
        <v>45709</v>
      </c>
      <c r="E309">
        <v>4207.8599999999997</v>
      </c>
      <c r="F309" t="s">
        <v>814</v>
      </c>
      <c r="G309" t="s">
        <v>819</v>
      </c>
      <c r="I309" t="s">
        <v>822</v>
      </c>
    </row>
    <row r="310" spans="1:9" x14ac:dyDescent="0.35">
      <c r="A310" t="s">
        <v>317</v>
      </c>
      <c r="B310" t="s">
        <v>813</v>
      </c>
      <c r="C310" s="2">
        <v>45320</v>
      </c>
      <c r="D310" s="2">
        <v>45350</v>
      </c>
      <c r="E310">
        <v>2784.29</v>
      </c>
      <c r="F310" t="s">
        <v>815</v>
      </c>
      <c r="G310" t="s">
        <v>819</v>
      </c>
      <c r="I310" t="s">
        <v>822</v>
      </c>
    </row>
    <row r="311" spans="1:9" x14ac:dyDescent="0.35">
      <c r="A311" t="s">
        <v>318</v>
      </c>
      <c r="B311" t="s">
        <v>813</v>
      </c>
      <c r="C311" s="2">
        <v>45576</v>
      </c>
      <c r="D311" s="2">
        <v>45606</v>
      </c>
      <c r="E311">
        <v>2721.22</v>
      </c>
      <c r="F311" t="s">
        <v>816</v>
      </c>
      <c r="G311" t="s">
        <v>820</v>
      </c>
      <c r="I311" t="s">
        <v>822</v>
      </c>
    </row>
    <row r="312" spans="1:9" x14ac:dyDescent="0.35">
      <c r="A312" t="s">
        <v>319</v>
      </c>
      <c r="B312" t="s">
        <v>810</v>
      </c>
      <c r="C312" s="2">
        <v>44993</v>
      </c>
      <c r="D312" s="2">
        <v>45023</v>
      </c>
      <c r="E312">
        <v>1741.36</v>
      </c>
      <c r="F312" t="s">
        <v>815</v>
      </c>
      <c r="G312" t="s">
        <v>820</v>
      </c>
      <c r="I312" t="s">
        <v>822</v>
      </c>
    </row>
    <row r="313" spans="1:9" x14ac:dyDescent="0.35">
      <c r="A313" t="s">
        <v>320</v>
      </c>
      <c r="B313" t="s">
        <v>813</v>
      </c>
      <c r="C313" s="2">
        <v>45465</v>
      </c>
      <c r="D313" s="2">
        <v>45495</v>
      </c>
      <c r="E313">
        <v>4981.4399999999996</v>
      </c>
      <c r="F313" t="s">
        <v>817</v>
      </c>
      <c r="G313" t="s">
        <v>821</v>
      </c>
      <c r="H313" s="2">
        <v>45495</v>
      </c>
      <c r="I313" t="s">
        <v>822</v>
      </c>
    </row>
    <row r="314" spans="1:9" x14ac:dyDescent="0.35">
      <c r="A314" t="s">
        <v>321</v>
      </c>
      <c r="B314" t="s">
        <v>811</v>
      </c>
      <c r="C314" s="2">
        <v>45062</v>
      </c>
      <c r="D314" s="2">
        <v>45092</v>
      </c>
      <c r="E314">
        <v>2244.6799999999998</v>
      </c>
      <c r="F314" t="s">
        <v>814</v>
      </c>
      <c r="G314" t="s">
        <v>819</v>
      </c>
      <c r="I314" t="s">
        <v>822</v>
      </c>
    </row>
    <row r="315" spans="1:9" x14ac:dyDescent="0.35">
      <c r="A315" t="s">
        <v>322</v>
      </c>
      <c r="B315" t="s">
        <v>809</v>
      </c>
      <c r="C315" s="2">
        <v>45567</v>
      </c>
      <c r="D315" s="2">
        <v>45597</v>
      </c>
      <c r="E315">
        <v>660.06</v>
      </c>
      <c r="F315" t="s">
        <v>818</v>
      </c>
      <c r="G315" t="s">
        <v>821</v>
      </c>
      <c r="H315" s="2">
        <v>45597</v>
      </c>
      <c r="I315" t="s">
        <v>822</v>
      </c>
    </row>
    <row r="316" spans="1:9" x14ac:dyDescent="0.35">
      <c r="A316" t="s">
        <v>323</v>
      </c>
      <c r="B316" t="s">
        <v>812</v>
      </c>
      <c r="C316" s="2">
        <v>45722</v>
      </c>
      <c r="D316" s="2">
        <v>45752</v>
      </c>
      <c r="E316">
        <v>2932.27</v>
      </c>
      <c r="F316" t="s">
        <v>818</v>
      </c>
      <c r="G316" t="s">
        <v>821</v>
      </c>
      <c r="H316" s="2">
        <v>45752</v>
      </c>
      <c r="I316" t="s">
        <v>822</v>
      </c>
    </row>
    <row r="317" spans="1:9" x14ac:dyDescent="0.35">
      <c r="A317" t="s">
        <v>324</v>
      </c>
      <c r="B317" t="s">
        <v>812</v>
      </c>
      <c r="C317" s="2">
        <v>45511</v>
      </c>
      <c r="D317" s="2">
        <v>45541</v>
      </c>
      <c r="E317">
        <v>451.25</v>
      </c>
      <c r="F317" t="s">
        <v>816</v>
      </c>
      <c r="G317" t="s">
        <v>819</v>
      </c>
      <c r="I317" t="s">
        <v>822</v>
      </c>
    </row>
    <row r="318" spans="1:9" x14ac:dyDescent="0.35">
      <c r="A318" t="s">
        <v>325</v>
      </c>
      <c r="B318" t="s">
        <v>810</v>
      </c>
      <c r="C318" s="2">
        <v>45838</v>
      </c>
      <c r="D318" s="2">
        <v>45868</v>
      </c>
      <c r="E318">
        <v>2665.5</v>
      </c>
      <c r="F318" t="s">
        <v>815</v>
      </c>
      <c r="G318" t="s">
        <v>820</v>
      </c>
      <c r="I318" t="s">
        <v>822</v>
      </c>
    </row>
    <row r="319" spans="1:9" x14ac:dyDescent="0.35">
      <c r="A319" t="s">
        <v>326</v>
      </c>
      <c r="B319" t="s">
        <v>809</v>
      </c>
      <c r="C319" s="2">
        <v>45707</v>
      </c>
      <c r="D319" s="2">
        <v>45737</v>
      </c>
      <c r="E319">
        <v>1471.82</v>
      </c>
      <c r="F319" t="s">
        <v>817</v>
      </c>
      <c r="G319" t="s">
        <v>819</v>
      </c>
      <c r="I319" t="s">
        <v>822</v>
      </c>
    </row>
    <row r="320" spans="1:9" x14ac:dyDescent="0.35">
      <c r="A320" t="s">
        <v>327</v>
      </c>
      <c r="B320" t="s">
        <v>811</v>
      </c>
      <c r="C320" s="2">
        <v>45391</v>
      </c>
      <c r="D320" s="2">
        <v>45421</v>
      </c>
      <c r="E320">
        <v>1830.02</v>
      </c>
      <c r="F320" t="s">
        <v>816</v>
      </c>
      <c r="G320" t="s">
        <v>821</v>
      </c>
      <c r="H320" s="2">
        <v>45421</v>
      </c>
      <c r="I320" t="s">
        <v>822</v>
      </c>
    </row>
    <row r="321" spans="1:9" x14ac:dyDescent="0.35">
      <c r="A321" t="s">
        <v>328</v>
      </c>
      <c r="B321" t="s">
        <v>811</v>
      </c>
      <c r="C321" s="2">
        <v>44979</v>
      </c>
      <c r="D321" s="2">
        <v>45009</v>
      </c>
      <c r="E321">
        <v>4995.3900000000003</v>
      </c>
      <c r="F321" t="s">
        <v>815</v>
      </c>
      <c r="G321" t="s">
        <v>820</v>
      </c>
      <c r="I321" t="s">
        <v>822</v>
      </c>
    </row>
    <row r="322" spans="1:9" x14ac:dyDescent="0.35">
      <c r="A322" t="s">
        <v>329</v>
      </c>
      <c r="B322" t="s">
        <v>811</v>
      </c>
      <c r="C322" s="2">
        <v>45068</v>
      </c>
      <c r="D322" s="2">
        <v>45098</v>
      </c>
      <c r="E322">
        <v>4822.93</v>
      </c>
      <c r="F322" t="s">
        <v>818</v>
      </c>
      <c r="G322" t="s">
        <v>820</v>
      </c>
      <c r="I322" t="s">
        <v>822</v>
      </c>
    </row>
    <row r="323" spans="1:9" x14ac:dyDescent="0.35">
      <c r="A323" t="s">
        <v>330</v>
      </c>
      <c r="B323" t="s">
        <v>809</v>
      </c>
      <c r="C323" s="2">
        <v>44928</v>
      </c>
      <c r="D323" s="2">
        <v>44958</v>
      </c>
      <c r="E323">
        <v>1174.97</v>
      </c>
      <c r="F323" t="s">
        <v>817</v>
      </c>
      <c r="G323" t="s">
        <v>821</v>
      </c>
      <c r="H323" s="2">
        <v>44958</v>
      </c>
      <c r="I323" t="s">
        <v>822</v>
      </c>
    </row>
    <row r="324" spans="1:9" x14ac:dyDescent="0.35">
      <c r="A324" t="s">
        <v>331</v>
      </c>
      <c r="B324" t="s">
        <v>812</v>
      </c>
      <c r="C324" s="2">
        <v>45387</v>
      </c>
      <c r="D324" s="2">
        <v>45417</v>
      </c>
      <c r="E324">
        <v>1018.67</v>
      </c>
      <c r="F324" t="s">
        <v>814</v>
      </c>
      <c r="G324" t="s">
        <v>820</v>
      </c>
      <c r="I324" t="s">
        <v>822</v>
      </c>
    </row>
    <row r="325" spans="1:9" x14ac:dyDescent="0.35">
      <c r="A325" t="s">
        <v>332</v>
      </c>
      <c r="B325" t="s">
        <v>813</v>
      </c>
      <c r="C325" s="2">
        <v>45528</v>
      </c>
      <c r="D325" s="2">
        <v>45558</v>
      </c>
      <c r="E325">
        <v>525.23</v>
      </c>
      <c r="F325" t="s">
        <v>818</v>
      </c>
      <c r="G325" t="s">
        <v>819</v>
      </c>
      <c r="I325" t="s">
        <v>822</v>
      </c>
    </row>
    <row r="326" spans="1:9" x14ac:dyDescent="0.35">
      <c r="A326" t="s">
        <v>333</v>
      </c>
      <c r="B326" t="s">
        <v>813</v>
      </c>
      <c r="C326" s="2">
        <v>45014</v>
      </c>
      <c r="D326" s="2">
        <v>45044</v>
      </c>
      <c r="E326">
        <v>4607.07</v>
      </c>
      <c r="F326" t="s">
        <v>817</v>
      </c>
      <c r="G326" t="s">
        <v>819</v>
      </c>
      <c r="I326" t="s">
        <v>822</v>
      </c>
    </row>
    <row r="327" spans="1:9" x14ac:dyDescent="0.35">
      <c r="A327" t="s">
        <v>334</v>
      </c>
      <c r="B327" t="s">
        <v>809</v>
      </c>
      <c r="C327" s="2">
        <v>45054</v>
      </c>
      <c r="D327" s="2">
        <v>45084</v>
      </c>
      <c r="E327">
        <v>2792.15</v>
      </c>
      <c r="F327" t="s">
        <v>815</v>
      </c>
      <c r="G327" t="s">
        <v>821</v>
      </c>
      <c r="H327" s="2">
        <v>45084</v>
      </c>
      <c r="I327" t="s">
        <v>822</v>
      </c>
    </row>
    <row r="328" spans="1:9" x14ac:dyDescent="0.35">
      <c r="A328" t="s">
        <v>335</v>
      </c>
      <c r="B328" t="s">
        <v>809</v>
      </c>
      <c r="C328" s="2">
        <v>45511</v>
      </c>
      <c r="D328" s="2">
        <v>45541</v>
      </c>
      <c r="E328">
        <v>3719.04</v>
      </c>
      <c r="F328" t="s">
        <v>816</v>
      </c>
      <c r="G328" t="s">
        <v>819</v>
      </c>
      <c r="I328" t="s">
        <v>822</v>
      </c>
    </row>
    <row r="329" spans="1:9" x14ac:dyDescent="0.35">
      <c r="A329" t="s">
        <v>336</v>
      </c>
      <c r="B329" t="s">
        <v>810</v>
      </c>
      <c r="C329" s="2">
        <v>45576</v>
      </c>
      <c r="D329" s="2">
        <v>45606</v>
      </c>
      <c r="E329">
        <v>4169.05</v>
      </c>
      <c r="F329" t="s">
        <v>814</v>
      </c>
      <c r="G329" t="s">
        <v>821</v>
      </c>
      <c r="H329" s="2">
        <v>45606</v>
      </c>
      <c r="I329" t="s">
        <v>822</v>
      </c>
    </row>
    <row r="330" spans="1:9" x14ac:dyDescent="0.35">
      <c r="A330" t="s">
        <v>337</v>
      </c>
      <c r="B330" t="s">
        <v>812</v>
      </c>
      <c r="C330" s="2">
        <v>45643</v>
      </c>
      <c r="D330" s="2">
        <v>45673</v>
      </c>
      <c r="E330">
        <v>1405.35</v>
      </c>
      <c r="F330" t="s">
        <v>818</v>
      </c>
      <c r="G330" t="s">
        <v>819</v>
      </c>
      <c r="I330" t="s">
        <v>822</v>
      </c>
    </row>
    <row r="331" spans="1:9" x14ac:dyDescent="0.35">
      <c r="A331" t="s">
        <v>338</v>
      </c>
      <c r="B331" t="s">
        <v>812</v>
      </c>
      <c r="C331" s="2">
        <v>45401</v>
      </c>
      <c r="D331" s="2">
        <v>45431</v>
      </c>
      <c r="E331">
        <v>4512.4399999999996</v>
      </c>
      <c r="F331" t="s">
        <v>818</v>
      </c>
      <c r="G331" t="s">
        <v>820</v>
      </c>
      <c r="I331" t="s">
        <v>822</v>
      </c>
    </row>
    <row r="332" spans="1:9" x14ac:dyDescent="0.35">
      <c r="A332" t="s">
        <v>339</v>
      </c>
      <c r="B332" t="s">
        <v>811</v>
      </c>
      <c r="C332" s="2">
        <v>45395</v>
      </c>
      <c r="D332" s="2">
        <v>45425</v>
      </c>
      <c r="E332">
        <v>1855.47</v>
      </c>
      <c r="F332" t="s">
        <v>814</v>
      </c>
      <c r="G332" t="s">
        <v>819</v>
      </c>
      <c r="I332" t="s">
        <v>822</v>
      </c>
    </row>
    <row r="333" spans="1:9" x14ac:dyDescent="0.35">
      <c r="A333" t="s">
        <v>340</v>
      </c>
      <c r="B333" t="s">
        <v>810</v>
      </c>
      <c r="C333" s="2">
        <v>45633</v>
      </c>
      <c r="D333" s="2">
        <v>45663</v>
      </c>
      <c r="E333">
        <v>1596.9</v>
      </c>
      <c r="F333" t="s">
        <v>815</v>
      </c>
      <c r="G333" t="s">
        <v>821</v>
      </c>
      <c r="H333" s="2">
        <v>45663</v>
      </c>
      <c r="I333" t="s">
        <v>822</v>
      </c>
    </row>
    <row r="334" spans="1:9" x14ac:dyDescent="0.35">
      <c r="A334" t="s">
        <v>341</v>
      </c>
      <c r="B334" t="s">
        <v>810</v>
      </c>
      <c r="C334" s="2">
        <v>44949</v>
      </c>
      <c r="D334" s="2">
        <v>44979</v>
      </c>
      <c r="E334">
        <v>176.54</v>
      </c>
      <c r="F334" t="s">
        <v>815</v>
      </c>
      <c r="G334" t="s">
        <v>821</v>
      </c>
      <c r="H334" s="2">
        <v>44979</v>
      </c>
      <c r="I334" t="s">
        <v>822</v>
      </c>
    </row>
    <row r="335" spans="1:9" x14ac:dyDescent="0.35">
      <c r="A335" t="s">
        <v>342</v>
      </c>
      <c r="B335" t="s">
        <v>811</v>
      </c>
      <c r="C335" s="2">
        <v>45705</v>
      </c>
      <c r="D335" s="2">
        <v>45735</v>
      </c>
      <c r="E335">
        <v>1225.82</v>
      </c>
      <c r="F335" t="s">
        <v>815</v>
      </c>
      <c r="G335" t="s">
        <v>819</v>
      </c>
      <c r="I335" t="s">
        <v>822</v>
      </c>
    </row>
    <row r="336" spans="1:9" x14ac:dyDescent="0.35">
      <c r="A336" t="s">
        <v>343</v>
      </c>
      <c r="B336" t="s">
        <v>809</v>
      </c>
      <c r="C336" s="2">
        <v>45321</v>
      </c>
      <c r="D336" s="2">
        <v>45351</v>
      </c>
      <c r="E336">
        <v>355.21</v>
      </c>
      <c r="F336" t="s">
        <v>815</v>
      </c>
      <c r="G336" t="s">
        <v>819</v>
      </c>
      <c r="I336" t="s">
        <v>822</v>
      </c>
    </row>
    <row r="337" spans="1:9" x14ac:dyDescent="0.35">
      <c r="A337" t="s">
        <v>344</v>
      </c>
      <c r="B337" t="s">
        <v>812</v>
      </c>
      <c r="C337" s="2">
        <v>45736</v>
      </c>
      <c r="D337" s="2">
        <v>45766</v>
      </c>
      <c r="E337">
        <v>4628.8599999999997</v>
      </c>
      <c r="F337" t="s">
        <v>814</v>
      </c>
      <c r="G337" t="s">
        <v>821</v>
      </c>
      <c r="H337" s="2">
        <v>45766</v>
      </c>
      <c r="I337" t="s">
        <v>822</v>
      </c>
    </row>
    <row r="338" spans="1:9" x14ac:dyDescent="0.35">
      <c r="A338" t="s">
        <v>345</v>
      </c>
      <c r="B338" t="s">
        <v>813</v>
      </c>
      <c r="C338" s="2">
        <v>45268</v>
      </c>
      <c r="D338" s="2">
        <v>45298</v>
      </c>
      <c r="E338">
        <v>2845.8</v>
      </c>
      <c r="F338" t="s">
        <v>814</v>
      </c>
      <c r="G338" t="s">
        <v>820</v>
      </c>
      <c r="I338" t="s">
        <v>822</v>
      </c>
    </row>
    <row r="339" spans="1:9" x14ac:dyDescent="0.35">
      <c r="A339" t="s">
        <v>346</v>
      </c>
      <c r="B339" t="s">
        <v>811</v>
      </c>
      <c r="C339" s="2">
        <v>45810</v>
      </c>
      <c r="D339" s="2">
        <v>45840</v>
      </c>
      <c r="E339">
        <v>1566.29</v>
      </c>
      <c r="F339" t="s">
        <v>814</v>
      </c>
      <c r="G339" t="s">
        <v>819</v>
      </c>
      <c r="I339" t="s">
        <v>822</v>
      </c>
    </row>
    <row r="340" spans="1:9" x14ac:dyDescent="0.35">
      <c r="A340" t="s">
        <v>347</v>
      </c>
      <c r="B340" t="s">
        <v>812</v>
      </c>
      <c r="C340" s="2">
        <v>45235</v>
      </c>
      <c r="D340" s="2">
        <v>45265</v>
      </c>
      <c r="E340">
        <v>4917.53</v>
      </c>
      <c r="F340" t="s">
        <v>814</v>
      </c>
      <c r="G340" t="s">
        <v>821</v>
      </c>
      <c r="H340" s="2">
        <v>45265</v>
      </c>
      <c r="I340" t="s">
        <v>822</v>
      </c>
    </row>
    <row r="341" spans="1:9" x14ac:dyDescent="0.35">
      <c r="A341" t="s">
        <v>348</v>
      </c>
      <c r="B341" t="s">
        <v>813</v>
      </c>
      <c r="C341" s="2">
        <v>45282</v>
      </c>
      <c r="D341" s="2">
        <v>45312</v>
      </c>
      <c r="E341">
        <v>2748.45</v>
      </c>
      <c r="F341" t="s">
        <v>816</v>
      </c>
      <c r="G341" t="s">
        <v>819</v>
      </c>
      <c r="I341" t="s">
        <v>822</v>
      </c>
    </row>
    <row r="342" spans="1:9" x14ac:dyDescent="0.35">
      <c r="A342" t="s">
        <v>349</v>
      </c>
      <c r="B342" t="s">
        <v>812</v>
      </c>
      <c r="C342" s="2">
        <v>45672</v>
      </c>
      <c r="D342" s="2">
        <v>45702</v>
      </c>
      <c r="E342">
        <v>2910.56</v>
      </c>
      <c r="F342" t="s">
        <v>818</v>
      </c>
      <c r="G342" t="s">
        <v>821</v>
      </c>
      <c r="H342" s="2">
        <v>45702</v>
      </c>
      <c r="I342" t="s">
        <v>822</v>
      </c>
    </row>
    <row r="343" spans="1:9" x14ac:dyDescent="0.35">
      <c r="A343" t="s">
        <v>350</v>
      </c>
      <c r="B343" t="s">
        <v>811</v>
      </c>
      <c r="C343" s="2">
        <v>45831</v>
      </c>
      <c r="D343" s="2">
        <v>45861</v>
      </c>
      <c r="E343">
        <v>728.89</v>
      </c>
      <c r="F343" t="s">
        <v>817</v>
      </c>
      <c r="G343" t="s">
        <v>820</v>
      </c>
      <c r="I343" t="s">
        <v>822</v>
      </c>
    </row>
    <row r="344" spans="1:9" x14ac:dyDescent="0.35">
      <c r="A344" t="s">
        <v>351</v>
      </c>
      <c r="B344" t="s">
        <v>809</v>
      </c>
      <c r="C344" s="2">
        <v>44981</v>
      </c>
      <c r="D344" s="2">
        <v>45011</v>
      </c>
      <c r="E344">
        <v>1790.61</v>
      </c>
      <c r="F344" t="s">
        <v>817</v>
      </c>
      <c r="G344" t="s">
        <v>820</v>
      </c>
      <c r="I344" t="s">
        <v>822</v>
      </c>
    </row>
    <row r="345" spans="1:9" x14ac:dyDescent="0.35">
      <c r="A345" t="s">
        <v>352</v>
      </c>
      <c r="B345" t="s">
        <v>812</v>
      </c>
      <c r="C345" s="2">
        <v>45358</v>
      </c>
      <c r="D345" s="2">
        <v>45388</v>
      </c>
      <c r="E345">
        <v>3085.28</v>
      </c>
      <c r="F345" t="s">
        <v>816</v>
      </c>
      <c r="G345" t="s">
        <v>821</v>
      </c>
      <c r="H345" s="2">
        <v>45388</v>
      </c>
      <c r="I345" t="s">
        <v>822</v>
      </c>
    </row>
    <row r="346" spans="1:9" x14ac:dyDescent="0.35">
      <c r="A346" t="s">
        <v>353</v>
      </c>
      <c r="B346" t="s">
        <v>810</v>
      </c>
      <c r="C346" s="2">
        <v>45154</v>
      </c>
      <c r="D346" s="2">
        <v>45184</v>
      </c>
      <c r="E346">
        <v>899.5</v>
      </c>
      <c r="F346" t="s">
        <v>816</v>
      </c>
      <c r="G346" t="s">
        <v>819</v>
      </c>
      <c r="I346" t="s">
        <v>822</v>
      </c>
    </row>
    <row r="347" spans="1:9" x14ac:dyDescent="0.35">
      <c r="A347" t="s">
        <v>354</v>
      </c>
      <c r="B347" t="s">
        <v>812</v>
      </c>
      <c r="C347" s="2">
        <v>44937</v>
      </c>
      <c r="D347" s="2">
        <v>44967</v>
      </c>
      <c r="E347">
        <v>1797.02</v>
      </c>
      <c r="F347" t="s">
        <v>817</v>
      </c>
      <c r="G347" t="s">
        <v>819</v>
      </c>
      <c r="I347" t="s">
        <v>822</v>
      </c>
    </row>
    <row r="348" spans="1:9" x14ac:dyDescent="0.35">
      <c r="A348" t="s">
        <v>355</v>
      </c>
      <c r="B348" t="s">
        <v>811</v>
      </c>
      <c r="C348" s="2">
        <v>45169</v>
      </c>
      <c r="D348" s="2">
        <v>45199</v>
      </c>
      <c r="E348">
        <v>4901.42</v>
      </c>
      <c r="F348" t="s">
        <v>815</v>
      </c>
      <c r="G348" t="s">
        <v>819</v>
      </c>
      <c r="I348" t="s">
        <v>822</v>
      </c>
    </row>
    <row r="349" spans="1:9" x14ac:dyDescent="0.35">
      <c r="A349" t="s">
        <v>356</v>
      </c>
      <c r="B349" t="s">
        <v>812</v>
      </c>
      <c r="C349" s="2">
        <v>44962</v>
      </c>
      <c r="D349" s="2">
        <v>44992</v>
      </c>
      <c r="E349">
        <v>4612.1400000000003</v>
      </c>
      <c r="F349" t="s">
        <v>816</v>
      </c>
      <c r="G349" t="s">
        <v>821</v>
      </c>
      <c r="H349" s="2">
        <v>44992</v>
      </c>
      <c r="I349" t="s">
        <v>822</v>
      </c>
    </row>
    <row r="350" spans="1:9" x14ac:dyDescent="0.35">
      <c r="A350" t="s">
        <v>357</v>
      </c>
      <c r="B350" t="s">
        <v>809</v>
      </c>
      <c r="C350" s="2">
        <v>45452</v>
      </c>
      <c r="D350" s="2">
        <v>45482</v>
      </c>
      <c r="E350">
        <v>3151.2</v>
      </c>
      <c r="F350" t="s">
        <v>815</v>
      </c>
      <c r="G350" t="s">
        <v>820</v>
      </c>
      <c r="I350" t="s">
        <v>822</v>
      </c>
    </row>
    <row r="351" spans="1:9" x14ac:dyDescent="0.35">
      <c r="A351" t="s">
        <v>358</v>
      </c>
      <c r="B351" t="s">
        <v>812</v>
      </c>
      <c r="C351" s="2">
        <v>45372</v>
      </c>
      <c r="D351" s="2">
        <v>45402</v>
      </c>
      <c r="E351">
        <v>4219.03</v>
      </c>
      <c r="F351" t="s">
        <v>818</v>
      </c>
      <c r="G351" t="s">
        <v>821</v>
      </c>
      <c r="H351" s="2">
        <v>45402</v>
      </c>
      <c r="I351" t="s">
        <v>822</v>
      </c>
    </row>
    <row r="352" spans="1:9" x14ac:dyDescent="0.35">
      <c r="A352" t="s">
        <v>359</v>
      </c>
      <c r="B352" t="s">
        <v>811</v>
      </c>
      <c r="C352" s="2">
        <v>45273</v>
      </c>
      <c r="D352" s="2">
        <v>45303</v>
      </c>
      <c r="E352">
        <v>4971.99</v>
      </c>
      <c r="F352" t="s">
        <v>814</v>
      </c>
      <c r="G352" t="s">
        <v>819</v>
      </c>
      <c r="I352" t="s">
        <v>822</v>
      </c>
    </row>
    <row r="353" spans="1:9" x14ac:dyDescent="0.35">
      <c r="A353" t="s">
        <v>360</v>
      </c>
      <c r="B353" t="s">
        <v>810</v>
      </c>
      <c r="C353" s="2">
        <v>45281</v>
      </c>
      <c r="D353" s="2">
        <v>45311</v>
      </c>
      <c r="E353">
        <v>3366.62</v>
      </c>
      <c r="F353" t="s">
        <v>816</v>
      </c>
      <c r="G353" t="s">
        <v>821</v>
      </c>
      <c r="H353" s="2">
        <v>45311</v>
      </c>
      <c r="I353" t="s">
        <v>822</v>
      </c>
    </row>
    <row r="354" spans="1:9" x14ac:dyDescent="0.35">
      <c r="A354" t="s">
        <v>361</v>
      </c>
      <c r="B354" t="s">
        <v>813</v>
      </c>
      <c r="C354" s="2">
        <v>45735</v>
      </c>
      <c r="D354" s="2">
        <v>45765</v>
      </c>
      <c r="E354">
        <v>499.9</v>
      </c>
      <c r="F354" t="s">
        <v>815</v>
      </c>
      <c r="G354" t="s">
        <v>821</v>
      </c>
      <c r="H354" s="2">
        <v>45765</v>
      </c>
      <c r="I354" t="s">
        <v>822</v>
      </c>
    </row>
    <row r="355" spans="1:9" x14ac:dyDescent="0.35">
      <c r="A355" t="s">
        <v>362</v>
      </c>
      <c r="B355" t="s">
        <v>810</v>
      </c>
      <c r="C355" s="2">
        <v>45197</v>
      </c>
      <c r="D355" s="2">
        <v>45227</v>
      </c>
      <c r="E355">
        <v>4834.01</v>
      </c>
      <c r="F355" t="s">
        <v>816</v>
      </c>
      <c r="G355" t="s">
        <v>821</v>
      </c>
      <c r="H355" s="2">
        <v>45227</v>
      </c>
      <c r="I355" t="s">
        <v>822</v>
      </c>
    </row>
    <row r="356" spans="1:9" x14ac:dyDescent="0.35">
      <c r="A356" t="s">
        <v>363</v>
      </c>
      <c r="B356" t="s">
        <v>813</v>
      </c>
      <c r="C356" s="2">
        <v>45027</v>
      </c>
      <c r="D356" s="2">
        <v>45057</v>
      </c>
      <c r="E356">
        <v>1132.31</v>
      </c>
      <c r="F356" t="s">
        <v>817</v>
      </c>
      <c r="G356" t="s">
        <v>820</v>
      </c>
      <c r="I356" t="s">
        <v>822</v>
      </c>
    </row>
    <row r="357" spans="1:9" x14ac:dyDescent="0.35">
      <c r="A357" t="s">
        <v>364</v>
      </c>
      <c r="B357" t="s">
        <v>813</v>
      </c>
      <c r="C357" s="2">
        <v>45797</v>
      </c>
      <c r="D357" s="2">
        <v>45827</v>
      </c>
      <c r="E357">
        <v>239.21</v>
      </c>
      <c r="F357" t="s">
        <v>814</v>
      </c>
      <c r="G357" t="s">
        <v>820</v>
      </c>
      <c r="I357" t="s">
        <v>822</v>
      </c>
    </row>
    <row r="358" spans="1:9" x14ac:dyDescent="0.35">
      <c r="A358" t="s">
        <v>365</v>
      </c>
      <c r="B358" t="s">
        <v>809</v>
      </c>
      <c r="C358" s="2">
        <v>45190</v>
      </c>
      <c r="D358" s="2">
        <v>45220</v>
      </c>
      <c r="E358">
        <v>1990.65</v>
      </c>
      <c r="F358" t="s">
        <v>814</v>
      </c>
      <c r="G358" t="s">
        <v>819</v>
      </c>
      <c r="I358" t="s">
        <v>822</v>
      </c>
    </row>
    <row r="359" spans="1:9" x14ac:dyDescent="0.35">
      <c r="A359" t="s">
        <v>366</v>
      </c>
      <c r="B359" t="s">
        <v>809</v>
      </c>
      <c r="C359" s="2">
        <v>45160</v>
      </c>
      <c r="D359" s="2">
        <v>45190</v>
      </c>
      <c r="E359">
        <v>4029.65</v>
      </c>
      <c r="F359" t="s">
        <v>815</v>
      </c>
      <c r="G359" t="s">
        <v>821</v>
      </c>
      <c r="H359" s="2">
        <v>45190</v>
      </c>
      <c r="I359" t="s">
        <v>822</v>
      </c>
    </row>
    <row r="360" spans="1:9" x14ac:dyDescent="0.35">
      <c r="A360" t="s">
        <v>367</v>
      </c>
      <c r="B360" t="s">
        <v>810</v>
      </c>
      <c r="C360" s="2">
        <v>45545</v>
      </c>
      <c r="D360" s="2">
        <v>45575</v>
      </c>
      <c r="E360">
        <v>1667.66</v>
      </c>
      <c r="F360" t="s">
        <v>818</v>
      </c>
      <c r="G360" t="s">
        <v>819</v>
      </c>
      <c r="I360" t="s">
        <v>822</v>
      </c>
    </row>
    <row r="361" spans="1:9" x14ac:dyDescent="0.35">
      <c r="A361" t="s">
        <v>368</v>
      </c>
      <c r="B361" t="s">
        <v>810</v>
      </c>
      <c r="C361" s="2">
        <v>45325</v>
      </c>
      <c r="D361" s="2">
        <v>45355</v>
      </c>
      <c r="E361">
        <v>687.7</v>
      </c>
      <c r="F361" t="s">
        <v>818</v>
      </c>
      <c r="G361" t="s">
        <v>819</v>
      </c>
      <c r="I361" t="s">
        <v>822</v>
      </c>
    </row>
    <row r="362" spans="1:9" x14ac:dyDescent="0.35">
      <c r="A362" t="s">
        <v>369</v>
      </c>
      <c r="B362" t="s">
        <v>812</v>
      </c>
      <c r="C362" s="2">
        <v>45174</v>
      </c>
      <c r="D362" s="2">
        <v>45204</v>
      </c>
      <c r="E362">
        <v>1555.59</v>
      </c>
      <c r="F362" t="s">
        <v>817</v>
      </c>
      <c r="G362" t="s">
        <v>821</v>
      </c>
      <c r="H362" s="2">
        <v>45204</v>
      </c>
      <c r="I362" t="s">
        <v>822</v>
      </c>
    </row>
    <row r="363" spans="1:9" x14ac:dyDescent="0.35">
      <c r="A363" t="s">
        <v>370</v>
      </c>
      <c r="B363" t="s">
        <v>809</v>
      </c>
      <c r="C363" s="2">
        <v>45298</v>
      </c>
      <c r="D363" s="2">
        <v>45328</v>
      </c>
      <c r="E363">
        <v>937.69</v>
      </c>
      <c r="F363" t="s">
        <v>818</v>
      </c>
      <c r="G363" t="s">
        <v>821</v>
      </c>
      <c r="H363" s="2">
        <v>45328</v>
      </c>
      <c r="I363" t="s">
        <v>822</v>
      </c>
    </row>
    <row r="364" spans="1:9" x14ac:dyDescent="0.35">
      <c r="A364" t="s">
        <v>371</v>
      </c>
      <c r="B364" t="s">
        <v>811</v>
      </c>
      <c r="C364" s="2">
        <v>45307</v>
      </c>
      <c r="D364" s="2">
        <v>45337</v>
      </c>
      <c r="E364">
        <v>2005.72</v>
      </c>
      <c r="F364" t="s">
        <v>817</v>
      </c>
      <c r="G364" t="s">
        <v>821</v>
      </c>
      <c r="H364" s="2">
        <v>45337</v>
      </c>
      <c r="I364" t="s">
        <v>822</v>
      </c>
    </row>
    <row r="365" spans="1:9" x14ac:dyDescent="0.35">
      <c r="A365" t="s">
        <v>372</v>
      </c>
      <c r="B365" t="s">
        <v>809</v>
      </c>
      <c r="C365" s="2">
        <v>45306</v>
      </c>
      <c r="D365" s="2">
        <v>45336</v>
      </c>
      <c r="E365">
        <v>4353.25</v>
      </c>
      <c r="F365" t="s">
        <v>815</v>
      </c>
      <c r="G365" t="s">
        <v>821</v>
      </c>
      <c r="H365" s="2">
        <v>45336</v>
      </c>
      <c r="I365" t="s">
        <v>822</v>
      </c>
    </row>
    <row r="366" spans="1:9" x14ac:dyDescent="0.35">
      <c r="A366" t="s">
        <v>373</v>
      </c>
      <c r="B366" t="s">
        <v>809</v>
      </c>
      <c r="C366" s="2">
        <v>45653</v>
      </c>
      <c r="D366" s="2">
        <v>45683</v>
      </c>
      <c r="E366">
        <v>2122.23</v>
      </c>
      <c r="F366" t="s">
        <v>818</v>
      </c>
      <c r="G366" t="s">
        <v>819</v>
      </c>
      <c r="I366" t="s">
        <v>822</v>
      </c>
    </row>
    <row r="367" spans="1:9" x14ac:dyDescent="0.35">
      <c r="A367" t="s">
        <v>374</v>
      </c>
      <c r="B367" t="s">
        <v>813</v>
      </c>
      <c r="C367" s="2">
        <v>45756</v>
      </c>
      <c r="D367" s="2">
        <v>45786</v>
      </c>
      <c r="E367">
        <v>3957.87</v>
      </c>
      <c r="F367" t="s">
        <v>815</v>
      </c>
      <c r="G367" t="s">
        <v>820</v>
      </c>
      <c r="I367" t="s">
        <v>822</v>
      </c>
    </row>
    <row r="368" spans="1:9" x14ac:dyDescent="0.35">
      <c r="A368" t="s">
        <v>375</v>
      </c>
      <c r="B368" t="s">
        <v>809</v>
      </c>
      <c r="C368" s="2">
        <v>45495</v>
      </c>
      <c r="D368" s="2">
        <v>45525</v>
      </c>
      <c r="E368">
        <v>3266.74</v>
      </c>
      <c r="F368" t="s">
        <v>818</v>
      </c>
      <c r="G368" t="s">
        <v>820</v>
      </c>
      <c r="I368" t="s">
        <v>822</v>
      </c>
    </row>
    <row r="369" spans="1:9" x14ac:dyDescent="0.35">
      <c r="A369" t="s">
        <v>376</v>
      </c>
      <c r="B369" t="s">
        <v>813</v>
      </c>
      <c r="C369" s="2">
        <v>45411</v>
      </c>
      <c r="D369" s="2">
        <v>45441</v>
      </c>
      <c r="E369">
        <v>4729.29</v>
      </c>
      <c r="F369" t="s">
        <v>818</v>
      </c>
      <c r="G369" t="s">
        <v>820</v>
      </c>
      <c r="I369" t="s">
        <v>822</v>
      </c>
    </row>
    <row r="370" spans="1:9" x14ac:dyDescent="0.35">
      <c r="A370" t="s">
        <v>377</v>
      </c>
      <c r="B370" t="s">
        <v>811</v>
      </c>
      <c r="C370" s="2">
        <v>45731</v>
      </c>
      <c r="D370" s="2">
        <v>45761</v>
      </c>
      <c r="E370">
        <v>1404.93</v>
      </c>
      <c r="F370" t="s">
        <v>818</v>
      </c>
      <c r="G370" t="s">
        <v>820</v>
      </c>
      <c r="I370" t="s">
        <v>822</v>
      </c>
    </row>
    <row r="371" spans="1:9" x14ac:dyDescent="0.35">
      <c r="A371" t="s">
        <v>378</v>
      </c>
      <c r="B371" t="s">
        <v>813</v>
      </c>
      <c r="C371" s="2">
        <v>45631</v>
      </c>
      <c r="D371" s="2">
        <v>45661</v>
      </c>
      <c r="E371">
        <v>2397.5100000000002</v>
      </c>
      <c r="F371" t="s">
        <v>815</v>
      </c>
      <c r="G371" t="s">
        <v>820</v>
      </c>
      <c r="I371" t="s">
        <v>822</v>
      </c>
    </row>
    <row r="372" spans="1:9" x14ac:dyDescent="0.35">
      <c r="A372" t="s">
        <v>379</v>
      </c>
      <c r="B372" t="s">
        <v>813</v>
      </c>
      <c r="C372" s="2">
        <v>45005</v>
      </c>
      <c r="D372" s="2">
        <v>45035</v>
      </c>
      <c r="E372">
        <v>3324.14</v>
      </c>
      <c r="F372" t="s">
        <v>818</v>
      </c>
      <c r="G372" t="s">
        <v>821</v>
      </c>
      <c r="H372" s="2">
        <v>45035</v>
      </c>
      <c r="I372" t="s">
        <v>822</v>
      </c>
    </row>
    <row r="373" spans="1:9" x14ac:dyDescent="0.35">
      <c r="A373" t="s">
        <v>380</v>
      </c>
      <c r="B373" t="s">
        <v>812</v>
      </c>
      <c r="C373" s="2">
        <v>45290</v>
      </c>
      <c r="D373" s="2">
        <v>45320</v>
      </c>
      <c r="E373">
        <v>4000.08</v>
      </c>
      <c r="F373" t="s">
        <v>816</v>
      </c>
      <c r="G373" t="s">
        <v>819</v>
      </c>
      <c r="I373" t="s">
        <v>822</v>
      </c>
    </row>
    <row r="374" spans="1:9" x14ac:dyDescent="0.35">
      <c r="A374" t="s">
        <v>381</v>
      </c>
      <c r="B374" t="s">
        <v>812</v>
      </c>
      <c r="C374" s="2">
        <v>45788</v>
      </c>
      <c r="D374" s="2">
        <v>45818</v>
      </c>
      <c r="E374">
        <v>692.78</v>
      </c>
      <c r="F374" t="s">
        <v>814</v>
      </c>
      <c r="G374" t="s">
        <v>821</v>
      </c>
      <c r="H374" s="2">
        <v>45818</v>
      </c>
      <c r="I374" t="s">
        <v>822</v>
      </c>
    </row>
    <row r="375" spans="1:9" x14ac:dyDescent="0.35">
      <c r="A375" t="s">
        <v>382</v>
      </c>
      <c r="B375" t="s">
        <v>811</v>
      </c>
      <c r="C375" s="2">
        <v>45066</v>
      </c>
      <c r="D375" s="2">
        <v>45096</v>
      </c>
      <c r="E375">
        <v>485.69</v>
      </c>
      <c r="F375" t="s">
        <v>814</v>
      </c>
      <c r="G375" t="s">
        <v>820</v>
      </c>
      <c r="I375" t="s">
        <v>822</v>
      </c>
    </row>
    <row r="376" spans="1:9" x14ac:dyDescent="0.35">
      <c r="A376" t="s">
        <v>383</v>
      </c>
      <c r="B376" t="s">
        <v>813</v>
      </c>
      <c r="C376" s="2">
        <v>45168</v>
      </c>
      <c r="D376" s="2">
        <v>45198</v>
      </c>
      <c r="E376">
        <v>2956.85</v>
      </c>
      <c r="F376" t="s">
        <v>814</v>
      </c>
      <c r="G376" t="s">
        <v>821</v>
      </c>
      <c r="H376" s="2">
        <v>45198</v>
      </c>
      <c r="I376" t="s">
        <v>822</v>
      </c>
    </row>
    <row r="377" spans="1:9" x14ac:dyDescent="0.35">
      <c r="A377" t="s">
        <v>384</v>
      </c>
      <c r="B377" t="s">
        <v>810</v>
      </c>
      <c r="C377" s="2">
        <v>45233</v>
      </c>
      <c r="D377" s="2">
        <v>45263</v>
      </c>
      <c r="E377">
        <v>2455.2600000000002</v>
      </c>
      <c r="F377" t="s">
        <v>815</v>
      </c>
      <c r="G377" t="s">
        <v>820</v>
      </c>
      <c r="I377" t="s">
        <v>822</v>
      </c>
    </row>
    <row r="378" spans="1:9" x14ac:dyDescent="0.35">
      <c r="A378" t="s">
        <v>385</v>
      </c>
      <c r="B378" t="s">
        <v>811</v>
      </c>
      <c r="C378" s="2">
        <v>44958</v>
      </c>
      <c r="D378" s="2">
        <v>44988</v>
      </c>
      <c r="E378">
        <v>852.36</v>
      </c>
      <c r="F378" t="s">
        <v>815</v>
      </c>
      <c r="G378" t="s">
        <v>821</v>
      </c>
      <c r="H378" s="2">
        <v>44988</v>
      </c>
      <c r="I378" t="s">
        <v>822</v>
      </c>
    </row>
    <row r="379" spans="1:9" x14ac:dyDescent="0.35">
      <c r="A379" t="s">
        <v>386</v>
      </c>
      <c r="B379" t="s">
        <v>813</v>
      </c>
      <c r="C379" s="2">
        <v>45129</v>
      </c>
      <c r="D379" s="2">
        <v>45159</v>
      </c>
      <c r="E379">
        <v>4885.47</v>
      </c>
      <c r="F379" t="s">
        <v>814</v>
      </c>
      <c r="G379" t="s">
        <v>820</v>
      </c>
      <c r="I379" t="s">
        <v>822</v>
      </c>
    </row>
    <row r="380" spans="1:9" x14ac:dyDescent="0.35">
      <c r="A380" t="s">
        <v>387</v>
      </c>
      <c r="B380" t="s">
        <v>813</v>
      </c>
      <c r="C380" s="2">
        <v>45521</v>
      </c>
      <c r="D380" s="2">
        <v>45551</v>
      </c>
      <c r="E380">
        <v>3332.33</v>
      </c>
      <c r="F380" t="s">
        <v>817</v>
      </c>
      <c r="G380" t="s">
        <v>819</v>
      </c>
      <c r="I380" t="s">
        <v>822</v>
      </c>
    </row>
    <row r="381" spans="1:9" x14ac:dyDescent="0.35">
      <c r="A381" t="s">
        <v>388</v>
      </c>
      <c r="B381" t="s">
        <v>813</v>
      </c>
      <c r="C381" s="2">
        <v>45170</v>
      </c>
      <c r="D381" s="2">
        <v>45200</v>
      </c>
      <c r="E381">
        <v>431.39</v>
      </c>
      <c r="F381" t="s">
        <v>817</v>
      </c>
      <c r="G381" t="s">
        <v>821</v>
      </c>
      <c r="H381" s="2">
        <v>45200</v>
      </c>
      <c r="I381" t="s">
        <v>822</v>
      </c>
    </row>
    <row r="382" spans="1:9" x14ac:dyDescent="0.35">
      <c r="A382" t="s">
        <v>389</v>
      </c>
      <c r="B382" t="s">
        <v>809</v>
      </c>
      <c r="C382" s="2">
        <v>45363</v>
      </c>
      <c r="D382" s="2">
        <v>45393</v>
      </c>
      <c r="E382">
        <v>2201.16</v>
      </c>
      <c r="F382" t="s">
        <v>816</v>
      </c>
      <c r="G382" t="s">
        <v>819</v>
      </c>
      <c r="I382" t="s">
        <v>822</v>
      </c>
    </row>
    <row r="383" spans="1:9" x14ac:dyDescent="0.35">
      <c r="A383" t="s">
        <v>390</v>
      </c>
      <c r="B383" t="s">
        <v>812</v>
      </c>
      <c r="C383" s="2">
        <v>45552</v>
      </c>
      <c r="D383" s="2">
        <v>45582</v>
      </c>
      <c r="E383">
        <v>726.32</v>
      </c>
      <c r="F383" t="s">
        <v>816</v>
      </c>
      <c r="G383" t="s">
        <v>821</v>
      </c>
      <c r="H383" s="2">
        <v>45582</v>
      </c>
      <c r="I383" t="s">
        <v>822</v>
      </c>
    </row>
    <row r="384" spans="1:9" x14ac:dyDescent="0.35">
      <c r="A384" t="s">
        <v>391</v>
      </c>
      <c r="B384" t="s">
        <v>813</v>
      </c>
      <c r="C384" s="2">
        <v>45329</v>
      </c>
      <c r="D384" s="2">
        <v>45359</v>
      </c>
      <c r="E384">
        <v>4541.1000000000004</v>
      </c>
      <c r="F384" t="s">
        <v>818</v>
      </c>
      <c r="G384" t="s">
        <v>820</v>
      </c>
      <c r="I384" t="s">
        <v>822</v>
      </c>
    </row>
    <row r="385" spans="1:9" x14ac:dyDescent="0.35">
      <c r="A385" t="s">
        <v>392</v>
      </c>
      <c r="B385" t="s">
        <v>810</v>
      </c>
      <c r="C385" s="2">
        <v>45797</v>
      </c>
      <c r="D385" s="2">
        <v>45827</v>
      </c>
      <c r="E385">
        <v>249.48</v>
      </c>
      <c r="F385" t="s">
        <v>815</v>
      </c>
      <c r="G385" t="s">
        <v>821</v>
      </c>
      <c r="H385" s="2">
        <v>45827</v>
      </c>
      <c r="I385" t="s">
        <v>822</v>
      </c>
    </row>
    <row r="386" spans="1:9" x14ac:dyDescent="0.35">
      <c r="A386" t="s">
        <v>393</v>
      </c>
      <c r="B386" t="s">
        <v>809</v>
      </c>
      <c r="C386" s="2">
        <v>45284</v>
      </c>
      <c r="D386" s="2">
        <v>45314</v>
      </c>
      <c r="E386">
        <v>3005.5</v>
      </c>
      <c r="F386" t="s">
        <v>814</v>
      </c>
      <c r="G386" t="s">
        <v>819</v>
      </c>
      <c r="I386" t="s">
        <v>822</v>
      </c>
    </row>
    <row r="387" spans="1:9" x14ac:dyDescent="0.35">
      <c r="A387" t="s">
        <v>394</v>
      </c>
      <c r="B387" t="s">
        <v>813</v>
      </c>
      <c r="C387" s="2">
        <v>44930</v>
      </c>
      <c r="D387" s="2">
        <v>44960</v>
      </c>
      <c r="E387">
        <v>1857.96</v>
      </c>
      <c r="F387" t="s">
        <v>814</v>
      </c>
      <c r="G387" t="s">
        <v>821</v>
      </c>
      <c r="H387" s="2">
        <v>44960</v>
      </c>
      <c r="I387" t="s">
        <v>822</v>
      </c>
    </row>
    <row r="388" spans="1:9" x14ac:dyDescent="0.35">
      <c r="A388" t="s">
        <v>395</v>
      </c>
      <c r="B388" t="s">
        <v>813</v>
      </c>
      <c r="C388" s="2">
        <v>45616</v>
      </c>
      <c r="D388" s="2">
        <v>45646</v>
      </c>
      <c r="E388">
        <v>915.02</v>
      </c>
      <c r="F388" t="s">
        <v>818</v>
      </c>
      <c r="G388" t="s">
        <v>819</v>
      </c>
      <c r="I388" t="s">
        <v>822</v>
      </c>
    </row>
    <row r="389" spans="1:9" x14ac:dyDescent="0.35">
      <c r="A389" t="s">
        <v>396</v>
      </c>
      <c r="B389" t="s">
        <v>809</v>
      </c>
      <c r="C389" s="2">
        <v>45480</v>
      </c>
      <c r="D389" s="2">
        <v>45510</v>
      </c>
      <c r="E389">
        <v>4101.55</v>
      </c>
      <c r="F389" t="s">
        <v>816</v>
      </c>
      <c r="G389" t="s">
        <v>819</v>
      </c>
      <c r="I389" t="s">
        <v>822</v>
      </c>
    </row>
    <row r="390" spans="1:9" x14ac:dyDescent="0.35">
      <c r="A390" t="s">
        <v>397</v>
      </c>
      <c r="B390" t="s">
        <v>812</v>
      </c>
      <c r="C390" s="2">
        <v>45272</v>
      </c>
      <c r="D390" s="2">
        <v>45302</v>
      </c>
      <c r="E390">
        <v>4184.6499999999996</v>
      </c>
      <c r="F390" t="s">
        <v>814</v>
      </c>
      <c r="G390" t="s">
        <v>820</v>
      </c>
      <c r="I390" t="s">
        <v>822</v>
      </c>
    </row>
    <row r="391" spans="1:9" x14ac:dyDescent="0.35">
      <c r="A391" t="s">
        <v>398</v>
      </c>
      <c r="B391" t="s">
        <v>811</v>
      </c>
      <c r="C391" s="2">
        <v>45408</v>
      </c>
      <c r="D391" s="2">
        <v>45438</v>
      </c>
      <c r="E391">
        <v>4769.93</v>
      </c>
      <c r="F391" t="s">
        <v>815</v>
      </c>
      <c r="G391" t="s">
        <v>819</v>
      </c>
      <c r="I391" t="s">
        <v>822</v>
      </c>
    </row>
    <row r="392" spans="1:9" x14ac:dyDescent="0.35">
      <c r="A392" t="s">
        <v>399</v>
      </c>
      <c r="B392" t="s">
        <v>812</v>
      </c>
      <c r="C392" s="2">
        <v>45387</v>
      </c>
      <c r="D392" s="2">
        <v>45417</v>
      </c>
      <c r="E392">
        <v>3082.55</v>
      </c>
      <c r="F392" t="s">
        <v>818</v>
      </c>
      <c r="G392" t="s">
        <v>820</v>
      </c>
      <c r="I392" t="s">
        <v>822</v>
      </c>
    </row>
    <row r="393" spans="1:9" x14ac:dyDescent="0.35">
      <c r="A393" t="s">
        <v>400</v>
      </c>
      <c r="B393" t="s">
        <v>810</v>
      </c>
      <c r="C393" s="2">
        <v>45237</v>
      </c>
      <c r="D393" s="2">
        <v>45267</v>
      </c>
      <c r="E393">
        <v>4720.7700000000004</v>
      </c>
      <c r="F393" t="s">
        <v>817</v>
      </c>
      <c r="G393" t="s">
        <v>821</v>
      </c>
      <c r="H393" s="2">
        <v>45267</v>
      </c>
      <c r="I393" t="s">
        <v>822</v>
      </c>
    </row>
    <row r="394" spans="1:9" x14ac:dyDescent="0.35">
      <c r="A394" t="s">
        <v>401</v>
      </c>
      <c r="B394" t="s">
        <v>810</v>
      </c>
      <c r="C394" s="2">
        <v>45436</v>
      </c>
      <c r="D394" s="2">
        <v>45466</v>
      </c>
      <c r="E394">
        <v>4645.08</v>
      </c>
      <c r="F394" t="s">
        <v>818</v>
      </c>
      <c r="G394" t="s">
        <v>819</v>
      </c>
      <c r="I394" t="s">
        <v>822</v>
      </c>
    </row>
    <row r="395" spans="1:9" x14ac:dyDescent="0.35">
      <c r="A395" t="s">
        <v>402</v>
      </c>
      <c r="B395" t="s">
        <v>810</v>
      </c>
      <c r="C395" s="2">
        <v>45464</v>
      </c>
      <c r="D395" s="2">
        <v>45494</v>
      </c>
      <c r="E395">
        <v>2488.5</v>
      </c>
      <c r="F395" t="s">
        <v>817</v>
      </c>
      <c r="G395" t="s">
        <v>819</v>
      </c>
      <c r="I395" t="s">
        <v>822</v>
      </c>
    </row>
    <row r="396" spans="1:9" x14ac:dyDescent="0.35">
      <c r="A396" t="s">
        <v>403</v>
      </c>
      <c r="B396" t="s">
        <v>812</v>
      </c>
      <c r="C396" s="2">
        <v>45308</v>
      </c>
      <c r="D396" s="2">
        <v>45338</v>
      </c>
      <c r="E396">
        <v>4687.1499999999996</v>
      </c>
      <c r="F396" t="s">
        <v>815</v>
      </c>
      <c r="G396" t="s">
        <v>820</v>
      </c>
      <c r="I396" t="s">
        <v>822</v>
      </c>
    </row>
    <row r="397" spans="1:9" x14ac:dyDescent="0.35">
      <c r="A397" t="s">
        <v>404</v>
      </c>
      <c r="B397" t="s">
        <v>812</v>
      </c>
      <c r="C397" s="2">
        <v>45227</v>
      </c>
      <c r="D397" s="2">
        <v>45257</v>
      </c>
      <c r="E397">
        <v>3299.79</v>
      </c>
      <c r="F397" t="s">
        <v>817</v>
      </c>
      <c r="G397" t="s">
        <v>819</v>
      </c>
      <c r="I397" t="s">
        <v>822</v>
      </c>
    </row>
    <row r="398" spans="1:9" x14ac:dyDescent="0.35">
      <c r="A398" t="s">
        <v>405</v>
      </c>
      <c r="B398" t="s">
        <v>810</v>
      </c>
      <c r="C398" s="2">
        <v>45541</v>
      </c>
      <c r="D398" s="2">
        <v>45571</v>
      </c>
      <c r="E398">
        <v>1150.1099999999999</v>
      </c>
      <c r="F398" t="s">
        <v>816</v>
      </c>
      <c r="G398" t="s">
        <v>821</v>
      </c>
      <c r="H398" s="2">
        <v>45571</v>
      </c>
      <c r="I398" t="s">
        <v>822</v>
      </c>
    </row>
    <row r="399" spans="1:9" x14ac:dyDescent="0.35">
      <c r="A399" t="s">
        <v>406</v>
      </c>
      <c r="B399" t="s">
        <v>812</v>
      </c>
      <c r="C399" s="2">
        <v>45329</v>
      </c>
      <c r="D399" s="2">
        <v>45359</v>
      </c>
      <c r="E399">
        <v>1440.98</v>
      </c>
      <c r="F399" t="s">
        <v>815</v>
      </c>
      <c r="G399" t="s">
        <v>819</v>
      </c>
      <c r="I399" t="s">
        <v>822</v>
      </c>
    </row>
    <row r="400" spans="1:9" x14ac:dyDescent="0.35">
      <c r="A400" t="s">
        <v>407</v>
      </c>
      <c r="B400" t="s">
        <v>811</v>
      </c>
      <c r="C400" s="2">
        <v>45012</v>
      </c>
      <c r="D400" s="2">
        <v>45042</v>
      </c>
      <c r="E400">
        <v>4705.1499999999996</v>
      </c>
      <c r="F400" t="s">
        <v>818</v>
      </c>
      <c r="G400" t="s">
        <v>821</v>
      </c>
      <c r="H400" s="2">
        <v>45042</v>
      </c>
      <c r="I400" t="s">
        <v>822</v>
      </c>
    </row>
    <row r="401" spans="1:9" x14ac:dyDescent="0.35">
      <c r="A401" t="s">
        <v>408</v>
      </c>
      <c r="B401" t="s">
        <v>813</v>
      </c>
      <c r="C401" s="2">
        <v>45086</v>
      </c>
      <c r="D401" s="2">
        <v>45116</v>
      </c>
      <c r="E401">
        <v>4226.8900000000003</v>
      </c>
      <c r="F401" t="s">
        <v>818</v>
      </c>
      <c r="G401" t="s">
        <v>821</v>
      </c>
      <c r="H401" s="2">
        <v>45116</v>
      </c>
      <c r="I401" t="s">
        <v>822</v>
      </c>
    </row>
    <row r="402" spans="1:9" x14ac:dyDescent="0.35">
      <c r="A402" t="s">
        <v>409</v>
      </c>
      <c r="B402" t="s">
        <v>812</v>
      </c>
      <c r="C402" s="2">
        <v>45776</v>
      </c>
      <c r="D402" s="2">
        <v>45806</v>
      </c>
      <c r="E402">
        <v>4706.16</v>
      </c>
      <c r="F402" t="s">
        <v>816</v>
      </c>
      <c r="G402" t="s">
        <v>821</v>
      </c>
      <c r="H402" s="2">
        <v>45806</v>
      </c>
      <c r="I402" t="s">
        <v>822</v>
      </c>
    </row>
    <row r="403" spans="1:9" x14ac:dyDescent="0.35">
      <c r="A403" t="s">
        <v>410</v>
      </c>
      <c r="B403" t="s">
        <v>812</v>
      </c>
      <c r="C403" s="2">
        <v>45145</v>
      </c>
      <c r="D403" s="2">
        <v>45175</v>
      </c>
      <c r="E403">
        <v>4149.5200000000004</v>
      </c>
      <c r="F403" t="s">
        <v>817</v>
      </c>
      <c r="G403" t="s">
        <v>821</v>
      </c>
      <c r="H403" s="2">
        <v>45175</v>
      </c>
      <c r="I403" t="s">
        <v>822</v>
      </c>
    </row>
    <row r="404" spans="1:9" x14ac:dyDescent="0.35">
      <c r="A404" t="s">
        <v>411</v>
      </c>
      <c r="B404" t="s">
        <v>810</v>
      </c>
      <c r="C404" s="2">
        <v>45286</v>
      </c>
      <c r="D404" s="2">
        <v>45316</v>
      </c>
      <c r="E404">
        <v>1586.89</v>
      </c>
      <c r="F404" t="s">
        <v>814</v>
      </c>
      <c r="G404" t="s">
        <v>820</v>
      </c>
      <c r="I404" t="s">
        <v>822</v>
      </c>
    </row>
    <row r="405" spans="1:9" x14ac:dyDescent="0.35">
      <c r="A405" t="s">
        <v>412</v>
      </c>
      <c r="B405" t="s">
        <v>809</v>
      </c>
      <c r="C405" s="2">
        <v>45757</v>
      </c>
      <c r="D405" s="2">
        <v>45787</v>
      </c>
      <c r="E405">
        <v>2473.2600000000002</v>
      </c>
      <c r="F405" t="s">
        <v>817</v>
      </c>
      <c r="G405" t="s">
        <v>819</v>
      </c>
      <c r="I405" t="s">
        <v>822</v>
      </c>
    </row>
    <row r="406" spans="1:9" x14ac:dyDescent="0.35">
      <c r="A406" t="s">
        <v>413</v>
      </c>
      <c r="B406" t="s">
        <v>809</v>
      </c>
      <c r="C406" s="2">
        <v>45577</v>
      </c>
      <c r="D406" s="2">
        <v>45607</v>
      </c>
      <c r="E406">
        <v>3115.36</v>
      </c>
      <c r="F406" t="s">
        <v>816</v>
      </c>
      <c r="G406" t="s">
        <v>819</v>
      </c>
      <c r="I406" t="s">
        <v>822</v>
      </c>
    </row>
    <row r="407" spans="1:9" x14ac:dyDescent="0.35">
      <c r="A407" t="s">
        <v>414</v>
      </c>
      <c r="B407" t="s">
        <v>812</v>
      </c>
      <c r="C407" s="2">
        <v>45775</v>
      </c>
      <c r="D407" s="2">
        <v>45805</v>
      </c>
      <c r="E407">
        <v>2243.81</v>
      </c>
      <c r="F407" t="s">
        <v>818</v>
      </c>
      <c r="G407" t="s">
        <v>821</v>
      </c>
      <c r="H407" s="2">
        <v>45805</v>
      </c>
      <c r="I407" t="s">
        <v>822</v>
      </c>
    </row>
    <row r="408" spans="1:9" x14ac:dyDescent="0.35">
      <c r="A408" t="s">
        <v>415</v>
      </c>
      <c r="B408" t="s">
        <v>810</v>
      </c>
      <c r="C408" s="2">
        <v>45729</v>
      </c>
      <c r="D408" s="2">
        <v>45759</v>
      </c>
      <c r="E408">
        <v>2764.23</v>
      </c>
      <c r="F408" t="s">
        <v>816</v>
      </c>
      <c r="G408" t="s">
        <v>820</v>
      </c>
      <c r="I408" t="s">
        <v>822</v>
      </c>
    </row>
    <row r="409" spans="1:9" x14ac:dyDescent="0.35">
      <c r="A409" t="s">
        <v>416</v>
      </c>
      <c r="B409" t="s">
        <v>813</v>
      </c>
      <c r="C409" s="2">
        <v>45286</v>
      </c>
      <c r="D409" s="2">
        <v>45316</v>
      </c>
      <c r="E409">
        <v>4219.16</v>
      </c>
      <c r="F409" t="s">
        <v>817</v>
      </c>
      <c r="G409" t="s">
        <v>820</v>
      </c>
      <c r="I409" t="s">
        <v>822</v>
      </c>
    </row>
    <row r="410" spans="1:9" x14ac:dyDescent="0.35">
      <c r="A410" t="s">
        <v>417</v>
      </c>
      <c r="B410" t="s">
        <v>812</v>
      </c>
      <c r="C410" s="2">
        <v>45430</v>
      </c>
      <c r="D410" s="2">
        <v>45460</v>
      </c>
      <c r="E410">
        <v>2719.44</v>
      </c>
      <c r="F410" t="s">
        <v>815</v>
      </c>
      <c r="G410" t="s">
        <v>819</v>
      </c>
      <c r="I410" t="s">
        <v>822</v>
      </c>
    </row>
    <row r="411" spans="1:9" x14ac:dyDescent="0.35">
      <c r="A411" t="s">
        <v>418</v>
      </c>
      <c r="B411" t="s">
        <v>813</v>
      </c>
      <c r="C411" s="2">
        <v>45617</v>
      </c>
      <c r="D411" s="2">
        <v>45647</v>
      </c>
      <c r="E411">
        <v>3651.79</v>
      </c>
      <c r="F411" t="s">
        <v>815</v>
      </c>
      <c r="G411" t="s">
        <v>820</v>
      </c>
      <c r="I411" t="s">
        <v>822</v>
      </c>
    </row>
    <row r="412" spans="1:9" x14ac:dyDescent="0.35">
      <c r="A412" t="s">
        <v>419</v>
      </c>
      <c r="B412" t="s">
        <v>812</v>
      </c>
      <c r="C412" s="2">
        <v>45358</v>
      </c>
      <c r="D412" s="2">
        <v>45388</v>
      </c>
      <c r="E412">
        <v>1247.3</v>
      </c>
      <c r="F412" t="s">
        <v>818</v>
      </c>
      <c r="G412" t="s">
        <v>821</v>
      </c>
      <c r="H412" s="2">
        <v>45388</v>
      </c>
      <c r="I412" t="s">
        <v>822</v>
      </c>
    </row>
    <row r="413" spans="1:9" x14ac:dyDescent="0.35">
      <c r="A413" t="s">
        <v>420</v>
      </c>
      <c r="B413" t="s">
        <v>813</v>
      </c>
      <c r="C413" s="2">
        <v>45586</v>
      </c>
      <c r="D413" s="2">
        <v>45616</v>
      </c>
      <c r="E413">
        <v>1665.2</v>
      </c>
      <c r="F413" t="s">
        <v>818</v>
      </c>
      <c r="G413" t="s">
        <v>819</v>
      </c>
      <c r="I413" t="s">
        <v>822</v>
      </c>
    </row>
    <row r="414" spans="1:9" x14ac:dyDescent="0.35">
      <c r="A414" t="s">
        <v>421</v>
      </c>
      <c r="B414" t="s">
        <v>809</v>
      </c>
      <c r="C414" s="2">
        <v>45769</v>
      </c>
      <c r="D414" s="2">
        <v>45799</v>
      </c>
      <c r="E414">
        <v>4157.1000000000004</v>
      </c>
      <c r="F414" t="s">
        <v>816</v>
      </c>
      <c r="G414" t="s">
        <v>820</v>
      </c>
      <c r="I414" t="s">
        <v>822</v>
      </c>
    </row>
    <row r="415" spans="1:9" x14ac:dyDescent="0.35">
      <c r="A415" t="s">
        <v>422</v>
      </c>
      <c r="B415" t="s">
        <v>812</v>
      </c>
      <c r="C415" s="2">
        <v>45078</v>
      </c>
      <c r="D415" s="2">
        <v>45108</v>
      </c>
      <c r="E415">
        <v>4306.1000000000004</v>
      </c>
      <c r="F415" t="s">
        <v>815</v>
      </c>
      <c r="G415" t="s">
        <v>820</v>
      </c>
      <c r="I415" t="s">
        <v>822</v>
      </c>
    </row>
    <row r="416" spans="1:9" x14ac:dyDescent="0.35">
      <c r="A416" t="s">
        <v>423</v>
      </c>
      <c r="B416" t="s">
        <v>811</v>
      </c>
      <c r="C416" s="2">
        <v>45549</v>
      </c>
      <c r="D416" s="2">
        <v>45579</v>
      </c>
      <c r="E416">
        <v>432.27</v>
      </c>
      <c r="F416" t="s">
        <v>818</v>
      </c>
      <c r="G416" t="s">
        <v>821</v>
      </c>
      <c r="H416" s="2">
        <v>45579</v>
      </c>
      <c r="I416" t="s">
        <v>822</v>
      </c>
    </row>
    <row r="417" spans="1:9" x14ac:dyDescent="0.35">
      <c r="A417" t="s">
        <v>424</v>
      </c>
      <c r="B417" t="s">
        <v>809</v>
      </c>
      <c r="C417" s="2">
        <v>45260</v>
      </c>
      <c r="D417" s="2">
        <v>45290</v>
      </c>
      <c r="E417">
        <v>2075.2199999999998</v>
      </c>
      <c r="F417" t="s">
        <v>818</v>
      </c>
      <c r="G417" t="s">
        <v>820</v>
      </c>
      <c r="I417" t="s">
        <v>822</v>
      </c>
    </row>
    <row r="418" spans="1:9" x14ac:dyDescent="0.35">
      <c r="A418" t="s">
        <v>425</v>
      </c>
      <c r="B418" t="s">
        <v>812</v>
      </c>
      <c r="C418" s="2">
        <v>44969</v>
      </c>
      <c r="D418" s="2">
        <v>44999</v>
      </c>
      <c r="E418">
        <v>2515.5700000000002</v>
      </c>
      <c r="F418" t="s">
        <v>816</v>
      </c>
      <c r="G418" t="s">
        <v>819</v>
      </c>
      <c r="I418" t="s">
        <v>822</v>
      </c>
    </row>
    <row r="419" spans="1:9" x14ac:dyDescent="0.35">
      <c r="A419" t="s">
        <v>426</v>
      </c>
      <c r="B419" t="s">
        <v>812</v>
      </c>
      <c r="C419" s="2">
        <v>45265</v>
      </c>
      <c r="D419" s="2">
        <v>45295</v>
      </c>
      <c r="E419">
        <v>1960.15</v>
      </c>
      <c r="F419" t="s">
        <v>817</v>
      </c>
      <c r="G419" t="s">
        <v>820</v>
      </c>
      <c r="I419" t="s">
        <v>822</v>
      </c>
    </row>
    <row r="420" spans="1:9" x14ac:dyDescent="0.35">
      <c r="A420" t="s">
        <v>427</v>
      </c>
      <c r="B420" t="s">
        <v>811</v>
      </c>
      <c r="C420" s="2">
        <v>45131</v>
      </c>
      <c r="D420" s="2">
        <v>45161</v>
      </c>
      <c r="E420">
        <v>3168.02</v>
      </c>
      <c r="F420" t="s">
        <v>818</v>
      </c>
      <c r="G420" t="s">
        <v>820</v>
      </c>
      <c r="I420" t="s">
        <v>822</v>
      </c>
    </row>
    <row r="421" spans="1:9" x14ac:dyDescent="0.35">
      <c r="A421" t="s">
        <v>428</v>
      </c>
      <c r="B421" t="s">
        <v>813</v>
      </c>
      <c r="C421" s="2">
        <v>45077</v>
      </c>
      <c r="D421" s="2">
        <v>45107</v>
      </c>
      <c r="E421">
        <v>576.42999999999995</v>
      </c>
      <c r="F421" t="s">
        <v>817</v>
      </c>
      <c r="G421" t="s">
        <v>821</v>
      </c>
      <c r="H421" s="2">
        <v>45107</v>
      </c>
      <c r="I421" t="s">
        <v>822</v>
      </c>
    </row>
    <row r="422" spans="1:9" x14ac:dyDescent="0.35">
      <c r="A422" t="s">
        <v>429</v>
      </c>
      <c r="B422" t="s">
        <v>812</v>
      </c>
      <c r="C422" s="2">
        <v>45670</v>
      </c>
      <c r="D422" s="2">
        <v>45700</v>
      </c>
      <c r="E422">
        <v>460.35</v>
      </c>
      <c r="F422" t="s">
        <v>817</v>
      </c>
      <c r="G422" t="s">
        <v>819</v>
      </c>
      <c r="I422" t="s">
        <v>822</v>
      </c>
    </row>
    <row r="423" spans="1:9" x14ac:dyDescent="0.35">
      <c r="A423" t="s">
        <v>430</v>
      </c>
      <c r="B423" t="s">
        <v>812</v>
      </c>
      <c r="C423" s="2">
        <v>45704</v>
      </c>
      <c r="D423" s="2">
        <v>45734</v>
      </c>
      <c r="E423">
        <v>2305.42</v>
      </c>
      <c r="F423" t="s">
        <v>817</v>
      </c>
      <c r="G423" t="s">
        <v>819</v>
      </c>
      <c r="I423" t="s">
        <v>822</v>
      </c>
    </row>
    <row r="424" spans="1:9" x14ac:dyDescent="0.35">
      <c r="A424" t="s">
        <v>431</v>
      </c>
      <c r="B424" t="s">
        <v>811</v>
      </c>
      <c r="C424" s="2">
        <v>45276</v>
      </c>
      <c r="D424" s="2">
        <v>45306</v>
      </c>
      <c r="E424">
        <v>2623.62</v>
      </c>
      <c r="F424" t="s">
        <v>816</v>
      </c>
      <c r="G424" t="s">
        <v>820</v>
      </c>
      <c r="I424" t="s">
        <v>822</v>
      </c>
    </row>
    <row r="425" spans="1:9" x14ac:dyDescent="0.35">
      <c r="A425" t="s">
        <v>432</v>
      </c>
      <c r="B425" t="s">
        <v>810</v>
      </c>
      <c r="C425" s="2">
        <v>45342</v>
      </c>
      <c r="D425" s="2">
        <v>45372</v>
      </c>
      <c r="E425">
        <v>1571.77</v>
      </c>
      <c r="F425" t="s">
        <v>814</v>
      </c>
      <c r="G425" t="s">
        <v>819</v>
      </c>
      <c r="I425" t="s">
        <v>822</v>
      </c>
    </row>
    <row r="426" spans="1:9" x14ac:dyDescent="0.35">
      <c r="A426" t="s">
        <v>433</v>
      </c>
      <c r="B426" t="s">
        <v>810</v>
      </c>
      <c r="C426" s="2">
        <v>45061</v>
      </c>
      <c r="D426" s="2">
        <v>45091</v>
      </c>
      <c r="E426">
        <v>4241.5600000000004</v>
      </c>
      <c r="F426" t="s">
        <v>815</v>
      </c>
      <c r="G426" t="s">
        <v>819</v>
      </c>
      <c r="I426" t="s">
        <v>822</v>
      </c>
    </row>
    <row r="427" spans="1:9" x14ac:dyDescent="0.35">
      <c r="A427" t="s">
        <v>434</v>
      </c>
      <c r="B427" t="s">
        <v>809</v>
      </c>
      <c r="C427" s="2">
        <v>45086</v>
      </c>
      <c r="D427" s="2">
        <v>45116</v>
      </c>
      <c r="E427">
        <v>3066.36</v>
      </c>
      <c r="F427" t="s">
        <v>815</v>
      </c>
      <c r="G427" t="s">
        <v>821</v>
      </c>
      <c r="H427" s="2">
        <v>45116</v>
      </c>
      <c r="I427" t="s">
        <v>822</v>
      </c>
    </row>
    <row r="428" spans="1:9" x14ac:dyDescent="0.35">
      <c r="A428" t="s">
        <v>435</v>
      </c>
      <c r="B428" t="s">
        <v>811</v>
      </c>
      <c r="C428" s="2">
        <v>45653</v>
      </c>
      <c r="D428" s="2">
        <v>45683</v>
      </c>
      <c r="E428">
        <v>1623.29</v>
      </c>
      <c r="F428" t="s">
        <v>818</v>
      </c>
      <c r="G428" t="s">
        <v>820</v>
      </c>
      <c r="I428" t="s">
        <v>822</v>
      </c>
    </row>
    <row r="429" spans="1:9" x14ac:dyDescent="0.35">
      <c r="A429" t="s">
        <v>436</v>
      </c>
      <c r="B429" t="s">
        <v>809</v>
      </c>
      <c r="C429" s="2">
        <v>45115</v>
      </c>
      <c r="D429" s="2">
        <v>45145</v>
      </c>
      <c r="E429">
        <v>4738.84</v>
      </c>
      <c r="F429" t="s">
        <v>817</v>
      </c>
      <c r="G429" t="s">
        <v>820</v>
      </c>
      <c r="I429" t="s">
        <v>822</v>
      </c>
    </row>
    <row r="430" spans="1:9" x14ac:dyDescent="0.35">
      <c r="A430" t="s">
        <v>437</v>
      </c>
      <c r="B430" t="s">
        <v>809</v>
      </c>
      <c r="C430" s="2">
        <v>45179</v>
      </c>
      <c r="D430" s="2">
        <v>45209</v>
      </c>
      <c r="E430">
        <v>2769.92</v>
      </c>
      <c r="F430" t="s">
        <v>815</v>
      </c>
      <c r="G430" t="s">
        <v>820</v>
      </c>
      <c r="I430" t="s">
        <v>822</v>
      </c>
    </row>
    <row r="431" spans="1:9" x14ac:dyDescent="0.35">
      <c r="A431" t="s">
        <v>438</v>
      </c>
      <c r="B431" t="s">
        <v>809</v>
      </c>
      <c r="C431" s="2">
        <v>45641</v>
      </c>
      <c r="D431" s="2">
        <v>45671</v>
      </c>
      <c r="E431">
        <v>2883.34</v>
      </c>
      <c r="F431" t="s">
        <v>816</v>
      </c>
      <c r="G431" t="s">
        <v>819</v>
      </c>
      <c r="I431" t="s">
        <v>822</v>
      </c>
    </row>
    <row r="432" spans="1:9" x14ac:dyDescent="0.35">
      <c r="A432" t="s">
        <v>439</v>
      </c>
      <c r="B432" t="s">
        <v>811</v>
      </c>
      <c r="C432" s="2">
        <v>45447</v>
      </c>
      <c r="D432" s="2">
        <v>45477</v>
      </c>
      <c r="E432">
        <v>2334.1799999999998</v>
      </c>
      <c r="F432" t="s">
        <v>818</v>
      </c>
      <c r="G432" t="s">
        <v>819</v>
      </c>
      <c r="I432" t="s">
        <v>822</v>
      </c>
    </row>
    <row r="433" spans="1:9" x14ac:dyDescent="0.35">
      <c r="A433" t="s">
        <v>440</v>
      </c>
      <c r="B433" t="s">
        <v>813</v>
      </c>
      <c r="C433" s="2">
        <v>45219</v>
      </c>
      <c r="D433" s="2">
        <v>45249</v>
      </c>
      <c r="E433">
        <v>3148.17</v>
      </c>
      <c r="F433" t="s">
        <v>817</v>
      </c>
      <c r="G433" t="s">
        <v>819</v>
      </c>
      <c r="I433" t="s">
        <v>822</v>
      </c>
    </row>
    <row r="434" spans="1:9" x14ac:dyDescent="0.35">
      <c r="A434" t="s">
        <v>441</v>
      </c>
      <c r="B434" t="s">
        <v>813</v>
      </c>
      <c r="C434" s="2">
        <v>45573</v>
      </c>
      <c r="D434" s="2">
        <v>45603</v>
      </c>
      <c r="E434">
        <v>1378.14</v>
      </c>
      <c r="F434" t="s">
        <v>816</v>
      </c>
      <c r="G434" t="s">
        <v>821</v>
      </c>
      <c r="H434" s="2">
        <v>45603</v>
      </c>
      <c r="I434" t="s">
        <v>822</v>
      </c>
    </row>
    <row r="435" spans="1:9" x14ac:dyDescent="0.35">
      <c r="A435" t="s">
        <v>442</v>
      </c>
      <c r="B435" t="s">
        <v>812</v>
      </c>
      <c r="C435" s="2">
        <v>45699</v>
      </c>
      <c r="D435" s="2">
        <v>45729</v>
      </c>
      <c r="E435">
        <v>275.33999999999997</v>
      </c>
      <c r="F435" t="s">
        <v>816</v>
      </c>
      <c r="G435" t="s">
        <v>819</v>
      </c>
      <c r="I435" t="s">
        <v>822</v>
      </c>
    </row>
    <row r="436" spans="1:9" x14ac:dyDescent="0.35">
      <c r="A436" t="s">
        <v>443</v>
      </c>
      <c r="B436" t="s">
        <v>809</v>
      </c>
      <c r="C436" s="2">
        <v>45016</v>
      </c>
      <c r="D436" s="2">
        <v>45046</v>
      </c>
      <c r="E436">
        <v>2274.14</v>
      </c>
      <c r="F436" t="s">
        <v>814</v>
      </c>
      <c r="G436" t="s">
        <v>820</v>
      </c>
      <c r="I436" t="s">
        <v>822</v>
      </c>
    </row>
    <row r="437" spans="1:9" x14ac:dyDescent="0.35">
      <c r="A437" t="s">
        <v>444</v>
      </c>
      <c r="B437" t="s">
        <v>812</v>
      </c>
      <c r="C437" s="2">
        <v>45181</v>
      </c>
      <c r="D437" s="2">
        <v>45211</v>
      </c>
      <c r="E437">
        <v>800.97</v>
      </c>
      <c r="F437" t="s">
        <v>815</v>
      </c>
      <c r="G437" t="s">
        <v>821</v>
      </c>
      <c r="H437" s="2">
        <v>45211</v>
      </c>
      <c r="I437" t="s">
        <v>822</v>
      </c>
    </row>
    <row r="438" spans="1:9" x14ac:dyDescent="0.35">
      <c r="A438" t="s">
        <v>445</v>
      </c>
      <c r="B438" t="s">
        <v>811</v>
      </c>
      <c r="C438" s="2">
        <v>44964</v>
      </c>
      <c r="D438" s="2">
        <v>44994</v>
      </c>
      <c r="E438">
        <v>2595.11</v>
      </c>
      <c r="F438" t="s">
        <v>818</v>
      </c>
      <c r="G438" t="s">
        <v>819</v>
      </c>
      <c r="I438" t="s">
        <v>822</v>
      </c>
    </row>
    <row r="439" spans="1:9" x14ac:dyDescent="0.35">
      <c r="A439" t="s">
        <v>446</v>
      </c>
      <c r="B439" t="s">
        <v>812</v>
      </c>
      <c r="C439" s="2">
        <v>45210</v>
      </c>
      <c r="D439" s="2">
        <v>45240</v>
      </c>
      <c r="E439">
        <v>4967.66</v>
      </c>
      <c r="F439" t="s">
        <v>817</v>
      </c>
      <c r="G439" t="s">
        <v>821</v>
      </c>
      <c r="H439" s="2">
        <v>45240</v>
      </c>
      <c r="I439" t="s">
        <v>822</v>
      </c>
    </row>
    <row r="440" spans="1:9" x14ac:dyDescent="0.35">
      <c r="A440" t="s">
        <v>447</v>
      </c>
      <c r="B440" t="s">
        <v>809</v>
      </c>
      <c r="C440" s="2">
        <v>45361</v>
      </c>
      <c r="D440" s="2">
        <v>45391</v>
      </c>
      <c r="E440">
        <v>523.04999999999995</v>
      </c>
      <c r="F440" t="s">
        <v>814</v>
      </c>
      <c r="G440" t="s">
        <v>819</v>
      </c>
      <c r="I440" t="s">
        <v>822</v>
      </c>
    </row>
    <row r="441" spans="1:9" x14ac:dyDescent="0.35">
      <c r="A441" t="s">
        <v>448</v>
      </c>
      <c r="B441" t="s">
        <v>811</v>
      </c>
      <c r="C441" s="2">
        <v>45075</v>
      </c>
      <c r="D441" s="2">
        <v>45105</v>
      </c>
      <c r="E441">
        <v>3485.01</v>
      </c>
      <c r="F441" t="s">
        <v>814</v>
      </c>
      <c r="G441" t="s">
        <v>821</v>
      </c>
      <c r="H441" s="2">
        <v>45105</v>
      </c>
      <c r="I441" t="s">
        <v>822</v>
      </c>
    </row>
    <row r="442" spans="1:9" x14ac:dyDescent="0.35">
      <c r="A442" t="s">
        <v>449</v>
      </c>
      <c r="B442" t="s">
        <v>810</v>
      </c>
      <c r="C442" s="2">
        <v>44961</v>
      </c>
      <c r="D442" s="2">
        <v>44991</v>
      </c>
      <c r="E442">
        <v>2251.04</v>
      </c>
      <c r="F442" t="s">
        <v>814</v>
      </c>
      <c r="G442" t="s">
        <v>821</v>
      </c>
      <c r="H442" s="2">
        <v>44991</v>
      </c>
      <c r="I442" t="s">
        <v>822</v>
      </c>
    </row>
    <row r="443" spans="1:9" x14ac:dyDescent="0.35">
      <c r="A443" t="s">
        <v>450</v>
      </c>
      <c r="B443" t="s">
        <v>813</v>
      </c>
      <c r="C443" s="2">
        <v>45210</v>
      </c>
      <c r="D443" s="2">
        <v>45240</v>
      </c>
      <c r="E443">
        <v>3521.51</v>
      </c>
      <c r="F443" t="s">
        <v>816</v>
      </c>
      <c r="G443" t="s">
        <v>821</v>
      </c>
      <c r="H443" s="2">
        <v>45240</v>
      </c>
      <c r="I443" t="s">
        <v>822</v>
      </c>
    </row>
    <row r="444" spans="1:9" x14ac:dyDescent="0.35">
      <c r="A444" t="s">
        <v>451</v>
      </c>
      <c r="B444" t="s">
        <v>810</v>
      </c>
      <c r="C444" s="2">
        <v>45756</v>
      </c>
      <c r="D444" s="2">
        <v>45786</v>
      </c>
      <c r="E444">
        <v>3808.69</v>
      </c>
      <c r="F444" t="s">
        <v>815</v>
      </c>
      <c r="G444" t="s">
        <v>819</v>
      </c>
      <c r="I444" t="s">
        <v>822</v>
      </c>
    </row>
    <row r="445" spans="1:9" x14ac:dyDescent="0.35">
      <c r="A445" t="s">
        <v>452</v>
      </c>
      <c r="B445" t="s">
        <v>811</v>
      </c>
      <c r="C445" s="2">
        <v>45063</v>
      </c>
      <c r="D445" s="2">
        <v>45093</v>
      </c>
      <c r="E445">
        <v>3920.07</v>
      </c>
      <c r="F445" t="s">
        <v>818</v>
      </c>
      <c r="G445" t="s">
        <v>821</v>
      </c>
      <c r="H445" s="2">
        <v>45093</v>
      </c>
      <c r="I445" t="s">
        <v>822</v>
      </c>
    </row>
    <row r="446" spans="1:9" x14ac:dyDescent="0.35">
      <c r="A446" t="s">
        <v>453</v>
      </c>
      <c r="B446" t="s">
        <v>811</v>
      </c>
      <c r="C446" s="2">
        <v>45007</v>
      </c>
      <c r="D446" s="2">
        <v>45037</v>
      </c>
      <c r="E446">
        <v>4941.76</v>
      </c>
      <c r="F446" t="s">
        <v>816</v>
      </c>
      <c r="G446" t="s">
        <v>820</v>
      </c>
      <c r="I446" t="s">
        <v>822</v>
      </c>
    </row>
    <row r="447" spans="1:9" x14ac:dyDescent="0.35">
      <c r="A447" t="s">
        <v>454</v>
      </c>
      <c r="B447" t="s">
        <v>811</v>
      </c>
      <c r="C447" s="2">
        <v>45234</v>
      </c>
      <c r="D447" s="2">
        <v>45264</v>
      </c>
      <c r="E447">
        <v>1079.6099999999999</v>
      </c>
      <c r="F447" t="s">
        <v>817</v>
      </c>
      <c r="G447" t="s">
        <v>819</v>
      </c>
      <c r="I447" t="s">
        <v>822</v>
      </c>
    </row>
    <row r="448" spans="1:9" x14ac:dyDescent="0.35">
      <c r="A448" t="s">
        <v>455</v>
      </c>
      <c r="B448" t="s">
        <v>811</v>
      </c>
      <c r="C448" s="2">
        <v>45072</v>
      </c>
      <c r="D448" s="2">
        <v>45102</v>
      </c>
      <c r="E448">
        <v>4688.33</v>
      </c>
      <c r="F448" t="s">
        <v>818</v>
      </c>
      <c r="G448" t="s">
        <v>821</v>
      </c>
      <c r="H448" s="2">
        <v>45102</v>
      </c>
      <c r="I448" t="s">
        <v>822</v>
      </c>
    </row>
    <row r="449" spans="1:9" x14ac:dyDescent="0.35">
      <c r="A449" t="s">
        <v>456</v>
      </c>
      <c r="B449" t="s">
        <v>811</v>
      </c>
      <c r="C449" s="2">
        <v>45264</v>
      </c>
      <c r="D449" s="2">
        <v>45294</v>
      </c>
      <c r="E449">
        <v>705.05</v>
      </c>
      <c r="F449" t="s">
        <v>817</v>
      </c>
      <c r="G449" t="s">
        <v>820</v>
      </c>
      <c r="I449" t="s">
        <v>822</v>
      </c>
    </row>
    <row r="450" spans="1:9" x14ac:dyDescent="0.35">
      <c r="A450" t="s">
        <v>457</v>
      </c>
      <c r="B450" t="s">
        <v>812</v>
      </c>
      <c r="C450" s="2">
        <v>45068</v>
      </c>
      <c r="D450" s="2">
        <v>45098</v>
      </c>
      <c r="E450">
        <v>1193.94</v>
      </c>
      <c r="F450" t="s">
        <v>815</v>
      </c>
      <c r="G450" t="s">
        <v>819</v>
      </c>
      <c r="I450" t="s">
        <v>822</v>
      </c>
    </row>
    <row r="451" spans="1:9" x14ac:dyDescent="0.35">
      <c r="A451" t="s">
        <v>458</v>
      </c>
      <c r="B451" t="s">
        <v>812</v>
      </c>
      <c r="C451" s="2">
        <v>45571</v>
      </c>
      <c r="D451" s="2">
        <v>45601</v>
      </c>
      <c r="E451">
        <v>232.29</v>
      </c>
      <c r="F451" t="s">
        <v>817</v>
      </c>
      <c r="G451" t="s">
        <v>821</v>
      </c>
      <c r="H451" s="2">
        <v>45601</v>
      </c>
      <c r="I451" t="s">
        <v>822</v>
      </c>
    </row>
    <row r="452" spans="1:9" x14ac:dyDescent="0.35">
      <c r="A452" t="s">
        <v>459</v>
      </c>
      <c r="B452" t="s">
        <v>810</v>
      </c>
      <c r="C452" s="2">
        <v>45317</v>
      </c>
      <c r="D452" s="2">
        <v>45347</v>
      </c>
      <c r="E452">
        <v>4202.26</v>
      </c>
      <c r="F452" t="s">
        <v>814</v>
      </c>
      <c r="G452" t="s">
        <v>820</v>
      </c>
      <c r="I452" t="s">
        <v>822</v>
      </c>
    </row>
    <row r="453" spans="1:9" x14ac:dyDescent="0.35">
      <c r="A453" t="s">
        <v>460</v>
      </c>
      <c r="B453" t="s">
        <v>813</v>
      </c>
      <c r="C453" s="2">
        <v>45315</v>
      </c>
      <c r="D453" s="2">
        <v>45345</v>
      </c>
      <c r="E453">
        <v>3696.33</v>
      </c>
      <c r="F453" t="s">
        <v>818</v>
      </c>
      <c r="G453" t="s">
        <v>821</v>
      </c>
      <c r="H453" s="2">
        <v>45345</v>
      </c>
      <c r="I453" t="s">
        <v>822</v>
      </c>
    </row>
    <row r="454" spans="1:9" x14ac:dyDescent="0.35">
      <c r="A454" t="s">
        <v>461</v>
      </c>
      <c r="B454" t="s">
        <v>812</v>
      </c>
      <c r="C454" s="2">
        <v>45319</v>
      </c>
      <c r="D454" s="2">
        <v>45349</v>
      </c>
      <c r="E454">
        <v>3133.53</v>
      </c>
      <c r="F454" t="s">
        <v>817</v>
      </c>
      <c r="G454" t="s">
        <v>821</v>
      </c>
      <c r="H454" s="2">
        <v>45349</v>
      </c>
      <c r="I454" t="s">
        <v>822</v>
      </c>
    </row>
    <row r="455" spans="1:9" x14ac:dyDescent="0.35">
      <c r="A455" t="s">
        <v>462</v>
      </c>
      <c r="B455" t="s">
        <v>809</v>
      </c>
      <c r="C455" s="2">
        <v>45460</v>
      </c>
      <c r="D455" s="2">
        <v>45490</v>
      </c>
      <c r="E455">
        <v>2405.39</v>
      </c>
      <c r="F455" t="s">
        <v>817</v>
      </c>
      <c r="G455" t="s">
        <v>821</v>
      </c>
      <c r="H455" s="2">
        <v>45490</v>
      </c>
      <c r="I455" t="s">
        <v>822</v>
      </c>
    </row>
    <row r="456" spans="1:9" x14ac:dyDescent="0.35">
      <c r="A456" t="s">
        <v>463</v>
      </c>
      <c r="B456" t="s">
        <v>812</v>
      </c>
      <c r="C456" s="2">
        <v>45302</v>
      </c>
      <c r="D456" s="2">
        <v>45332</v>
      </c>
      <c r="E456">
        <v>1074.8499999999999</v>
      </c>
      <c r="F456" t="s">
        <v>817</v>
      </c>
      <c r="G456" t="s">
        <v>820</v>
      </c>
      <c r="I456" t="s">
        <v>822</v>
      </c>
    </row>
    <row r="457" spans="1:9" x14ac:dyDescent="0.35">
      <c r="A457" t="s">
        <v>464</v>
      </c>
      <c r="B457" t="s">
        <v>811</v>
      </c>
      <c r="C457" s="2">
        <v>45648</v>
      </c>
      <c r="D457" s="2">
        <v>45678</v>
      </c>
      <c r="E457">
        <v>3359</v>
      </c>
      <c r="F457" t="s">
        <v>816</v>
      </c>
      <c r="G457" t="s">
        <v>819</v>
      </c>
      <c r="I457" t="s">
        <v>822</v>
      </c>
    </row>
    <row r="458" spans="1:9" x14ac:dyDescent="0.35">
      <c r="A458" t="s">
        <v>465</v>
      </c>
      <c r="B458" t="s">
        <v>813</v>
      </c>
      <c r="C458" s="2">
        <v>45700</v>
      </c>
      <c r="D458" s="2">
        <v>45730</v>
      </c>
      <c r="E458">
        <v>419.58</v>
      </c>
      <c r="F458" t="s">
        <v>818</v>
      </c>
      <c r="G458" t="s">
        <v>821</v>
      </c>
      <c r="H458" s="2">
        <v>45730</v>
      </c>
      <c r="I458" t="s">
        <v>822</v>
      </c>
    </row>
    <row r="459" spans="1:9" x14ac:dyDescent="0.35">
      <c r="A459" t="s">
        <v>466</v>
      </c>
      <c r="B459" t="s">
        <v>810</v>
      </c>
      <c r="C459" s="2">
        <v>45376</v>
      </c>
      <c r="D459" s="2">
        <v>45406</v>
      </c>
      <c r="E459">
        <v>1704.27</v>
      </c>
      <c r="F459" t="s">
        <v>815</v>
      </c>
      <c r="G459" t="s">
        <v>819</v>
      </c>
      <c r="I459" t="s">
        <v>822</v>
      </c>
    </row>
    <row r="460" spans="1:9" x14ac:dyDescent="0.35">
      <c r="A460" t="s">
        <v>467</v>
      </c>
      <c r="B460" t="s">
        <v>811</v>
      </c>
      <c r="C460" s="2">
        <v>45397</v>
      </c>
      <c r="D460" s="2">
        <v>45427</v>
      </c>
      <c r="E460">
        <v>1545.19</v>
      </c>
      <c r="F460" t="s">
        <v>816</v>
      </c>
      <c r="G460" t="s">
        <v>821</v>
      </c>
      <c r="H460" s="2">
        <v>45427</v>
      </c>
      <c r="I460" t="s">
        <v>822</v>
      </c>
    </row>
    <row r="461" spans="1:9" x14ac:dyDescent="0.35">
      <c r="A461" t="s">
        <v>468</v>
      </c>
      <c r="B461" t="s">
        <v>811</v>
      </c>
      <c r="C461" s="2">
        <v>45198</v>
      </c>
      <c r="D461" s="2">
        <v>45228</v>
      </c>
      <c r="E461">
        <v>3414.41</v>
      </c>
      <c r="F461" t="s">
        <v>818</v>
      </c>
      <c r="G461" t="s">
        <v>820</v>
      </c>
      <c r="I461" t="s">
        <v>822</v>
      </c>
    </row>
    <row r="462" spans="1:9" x14ac:dyDescent="0.35">
      <c r="A462" t="s">
        <v>469</v>
      </c>
      <c r="B462" t="s">
        <v>809</v>
      </c>
      <c r="C462" s="2">
        <v>45779</v>
      </c>
      <c r="D462" s="2">
        <v>45809</v>
      </c>
      <c r="E462">
        <v>3597.78</v>
      </c>
      <c r="F462" t="s">
        <v>817</v>
      </c>
      <c r="G462" t="s">
        <v>820</v>
      </c>
      <c r="I462" t="s">
        <v>822</v>
      </c>
    </row>
    <row r="463" spans="1:9" x14ac:dyDescent="0.35">
      <c r="A463" t="s">
        <v>470</v>
      </c>
      <c r="B463" t="s">
        <v>810</v>
      </c>
      <c r="C463" s="2">
        <v>45599</v>
      </c>
      <c r="D463" s="2">
        <v>45629</v>
      </c>
      <c r="E463">
        <v>2642.3</v>
      </c>
      <c r="F463" t="s">
        <v>814</v>
      </c>
      <c r="G463" t="s">
        <v>819</v>
      </c>
      <c r="I463" t="s">
        <v>822</v>
      </c>
    </row>
    <row r="464" spans="1:9" x14ac:dyDescent="0.35">
      <c r="A464" t="s">
        <v>471</v>
      </c>
      <c r="B464" t="s">
        <v>810</v>
      </c>
      <c r="C464" s="2">
        <v>44983</v>
      </c>
      <c r="D464" s="2">
        <v>45013</v>
      </c>
      <c r="E464">
        <v>4728.07</v>
      </c>
      <c r="F464" t="s">
        <v>818</v>
      </c>
      <c r="G464" t="s">
        <v>820</v>
      </c>
      <c r="I464" t="s">
        <v>822</v>
      </c>
    </row>
    <row r="465" spans="1:9" x14ac:dyDescent="0.35">
      <c r="A465" t="s">
        <v>472</v>
      </c>
      <c r="B465" t="s">
        <v>813</v>
      </c>
      <c r="C465" s="2">
        <v>45624</v>
      </c>
      <c r="D465" s="2">
        <v>45654</v>
      </c>
      <c r="E465">
        <v>1560.4</v>
      </c>
      <c r="F465" t="s">
        <v>815</v>
      </c>
      <c r="G465" t="s">
        <v>820</v>
      </c>
      <c r="I465" t="s">
        <v>822</v>
      </c>
    </row>
    <row r="466" spans="1:9" x14ac:dyDescent="0.35">
      <c r="A466" t="s">
        <v>473</v>
      </c>
      <c r="B466" t="s">
        <v>812</v>
      </c>
      <c r="C466" s="2">
        <v>45374</v>
      </c>
      <c r="D466" s="2">
        <v>45404</v>
      </c>
      <c r="E466">
        <v>2026.99</v>
      </c>
      <c r="F466" t="s">
        <v>816</v>
      </c>
      <c r="G466" t="s">
        <v>819</v>
      </c>
      <c r="I466" t="s">
        <v>822</v>
      </c>
    </row>
    <row r="467" spans="1:9" x14ac:dyDescent="0.35">
      <c r="A467" t="s">
        <v>474</v>
      </c>
      <c r="B467" t="s">
        <v>809</v>
      </c>
      <c r="C467" s="2">
        <v>45574</v>
      </c>
      <c r="D467" s="2">
        <v>45604</v>
      </c>
      <c r="E467">
        <v>1142.8399999999999</v>
      </c>
      <c r="F467" t="s">
        <v>817</v>
      </c>
      <c r="G467" t="s">
        <v>821</v>
      </c>
      <c r="H467" s="2">
        <v>45604</v>
      </c>
      <c r="I467" t="s">
        <v>822</v>
      </c>
    </row>
    <row r="468" spans="1:9" x14ac:dyDescent="0.35">
      <c r="A468" t="s">
        <v>475</v>
      </c>
      <c r="B468" t="s">
        <v>812</v>
      </c>
      <c r="C468" s="2">
        <v>45414</v>
      </c>
      <c r="D468" s="2">
        <v>45444</v>
      </c>
      <c r="E468">
        <v>3401.72</v>
      </c>
      <c r="F468" t="s">
        <v>816</v>
      </c>
      <c r="G468" t="s">
        <v>819</v>
      </c>
      <c r="I468" t="s">
        <v>822</v>
      </c>
    </row>
    <row r="469" spans="1:9" x14ac:dyDescent="0.35">
      <c r="A469" t="s">
        <v>476</v>
      </c>
      <c r="B469" t="s">
        <v>809</v>
      </c>
      <c r="C469" s="2">
        <v>45076</v>
      </c>
      <c r="D469" s="2">
        <v>45106</v>
      </c>
      <c r="E469">
        <v>4753.22</v>
      </c>
      <c r="F469" t="s">
        <v>816</v>
      </c>
      <c r="G469" t="s">
        <v>820</v>
      </c>
      <c r="I469" t="s">
        <v>822</v>
      </c>
    </row>
    <row r="470" spans="1:9" x14ac:dyDescent="0.35">
      <c r="A470" t="s">
        <v>477</v>
      </c>
      <c r="B470" t="s">
        <v>809</v>
      </c>
      <c r="C470" s="2">
        <v>45789</v>
      </c>
      <c r="D470" s="2">
        <v>45819</v>
      </c>
      <c r="E470">
        <v>3640.83</v>
      </c>
      <c r="F470" t="s">
        <v>816</v>
      </c>
      <c r="G470" t="s">
        <v>820</v>
      </c>
      <c r="I470" t="s">
        <v>822</v>
      </c>
    </row>
    <row r="471" spans="1:9" x14ac:dyDescent="0.35">
      <c r="A471" t="s">
        <v>478</v>
      </c>
      <c r="B471" t="s">
        <v>810</v>
      </c>
      <c r="C471" s="2">
        <v>45358</v>
      </c>
      <c r="D471" s="2">
        <v>45388</v>
      </c>
      <c r="E471">
        <v>2662.58</v>
      </c>
      <c r="F471" t="s">
        <v>815</v>
      </c>
      <c r="G471" t="s">
        <v>820</v>
      </c>
      <c r="I471" t="s">
        <v>822</v>
      </c>
    </row>
    <row r="472" spans="1:9" x14ac:dyDescent="0.35">
      <c r="A472" t="s">
        <v>479</v>
      </c>
      <c r="B472" t="s">
        <v>809</v>
      </c>
      <c r="C472" s="2">
        <v>45619</v>
      </c>
      <c r="D472" s="2">
        <v>45649</v>
      </c>
      <c r="E472">
        <v>212.92</v>
      </c>
      <c r="F472" t="s">
        <v>814</v>
      </c>
      <c r="G472" t="s">
        <v>819</v>
      </c>
      <c r="I472" t="s">
        <v>822</v>
      </c>
    </row>
    <row r="473" spans="1:9" x14ac:dyDescent="0.35">
      <c r="A473" t="s">
        <v>480</v>
      </c>
      <c r="B473" t="s">
        <v>809</v>
      </c>
      <c r="C473" s="2">
        <v>45254</v>
      </c>
      <c r="D473" s="2">
        <v>45284</v>
      </c>
      <c r="E473">
        <v>980.09</v>
      </c>
      <c r="F473" t="s">
        <v>816</v>
      </c>
      <c r="G473" t="s">
        <v>821</v>
      </c>
      <c r="H473" s="2">
        <v>45284</v>
      </c>
      <c r="I473" t="s">
        <v>822</v>
      </c>
    </row>
    <row r="474" spans="1:9" x14ac:dyDescent="0.35">
      <c r="A474" t="s">
        <v>481</v>
      </c>
      <c r="B474" t="s">
        <v>811</v>
      </c>
      <c r="C474" s="2">
        <v>45262</v>
      </c>
      <c r="D474" s="2">
        <v>45292</v>
      </c>
      <c r="E474">
        <v>1179.8800000000001</v>
      </c>
      <c r="F474" t="s">
        <v>816</v>
      </c>
      <c r="G474" t="s">
        <v>819</v>
      </c>
      <c r="I474" t="s">
        <v>822</v>
      </c>
    </row>
    <row r="475" spans="1:9" x14ac:dyDescent="0.35">
      <c r="A475" t="s">
        <v>482</v>
      </c>
      <c r="B475" t="s">
        <v>810</v>
      </c>
      <c r="C475" s="2">
        <v>45324</v>
      </c>
      <c r="D475" s="2">
        <v>45354</v>
      </c>
      <c r="E475">
        <v>1750.63</v>
      </c>
      <c r="F475" t="s">
        <v>818</v>
      </c>
      <c r="G475" t="s">
        <v>819</v>
      </c>
      <c r="I475" t="s">
        <v>822</v>
      </c>
    </row>
    <row r="476" spans="1:9" x14ac:dyDescent="0.35">
      <c r="A476" t="s">
        <v>483</v>
      </c>
      <c r="B476" t="s">
        <v>810</v>
      </c>
      <c r="C476" s="2">
        <v>45624</v>
      </c>
      <c r="D476" s="2">
        <v>45654</v>
      </c>
      <c r="E476">
        <v>3207.4</v>
      </c>
      <c r="F476" t="s">
        <v>818</v>
      </c>
      <c r="G476" t="s">
        <v>821</v>
      </c>
      <c r="H476" s="2">
        <v>45654</v>
      </c>
      <c r="I476" t="s">
        <v>822</v>
      </c>
    </row>
    <row r="477" spans="1:9" x14ac:dyDescent="0.35">
      <c r="A477" t="s">
        <v>484</v>
      </c>
      <c r="B477" t="s">
        <v>810</v>
      </c>
      <c r="C477" s="2">
        <v>45229</v>
      </c>
      <c r="D477" s="2">
        <v>45259</v>
      </c>
      <c r="E477">
        <v>2412.71</v>
      </c>
      <c r="F477" t="s">
        <v>814</v>
      </c>
      <c r="G477" t="s">
        <v>821</v>
      </c>
      <c r="H477" s="2">
        <v>45259</v>
      </c>
      <c r="I477" t="s">
        <v>822</v>
      </c>
    </row>
    <row r="478" spans="1:9" x14ac:dyDescent="0.35">
      <c r="A478" t="s">
        <v>485</v>
      </c>
      <c r="B478" t="s">
        <v>813</v>
      </c>
      <c r="C478" s="2">
        <v>45235</v>
      </c>
      <c r="D478" s="2">
        <v>45265</v>
      </c>
      <c r="E478">
        <v>382.4</v>
      </c>
      <c r="F478" t="s">
        <v>817</v>
      </c>
      <c r="G478" t="s">
        <v>820</v>
      </c>
      <c r="I478" t="s">
        <v>822</v>
      </c>
    </row>
    <row r="479" spans="1:9" x14ac:dyDescent="0.35">
      <c r="A479" t="s">
        <v>486</v>
      </c>
      <c r="B479" t="s">
        <v>811</v>
      </c>
      <c r="C479" s="2">
        <v>45106</v>
      </c>
      <c r="D479" s="2">
        <v>45136</v>
      </c>
      <c r="E479">
        <v>4004.66</v>
      </c>
      <c r="F479" t="s">
        <v>815</v>
      </c>
      <c r="G479" t="s">
        <v>821</v>
      </c>
      <c r="H479" s="2">
        <v>45136</v>
      </c>
      <c r="I479" t="s">
        <v>822</v>
      </c>
    </row>
    <row r="480" spans="1:9" x14ac:dyDescent="0.35">
      <c r="A480" t="s">
        <v>487</v>
      </c>
      <c r="B480" t="s">
        <v>812</v>
      </c>
      <c r="C480" s="2">
        <v>45342</v>
      </c>
      <c r="D480" s="2">
        <v>45372</v>
      </c>
      <c r="E480">
        <v>4777.58</v>
      </c>
      <c r="F480" t="s">
        <v>818</v>
      </c>
      <c r="G480" t="s">
        <v>819</v>
      </c>
      <c r="I480" t="s">
        <v>822</v>
      </c>
    </row>
    <row r="481" spans="1:9" x14ac:dyDescent="0.35">
      <c r="A481" t="s">
        <v>488</v>
      </c>
      <c r="B481" t="s">
        <v>810</v>
      </c>
      <c r="C481" s="2">
        <v>45185</v>
      </c>
      <c r="D481" s="2">
        <v>45215</v>
      </c>
      <c r="E481">
        <v>1599.7</v>
      </c>
      <c r="F481" t="s">
        <v>816</v>
      </c>
      <c r="G481" t="s">
        <v>820</v>
      </c>
      <c r="I481" t="s">
        <v>822</v>
      </c>
    </row>
    <row r="482" spans="1:9" x14ac:dyDescent="0.35">
      <c r="A482" t="s">
        <v>489</v>
      </c>
      <c r="B482" t="s">
        <v>810</v>
      </c>
      <c r="C482" s="2">
        <v>45707</v>
      </c>
      <c r="D482" s="2">
        <v>45737</v>
      </c>
      <c r="E482">
        <v>4973.3</v>
      </c>
      <c r="F482" t="s">
        <v>817</v>
      </c>
      <c r="G482" t="s">
        <v>819</v>
      </c>
      <c r="I482" t="s">
        <v>822</v>
      </c>
    </row>
    <row r="483" spans="1:9" x14ac:dyDescent="0.35">
      <c r="A483" t="s">
        <v>490</v>
      </c>
      <c r="B483" t="s">
        <v>811</v>
      </c>
      <c r="C483" s="2">
        <v>45099</v>
      </c>
      <c r="D483" s="2">
        <v>45129</v>
      </c>
      <c r="E483">
        <v>717.91</v>
      </c>
      <c r="F483" t="s">
        <v>814</v>
      </c>
      <c r="G483" t="s">
        <v>819</v>
      </c>
      <c r="I483" t="s">
        <v>822</v>
      </c>
    </row>
    <row r="484" spans="1:9" x14ac:dyDescent="0.35">
      <c r="A484" t="s">
        <v>491</v>
      </c>
      <c r="B484" t="s">
        <v>812</v>
      </c>
      <c r="C484" s="2">
        <v>45684</v>
      </c>
      <c r="D484" s="2">
        <v>45714</v>
      </c>
      <c r="E484">
        <v>1388.79</v>
      </c>
      <c r="F484" t="s">
        <v>816</v>
      </c>
      <c r="G484" t="s">
        <v>821</v>
      </c>
      <c r="H484" s="2">
        <v>45714</v>
      </c>
      <c r="I484" t="s">
        <v>822</v>
      </c>
    </row>
    <row r="485" spans="1:9" x14ac:dyDescent="0.35">
      <c r="A485" t="s">
        <v>492</v>
      </c>
      <c r="B485" t="s">
        <v>809</v>
      </c>
      <c r="C485" s="2">
        <v>45823</v>
      </c>
      <c r="D485" s="2">
        <v>45853</v>
      </c>
      <c r="E485">
        <v>669.06</v>
      </c>
      <c r="F485" t="s">
        <v>816</v>
      </c>
      <c r="G485" t="s">
        <v>821</v>
      </c>
      <c r="H485" s="2">
        <v>45853</v>
      </c>
      <c r="I485" t="s">
        <v>822</v>
      </c>
    </row>
    <row r="486" spans="1:9" x14ac:dyDescent="0.35">
      <c r="A486" t="s">
        <v>493</v>
      </c>
      <c r="B486" t="s">
        <v>811</v>
      </c>
      <c r="C486" s="2">
        <v>45192</v>
      </c>
      <c r="D486" s="2">
        <v>45222</v>
      </c>
      <c r="E486">
        <v>158.72</v>
      </c>
      <c r="F486" t="s">
        <v>818</v>
      </c>
      <c r="G486" t="s">
        <v>821</v>
      </c>
      <c r="H486" s="2">
        <v>45222</v>
      </c>
      <c r="I486" t="s">
        <v>822</v>
      </c>
    </row>
    <row r="487" spans="1:9" x14ac:dyDescent="0.35">
      <c r="A487" t="s">
        <v>494</v>
      </c>
      <c r="B487" t="s">
        <v>813</v>
      </c>
      <c r="C487" s="2">
        <v>45346</v>
      </c>
      <c r="D487" s="2">
        <v>45376</v>
      </c>
      <c r="E487">
        <v>502.65</v>
      </c>
      <c r="F487" t="s">
        <v>817</v>
      </c>
      <c r="G487" t="s">
        <v>820</v>
      </c>
      <c r="I487" t="s">
        <v>822</v>
      </c>
    </row>
    <row r="488" spans="1:9" x14ac:dyDescent="0.35">
      <c r="A488" t="s">
        <v>495</v>
      </c>
      <c r="B488" t="s">
        <v>812</v>
      </c>
      <c r="C488" s="2">
        <v>44971</v>
      </c>
      <c r="D488" s="2">
        <v>45001</v>
      </c>
      <c r="E488">
        <v>2135.0100000000002</v>
      </c>
      <c r="F488" t="s">
        <v>814</v>
      </c>
      <c r="G488" t="s">
        <v>819</v>
      </c>
      <c r="I488" t="s">
        <v>822</v>
      </c>
    </row>
    <row r="489" spans="1:9" x14ac:dyDescent="0.35">
      <c r="A489" t="s">
        <v>496</v>
      </c>
      <c r="B489" t="s">
        <v>813</v>
      </c>
      <c r="C489" s="2">
        <v>44937</v>
      </c>
      <c r="D489" s="2">
        <v>44967</v>
      </c>
      <c r="E489">
        <v>386.6</v>
      </c>
      <c r="F489" t="s">
        <v>817</v>
      </c>
      <c r="G489" t="s">
        <v>820</v>
      </c>
      <c r="I489" t="s">
        <v>822</v>
      </c>
    </row>
    <row r="490" spans="1:9" x14ac:dyDescent="0.35">
      <c r="A490" t="s">
        <v>497</v>
      </c>
      <c r="B490" t="s">
        <v>812</v>
      </c>
      <c r="C490" s="2">
        <v>45131</v>
      </c>
      <c r="D490" s="2">
        <v>45161</v>
      </c>
      <c r="E490">
        <v>3185.2</v>
      </c>
      <c r="F490" t="s">
        <v>817</v>
      </c>
      <c r="G490" t="s">
        <v>819</v>
      </c>
      <c r="I490" t="s">
        <v>822</v>
      </c>
    </row>
    <row r="491" spans="1:9" x14ac:dyDescent="0.35">
      <c r="A491" t="s">
        <v>498</v>
      </c>
      <c r="B491" t="s">
        <v>812</v>
      </c>
      <c r="C491" s="2">
        <v>45387</v>
      </c>
      <c r="D491" s="2">
        <v>45417</v>
      </c>
      <c r="E491">
        <v>2817.08</v>
      </c>
      <c r="F491" t="s">
        <v>815</v>
      </c>
      <c r="G491" t="s">
        <v>820</v>
      </c>
      <c r="I491" t="s">
        <v>822</v>
      </c>
    </row>
    <row r="492" spans="1:9" x14ac:dyDescent="0.35">
      <c r="A492" t="s">
        <v>499</v>
      </c>
      <c r="B492" t="s">
        <v>813</v>
      </c>
      <c r="C492" s="2">
        <v>44991</v>
      </c>
      <c r="D492" s="2">
        <v>45021</v>
      </c>
      <c r="E492">
        <v>3897.98</v>
      </c>
      <c r="F492" t="s">
        <v>818</v>
      </c>
      <c r="G492" t="s">
        <v>821</v>
      </c>
      <c r="H492" s="2">
        <v>45021</v>
      </c>
      <c r="I492" t="s">
        <v>822</v>
      </c>
    </row>
    <row r="493" spans="1:9" x14ac:dyDescent="0.35">
      <c r="A493" t="s">
        <v>500</v>
      </c>
      <c r="B493" t="s">
        <v>812</v>
      </c>
      <c r="C493" s="2">
        <v>45631</v>
      </c>
      <c r="D493" s="2">
        <v>45661</v>
      </c>
      <c r="E493">
        <v>3623.95</v>
      </c>
      <c r="F493" t="s">
        <v>817</v>
      </c>
      <c r="G493" t="s">
        <v>820</v>
      </c>
      <c r="I493" t="s">
        <v>822</v>
      </c>
    </row>
    <row r="494" spans="1:9" x14ac:dyDescent="0.35">
      <c r="A494" t="s">
        <v>501</v>
      </c>
      <c r="B494" t="s">
        <v>811</v>
      </c>
      <c r="C494" s="2">
        <v>45433</v>
      </c>
      <c r="D494" s="2">
        <v>45463</v>
      </c>
      <c r="E494">
        <v>1803.9</v>
      </c>
      <c r="F494" t="s">
        <v>817</v>
      </c>
      <c r="G494" t="s">
        <v>820</v>
      </c>
      <c r="I494" t="s">
        <v>822</v>
      </c>
    </row>
    <row r="495" spans="1:9" x14ac:dyDescent="0.35">
      <c r="A495" t="s">
        <v>502</v>
      </c>
      <c r="B495" t="s">
        <v>809</v>
      </c>
      <c r="C495" s="2">
        <v>45106</v>
      </c>
      <c r="D495" s="2">
        <v>45136</v>
      </c>
      <c r="E495">
        <v>2543.84</v>
      </c>
      <c r="F495" t="s">
        <v>817</v>
      </c>
      <c r="G495" t="s">
        <v>820</v>
      </c>
      <c r="I495" t="s">
        <v>822</v>
      </c>
    </row>
    <row r="496" spans="1:9" x14ac:dyDescent="0.35">
      <c r="A496" t="s">
        <v>503</v>
      </c>
      <c r="B496" t="s">
        <v>813</v>
      </c>
      <c r="C496" s="2">
        <v>45128</v>
      </c>
      <c r="D496" s="2">
        <v>45158</v>
      </c>
      <c r="E496">
        <v>292.57</v>
      </c>
      <c r="F496" t="s">
        <v>815</v>
      </c>
      <c r="G496" t="s">
        <v>819</v>
      </c>
      <c r="I496" t="s">
        <v>822</v>
      </c>
    </row>
    <row r="497" spans="1:9" x14ac:dyDescent="0.35">
      <c r="A497" t="s">
        <v>504</v>
      </c>
      <c r="B497" t="s">
        <v>811</v>
      </c>
      <c r="C497" s="2">
        <v>45522</v>
      </c>
      <c r="D497" s="2">
        <v>45552</v>
      </c>
      <c r="E497">
        <v>688.61</v>
      </c>
      <c r="F497" t="s">
        <v>817</v>
      </c>
      <c r="G497" t="s">
        <v>821</v>
      </c>
      <c r="H497" s="2">
        <v>45552</v>
      </c>
      <c r="I497" t="s">
        <v>822</v>
      </c>
    </row>
    <row r="498" spans="1:9" x14ac:dyDescent="0.35">
      <c r="A498" t="s">
        <v>505</v>
      </c>
      <c r="B498" t="s">
        <v>812</v>
      </c>
      <c r="C498" s="2">
        <v>45288</v>
      </c>
      <c r="D498" s="2">
        <v>45318</v>
      </c>
      <c r="E498">
        <v>1121.18</v>
      </c>
      <c r="F498" t="s">
        <v>817</v>
      </c>
      <c r="G498" t="s">
        <v>820</v>
      </c>
      <c r="I498" t="s">
        <v>822</v>
      </c>
    </row>
    <row r="499" spans="1:9" x14ac:dyDescent="0.35">
      <c r="A499" t="s">
        <v>506</v>
      </c>
      <c r="B499" t="s">
        <v>810</v>
      </c>
      <c r="C499" s="2">
        <v>45395</v>
      </c>
      <c r="D499" s="2">
        <v>45425</v>
      </c>
      <c r="E499">
        <v>3953.98</v>
      </c>
      <c r="F499" t="s">
        <v>814</v>
      </c>
      <c r="G499" t="s">
        <v>820</v>
      </c>
      <c r="I499" t="s">
        <v>822</v>
      </c>
    </row>
    <row r="500" spans="1:9" x14ac:dyDescent="0.35">
      <c r="A500" t="s">
        <v>507</v>
      </c>
      <c r="B500" t="s">
        <v>811</v>
      </c>
      <c r="C500" s="2">
        <v>45327</v>
      </c>
      <c r="D500" s="2">
        <v>45357</v>
      </c>
      <c r="E500">
        <v>597.75</v>
      </c>
      <c r="F500" t="s">
        <v>817</v>
      </c>
      <c r="G500" t="s">
        <v>819</v>
      </c>
      <c r="I500" t="s">
        <v>822</v>
      </c>
    </row>
    <row r="501" spans="1:9" x14ac:dyDescent="0.35">
      <c r="A501" t="s">
        <v>508</v>
      </c>
      <c r="B501" t="s">
        <v>809</v>
      </c>
      <c r="C501" s="2">
        <v>45680</v>
      </c>
      <c r="D501" s="2">
        <v>45710</v>
      </c>
      <c r="E501">
        <v>1752.55</v>
      </c>
      <c r="F501" t="s">
        <v>817</v>
      </c>
      <c r="G501" t="s">
        <v>819</v>
      </c>
      <c r="I501" t="s">
        <v>822</v>
      </c>
    </row>
    <row r="502" spans="1:9" x14ac:dyDescent="0.35">
      <c r="A502" t="s">
        <v>509</v>
      </c>
      <c r="B502" t="s">
        <v>811</v>
      </c>
      <c r="C502" s="2">
        <v>44998</v>
      </c>
      <c r="D502" s="2">
        <v>45028</v>
      </c>
      <c r="E502">
        <v>3490.73</v>
      </c>
      <c r="F502" t="s">
        <v>814</v>
      </c>
      <c r="G502" t="s">
        <v>819</v>
      </c>
      <c r="I502" t="s">
        <v>822</v>
      </c>
    </row>
    <row r="503" spans="1:9" x14ac:dyDescent="0.35">
      <c r="A503" t="s">
        <v>510</v>
      </c>
      <c r="B503" t="s">
        <v>809</v>
      </c>
      <c r="C503" s="2">
        <v>45584</v>
      </c>
      <c r="D503" s="2">
        <v>45614</v>
      </c>
      <c r="E503">
        <v>1143.7</v>
      </c>
      <c r="F503" t="s">
        <v>818</v>
      </c>
      <c r="G503" t="s">
        <v>820</v>
      </c>
      <c r="I503" t="s">
        <v>822</v>
      </c>
    </row>
    <row r="504" spans="1:9" x14ac:dyDescent="0.35">
      <c r="A504" t="s">
        <v>511</v>
      </c>
      <c r="B504" t="s">
        <v>813</v>
      </c>
      <c r="C504" s="2">
        <v>45555</v>
      </c>
      <c r="D504" s="2">
        <v>45585</v>
      </c>
      <c r="E504">
        <v>636.6</v>
      </c>
      <c r="F504" t="s">
        <v>814</v>
      </c>
      <c r="G504" t="s">
        <v>821</v>
      </c>
      <c r="H504" s="2">
        <v>45585</v>
      </c>
      <c r="I504" t="s">
        <v>822</v>
      </c>
    </row>
    <row r="505" spans="1:9" x14ac:dyDescent="0.35">
      <c r="A505" t="s">
        <v>512</v>
      </c>
      <c r="B505" t="s">
        <v>810</v>
      </c>
      <c r="C505" s="2">
        <v>45761</v>
      </c>
      <c r="D505" s="2">
        <v>45791</v>
      </c>
      <c r="E505">
        <v>3339.54</v>
      </c>
      <c r="F505" t="s">
        <v>814</v>
      </c>
      <c r="G505" t="s">
        <v>819</v>
      </c>
      <c r="I505" t="s">
        <v>822</v>
      </c>
    </row>
    <row r="506" spans="1:9" x14ac:dyDescent="0.35">
      <c r="A506" t="s">
        <v>513</v>
      </c>
      <c r="B506" t="s">
        <v>809</v>
      </c>
      <c r="C506" s="2">
        <v>45641</v>
      </c>
      <c r="D506" s="2">
        <v>45671</v>
      </c>
      <c r="E506">
        <v>3555.72</v>
      </c>
      <c r="F506" t="s">
        <v>814</v>
      </c>
      <c r="G506" t="s">
        <v>820</v>
      </c>
      <c r="I506" t="s">
        <v>822</v>
      </c>
    </row>
    <row r="507" spans="1:9" x14ac:dyDescent="0.35">
      <c r="A507" t="s">
        <v>514</v>
      </c>
      <c r="B507" t="s">
        <v>811</v>
      </c>
      <c r="C507" s="2">
        <v>45777</v>
      </c>
      <c r="D507" s="2">
        <v>45807</v>
      </c>
      <c r="E507">
        <v>2971.5</v>
      </c>
      <c r="F507" t="s">
        <v>817</v>
      </c>
      <c r="G507" t="s">
        <v>819</v>
      </c>
      <c r="I507" t="s">
        <v>822</v>
      </c>
    </row>
    <row r="508" spans="1:9" x14ac:dyDescent="0.35">
      <c r="A508" t="s">
        <v>515</v>
      </c>
      <c r="B508" t="s">
        <v>809</v>
      </c>
      <c r="C508" s="2">
        <v>45786</v>
      </c>
      <c r="D508" s="2">
        <v>45816</v>
      </c>
      <c r="E508">
        <v>2945.39</v>
      </c>
      <c r="F508" t="s">
        <v>818</v>
      </c>
      <c r="G508" t="s">
        <v>821</v>
      </c>
      <c r="H508" s="2">
        <v>45816</v>
      </c>
      <c r="I508" t="s">
        <v>822</v>
      </c>
    </row>
    <row r="509" spans="1:9" x14ac:dyDescent="0.35">
      <c r="A509" t="s">
        <v>516</v>
      </c>
      <c r="B509" t="s">
        <v>811</v>
      </c>
      <c r="C509" s="2">
        <v>45472</v>
      </c>
      <c r="D509" s="2">
        <v>45502</v>
      </c>
      <c r="E509">
        <v>4563.8</v>
      </c>
      <c r="F509" t="s">
        <v>816</v>
      </c>
      <c r="G509" t="s">
        <v>821</v>
      </c>
      <c r="H509" s="2">
        <v>45502</v>
      </c>
      <c r="I509" t="s">
        <v>822</v>
      </c>
    </row>
    <row r="510" spans="1:9" x14ac:dyDescent="0.35">
      <c r="A510" t="s">
        <v>517</v>
      </c>
      <c r="B510" t="s">
        <v>811</v>
      </c>
      <c r="C510" s="2">
        <v>45002</v>
      </c>
      <c r="D510" s="2">
        <v>45032</v>
      </c>
      <c r="E510">
        <v>3590.5</v>
      </c>
      <c r="F510" t="s">
        <v>818</v>
      </c>
      <c r="G510" t="s">
        <v>819</v>
      </c>
      <c r="I510" t="s">
        <v>822</v>
      </c>
    </row>
    <row r="511" spans="1:9" x14ac:dyDescent="0.35">
      <c r="A511" t="s">
        <v>518</v>
      </c>
      <c r="B511" t="s">
        <v>811</v>
      </c>
      <c r="C511" s="2">
        <v>44948</v>
      </c>
      <c r="D511" s="2">
        <v>44978</v>
      </c>
      <c r="E511">
        <v>1989.22</v>
      </c>
      <c r="F511" t="s">
        <v>814</v>
      </c>
      <c r="G511" t="s">
        <v>820</v>
      </c>
      <c r="I511" t="s">
        <v>822</v>
      </c>
    </row>
    <row r="512" spans="1:9" x14ac:dyDescent="0.35">
      <c r="A512" t="s">
        <v>519</v>
      </c>
      <c r="B512" t="s">
        <v>809</v>
      </c>
      <c r="C512" s="2">
        <v>44930</v>
      </c>
      <c r="D512" s="2">
        <v>44960</v>
      </c>
      <c r="E512">
        <v>4650.78</v>
      </c>
      <c r="F512" t="s">
        <v>815</v>
      </c>
      <c r="G512" t="s">
        <v>819</v>
      </c>
      <c r="I512" t="s">
        <v>822</v>
      </c>
    </row>
    <row r="513" spans="1:9" x14ac:dyDescent="0.35">
      <c r="A513" t="s">
        <v>520</v>
      </c>
      <c r="B513" t="s">
        <v>813</v>
      </c>
      <c r="C513" s="2">
        <v>45118</v>
      </c>
      <c r="D513" s="2">
        <v>45148</v>
      </c>
      <c r="E513">
        <v>3071.51</v>
      </c>
      <c r="F513" t="s">
        <v>815</v>
      </c>
      <c r="G513" t="s">
        <v>820</v>
      </c>
      <c r="I513" t="s">
        <v>822</v>
      </c>
    </row>
    <row r="514" spans="1:9" x14ac:dyDescent="0.35">
      <c r="A514" t="s">
        <v>521</v>
      </c>
      <c r="B514" t="s">
        <v>811</v>
      </c>
      <c r="C514" s="2">
        <v>45196</v>
      </c>
      <c r="D514" s="2">
        <v>45226</v>
      </c>
      <c r="E514">
        <v>4956.1099999999997</v>
      </c>
      <c r="F514" t="s">
        <v>816</v>
      </c>
      <c r="G514" t="s">
        <v>819</v>
      </c>
      <c r="I514" t="s">
        <v>822</v>
      </c>
    </row>
    <row r="515" spans="1:9" x14ac:dyDescent="0.35">
      <c r="A515" t="s">
        <v>522</v>
      </c>
      <c r="B515" t="s">
        <v>809</v>
      </c>
      <c r="C515" s="2">
        <v>45446</v>
      </c>
      <c r="D515" s="2">
        <v>45476</v>
      </c>
      <c r="E515">
        <v>2561.35</v>
      </c>
      <c r="F515" t="s">
        <v>818</v>
      </c>
      <c r="G515" t="s">
        <v>819</v>
      </c>
      <c r="I515" t="s">
        <v>822</v>
      </c>
    </row>
    <row r="516" spans="1:9" x14ac:dyDescent="0.35">
      <c r="A516" t="s">
        <v>523</v>
      </c>
      <c r="B516" t="s">
        <v>811</v>
      </c>
      <c r="C516" s="2">
        <v>45637</v>
      </c>
      <c r="D516" s="2">
        <v>45667</v>
      </c>
      <c r="E516">
        <v>3812.86</v>
      </c>
      <c r="F516" t="s">
        <v>816</v>
      </c>
      <c r="G516" t="s">
        <v>819</v>
      </c>
      <c r="I516" t="s">
        <v>822</v>
      </c>
    </row>
    <row r="517" spans="1:9" x14ac:dyDescent="0.35">
      <c r="A517" t="s">
        <v>524</v>
      </c>
      <c r="B517" t="s">
        <v>810</v>
      </c>
      <c r="C517" s="2">
        <v>45291</v>
      </c>
      <c r="D517" s="2">
        <v>45321</v>
      </c>
      <c r="E517">
        <v>4798.3</v>
      </c>
      <c r="F517" t="s">
        <v>815</v>
      </c>
      <c r="G517" t="s">
        <v>819</v>
      </c>
      <c r="I517" t="s">
        <v>822</v>
      </c>
    </row>
    <row r="518" spans="1:9" x14ac:dyDescent="0.35">
      <c r="A518" t="s">
        <v>525</v>
      </c>
      <c r="B518" t="s">
        <v>810</v>
      </c>
      <c r="C518" s="2">
        <v>45538</v>
      </c>
      <c r="D518" s="2">
        <v>45568</v>
      </c>
      <c r="E518">
        <v>2626.26</v>
      </c>
      <c r="F518" t="s">
        <v>815</v>
      </c>
      <c r="G518" t="s">
        <v>819</v>
      </c>
      <c r="I518" t="s">
        <v>822</v>
      </c>
    </row>
    <row r="519" spans="1:9" x14ac:dyDescent="0.35">
      <c r="A519" t="s">
        <v>526</v>
      </c>
      <c r="B519" t="s">
        <v>813</v>
      </c>
      <c r="C519" s="2">
        <v>45173</v>
      </c>
      <c r="D519" s="2">
        <v>45203</v>
      </c>
      <c r="E519">
        <v>1667.91</v>
      </c>
      <c r="F519" t="s">
        <v>815</v>
      </c>
      <c r="G519" t="s">
        <v>819</v>
      </c>
      <c r="I519" t="s">
        <v>822</v>
      </c>
    </row>
    <row r="520" spans="1:9" x14ac:dyDescent="0.35">
      <c r="A520" t="s">
        <v>527</v>
      </c>
      <c r="B520" t="s">
        <v>809</v>
      </c>
      <c r="C520" s="2">
        <v>45825</v>
      </c>
      <c r="D520" s="2">
        <v>45855</v>
      </c>
      <c r="E520">
        <v>556.64</v>
      </c>
      <c r="F520" t="s">
        <v>817</v>
      </c>
      <c r="G520" t="s">
        <v>820</v>
      </c>
      <c r="I520" t="s">
        <v>822</v>
      </c>
    </row>
    <row r="521" spans="1:9" x14ac:dyDescent="0.35">
      <c r="A521" t="s">
        <v>528</v>
      </c>
      <c r="B521" t="s">
        <v>812</v>
      </c>
      <c r="C521" s="2">
        <v>45671</v>
      </c>
      <c r="D521" s="2">
        <v>45701</v>
      </c>
      <c r="E521">
        <v>2084.02</v>
      </c>
      <c r="F521" t="s">
        <v>814</v>
      </c>
      <c r="G521" t="s">
        <v>820</v>
      </c>
      <c r="I521" t="s">
        <v>822</v>
      </c>
    </row>
    <row r="522" spans="1:9" x14ac:dyDescent="0.35">
      <c r="A522" t="s">
        <v>529</v>
      </c>
      <c r="B522" t="s">
        <v>813</v>
      </c>
      <c r="C522" s="2">
        <v>45348</v>
      </c>
      <c r="D522" s="2">
        <v>45378</v>
      </c>
      <c r="E522">
        <v>1225.05</v>
      </c>
      <c r="F522" t="s">
        <v>816</v>
      </c>
      <c r="G522" t="s">
        <v>820</v>
      </c>
      <c r="I522" t="s">
        <v>822</v>
      </c>
    </row>
    <row r="523" spans="1:9" x14ac:dyDescent="0.35">
      <c r="A523" t="s">
        <v>530</v>
      </c>
      <c r="B523" t="s">
        <v>810</v>
      </c>
      <c r="C523" s="2">
        <v>44937</v>
      </c>
      <c r="D523" s="2">
        <v>44967</v>
      </c>
      <c r="E523">
        <v>1607.66</v>
      </c>
      <c r="F523" t="s">
        <v>818</v>
      </c>
      <c r="G523" t="s">
        <v>820</v>
      </c>
      <c r="I523" t="s">
        <v>822</v>
      </c>
    </row>
    <row r="524" spans="1:9" x14ac:dyDescent="0.35">
      <c r="A524" t="s">
        <v>531</v>
      </c>
      <c r="B524" t="s">
        <v>809</v>
      </c>
      <c r="C524" s="2">
        <v>45452</v>
      </c>
      <c r="D524" s="2">
        <v>45482</v>
      </c>
      <c r="E524">
        <v>2772.97</v>
      </c>
      <c r="F524" t="s">
        <v>816</v>
      </c>
      <c r="G524" t="s">
        <v>821</v>
      </c>
      <c r="H524" s="2">
        <v>45482</v>
      </c>
      <c r="I524" t="s">
        <v>822</v>
      </c>
    </row>
    <row r="525" spans="1:9" x14ac:dyDescent="0.35">
      <c r="A525" t="s">
        <v>532</v>
      </c>
      <c r="B525" t="s">
        <v>812</v>
      </c>
      <c r="C525" s="2">
        <v>45596</v>
      </c>
      <c r="D525" s="2">
        <v>45626</v>
      </c>
      <c r="E525">
        <v>1641.38</v>
      </c>
      <c r="F525" t="s">
        <v>818</v>
      </c>
      <c r="G525" t="s">
        <v>820</v>
      </c>
      <c r="I525" t="s">
        <v>822</v>
      </c>
    </row>
    <row r="526" spans="1:9" x14ac:dyDescent="0.35">
      <c r="A526" t="s">
        <v>533</v>
      </c>
      <c r="B526" t="s">
        <v>811</v>
      </c>
      <c r="C526" s="2">
        <v>45539</v>
      </c>
      <c r="D526" s="2">
        <v>45569</v>
      </c>
      <c r="E526">
        <v>549.14</v>
      </c>
      <c r="F526" t="s">
        <v>818</v>
      </c>
      <c r="G526" t="s">
        <v>821</v>
      </c>
      <c r="H526" s="2">
        <v>45569</v>
      </c>
      <c r="I526" t="s">
        <v>822</v>
      </c>
    </row>
    <row r="527" spans="1:9" x14ac:dyDescent="0.35">
      <c r="A527" t="s">
        <v>534</v>
      </c>
      <c r="B527" t="s">
        <v>813</v>
      </c>
      <c r="C527" s="2">
        <v>45558</v>
      </c>
      <c r="D527" s="2">
        <v>45588</v>
      </c>
      <c r="E527">
        <v>3700.73</v>
      </c>
      <c r="F527" t="s">
        <v>816</v>
      </c>
      <c r="G527" t="s">
        <v>819</v>
      </c>
      <c r="I527" t="s">
        <v>822</v>
      </c>
    </row>
    <row r="528" spans="1:9" x14ac:dyDescent="0.35">
      <c r="A528" t="s">
        <v>535</v>
      </c>
      <c r="B528" t="s">
        <v>813</v>
      </c>
      <c r="C528" s="2">
        <v>45315</v>
      </c>
      <c r="D528" s="2">
        <v>45345</v>
      </c>
      <c r="E528">
        <v>1616.2</v>
      </c>
      <c r="F528" t="s">
        <v>815</v>
      </c>
      <c r="G528" t="s">
        <v>820</v>
      </c>
      <c r="I528" t="s">
        <v>822</v>
      </c>
    </row>
    <row r="529" spans="1:9" x14ac:dyDescent="0.35">
      <c r="A529" t="s">
        <v>536</v>
      </c>
      <c r="B529" t="s">
        <v>809</v>
      </c>
      <c r="C529" s="2">
        <v>45718</v>
      </c>
      <c r="D529" s="2">
        <v>45748</v>
      </c>
      <c r="E529">
        <v>233.75</v>
      </c>
      <c r="F529" t="s">
        <v>814</v>
      </c>
      <c r="G529" t="s">
        <v>820</v>
      </c>
      <c r="I529" t="s">
        <v>822</v>
      </c>
    </row>
    <row r="530" spans="1:9" x14ac:dyDescent="0.35">
      <c r="A530" t="s">
        <v>537</v>
      </c>
      <c r="B530" t="s">
        <v>809</v>
      </c>
      <c r="C530" s="2">
        <v>45581</v>
      </c>
      <c r="D530" s="2">
        <v>45611</v>
      </c>
      <c r="E530">
        <v>1198.76</v>
      </c>
      <c r="F530" t="s">
        <v>818</v>
      </c>
      <c r="G530" t="s">
        <v>820</v>
      </c>
      <c r="I530" t="s">
        <v>822</v>
      </c>
    </row>
    <row r="531" spans="1:9" x14ac:dyDescent="0.35">
      <c r="A531" t="s">
        <v>538</v>
      </c>
      <c r="B531" t="s">
        <v>813</v>
      </c>
      <c r="C531" s="2">
        <v>45826</v>
      </c>
      <c r="D531" s="2">
        <v>45856</v>
      </c>
      <c r="E531">
        <v>1819.59</v>
      </c>
      <c r="F531" t="s">
        <v>816</v>
      </c>
      <c r="G531" t="s">
        <v>820</v>
      </c>
      <c r="I531" t="s">
        <v>822</v>
      </c>
    </row>
    <row r="532" spans="1:9" x14ac:dyDescent="0.35">
      <c r="A532" t="s">
        <v>539</v>
      </c>
      <c r="B532" t="s">
        <v>813</v>
      </c>
      <c r="C532" s="2">
        <v>45690</v>
      </c>
      <c r="D532" s="2">
        <v>45720</v>
      </c>
      <c r="E532">
        <v>3747.3</v>
      </c>
      <c r="F532" t="s">
        <v>815</v>
      </c>
      <c r="G532" t="s">
        <v>821</v>
      </c>
      <c r="H532" s="2">
        <v>45720</v>
      </c>
      <c r="I532" t="s">
        <v>822</v>
      </c>
    </row>
    <row r="533" spans="1:9" x14ac:dyDescent="0.35">
      <c r="A533" t="s">
        <v>540</v>
      </c>
      <c r="B533" t="s">
        <v>810</v>
      </c>
      <c r="C533" s="2">
        <v>45154</v>
      </c>
      <c r="D533" s="2">
        <v>45184</v>
      </c>
      <c r="E533">
        <v>4706.8100000000004</v>
      </c>
      <c r="F533" t="s">
        <v>814</v>
      </c>
      <c r="G533" t="s">
        <v>821</v>
      </c>
      <c r="H533" s="2">
        <v>45184</v>
      </c>
      <c r="I533" t="s">
        <v>822</v>
      </c>
    </row>
    <row r="534" spans="1:9" x14ac:dyDescent="0.35">
      <c r="A534" t="s">
        <v>541</v>
      </c>
      <c r="B534" t="s">
        <v>812</v>
      </c>
      <c r="C534" s="2">
        <v>45782</v>
      </c>
      <c r="D534" s="2">
        <v>45812</v>
      </c>
      <c r="E534">
        <v>2329.4299999999998</v>
      </c>
      <c r="F534" t="s">
        <v>815</v>
      </c>
      <c r="G534" t="s">
        <v>820</v>
      </c>
      <c r="I534" t="s">
        <v>822</v>
      </c>
    </row>
    <row r="535" spans="1:9" x14ac:dyDescent="0.35">
      <c r="A535" t="s">
        <v>542</v>
      </c>
      <c r="B535" t="s">
        <v>811</v>
      </c>
      <c r="C535" s="2">
        <v>45516</v>
      </c>
      <c r="D535" s="2">
        <v>45546</v>
      </c>
      <c r="E535">
        <v>3499.14</v>
      </c>
      <c r="F535" t="s">
        <v>816</v>
      </c>
      <c r="G535" t="s">
        <v>820</v>
      </c>
      <c r="I535" t="s">
        <v>822</v>
      </c>
    </row>
    <row r="536" spans="1:9" x14ac:dyDescent="0.35">
      <c r="A536" t="s">
        <v>543</v>
      </c>
      <c r="B536" t="s">
        <v>812</v>
      </c>
      <c r="C536" s="2">
        <v>45146</v>
      </c>
      <c r="D536" s="2">
        <v>45176</v>
      </c>
      <c r="E536">
        <v>3732.67</v>
      </c>
      <c r="F536" t="s">
        <v>816</v>
      </c>
      <c r="G536" t="s">
        <v>821</v>
      </c>
      <c r="H536" s="2">
        <v>45176</v>
      </c>
      <c r="I536" t="s">
        <v>822</v>
      </c>
    </row>
    <row r="537" spans="1:9" x14ac:dyDescent="0.35">
      <c r="A537" t="s">
        <v>544</v>
      </c>
      <c r="B537" t="s">
        <v>812</v>
      </c>
      <c r="C537" s="2">
        <v>45542</v>
      </c>
      <c r="D537" s="2">
        <v>45572</v>
      </c>
      <c r="E537">
        <v>365.59</v>
      </c>
      <c r="F537" t="s">
        <v>815</v>
      </c>
      <c r="G537" t="s">
        <v>819</v>
      </c>
      <c r="I537" t="s">
        <v>822</v>
      </c>
    </row>
    <row r="538" spans="1:9" x14ac:dyDescent="0.35">
      <c r="A538" t="s">
        <v>545</v>
      </c>
      <c r="B538" t="s">
        <v>813</v>
      </c>
      <c r="C538" s="2">
        <v>45383</v>
      </c>
      <c r="D538" s="2">
        <v>45413</v>
      </c>
      <c r="E538">
        <v>3778.67</v>
      </c>
      <c r="F538" t="s">
        <v>814</v>
      </c>
      <c r="G538" t="s">
        <v>819</v>
      </c>
      <c r="I538" t="s">
        <v>822</v>
      </c>
    </row>
    <row r="539" spans="1:9" x14ac:dyDescent="0.35">
      <c r="A539" t="s">
        <v>546</v>
      </c>
      <c r="B539" t="s">
        <v>811</v>
      </c>
      <c r="C539" s="2">
        <v>45397</v>
      </c>
      <c r="D539" s="2">
        <v>45427</v>
      </c>
      <c r="E539">
        <v>4324.6400000000003</v>
      </c>
      <c r="F539" t="s">
        <v>814</v>
      </c>
      <c r="G539" t="s">
        <v>820</v>
      </c>
      <c r="I539" t="s">
        <v>822</v>
      </c>
    </row>
    <row r="540" spans="1:9" x14ac:dyDescent="0.35">
      <c r="A540" t="s">
        <v>547</v>
      </c>
      <c r="B540" t="s">
        <v>813</v>
      </c>
      <c r="C540" s="2">
        <v>45500</v>
      </c>
      <c r="D540" s="2">
        <v>45530</v>
      </c>
      <c r="E540">
        <v>3648.16</v>
      </c>
      <c r="F540" t="s">
        <v>815</v>
      </c>
      <c r="G540" t="s">
        <v>821</v>
      </c>
      <c r="H540" s="2">
        <v>45530</v>
      </c>
      <c r="I540" t="s">
        <v>822</v>
      </c>
    </row>
    <row r="541" spans="1:9" x14ac:dyDescent="0.35">
      <c r="A541" t="s">
        <v>548</v>
      </c>
      <c r="B541" t="s">
        <v>810</v>
      </c>
      <c r="C541" s="2">
        <v>45727</v>
      </c>
      <c r="D541" s="2">
        <v>45757</v>
      </c>
      <c r="E541">
        <v>106.75</v>
      </c>
      <c r="F541" t="s">
        <v>818</v>
      </c>
      <c r="G541" t="s">
        <v>821</v>
      </c>
      <c r="H541" s="2">
        <v>45757</v>
      </c>
      <c r="I541" t="s">
        <v>822</v>
      </c>
    </row>
    <row r="542" spans="1:9" x14ac:dyDescent="0.35">
      <c r="A542" t="s">
        <v>549</v>
      </c>
      <c r="B542" t="s">
        <v>810</v>
      </c>
      <c r="C542" s="2">
        <v>44947</v>
      </c>
      <c r="D542" s="2">
        <v>44977</v>
      </c>
      <c r="E542">
        <v>2259.02</v>
      </c>
      <c r="F542" t="s">
        <v>815</v>
      </c>
      <c r="G542" t="s">
        <v>820</v>
      </c>
      <c r="I542" t="s">
        <v>822</v>
      </c>
    </row>
    <row r="543" spans="1:9" x14ac:dyDescent="0.35">
      <c r="A543" t="s">
        <v>550</v>
      </c>
      <c r="B543" t="s">
        <v>812</v>
      </c>
      <c r="C543" s="2">
        <v>44941</v>
      </c>
      <c r="D543" s="2">
        <v>44971</v>
      </c>
      <c r="E543">
        <v>2046.68</v>
      </c>
      <c r="F543" t="s">
        <v>815</v>
      </c>
      <c r="G543" t="s">
        <v>819</v>
      </c>
      <c r="I543" t="s">
        <v>822</v>
      </c>
    </row>
    <row r="544" spans="1:9" x14ac:dyDescent="0.35">
      <c r="A544" t="s">
        <v>551</v>
      </c>
      <c r="B544" t="s">
        <v>812</v>
      </c>
      <c r="C544" s="2">
        <v>45782</v>
      </c>
      <c r="D544" s="2">
        <v>45812</v>
      </c>
      <c r="E544">
        <v>3776.36</v>
      </c>
      <c r="F544" t="s">
        <v>816</v>
      </c>
      <c r="G544" t="s">
        <v>821</v>
      </c>
      <c r="H544" s="2">
        <v>45812</v>
      </c>
      <c r="I544" t="s">
        <v>822</v>
      </c>
    </row>
    <row r="545" spans="1:9" x14ac:dyDescent="0.35">
      <c r="A545" t="s">
        <v>552</v>
      </c>
      <c r="B545" t="s">
        <v>810</v>
      </c>
      <c r="C545" s="2">
        <v>45815</v>
      </c>
      <c r="D545" s="2">
        <v>45845</v>
      </c>
      <c r="E545">
        <v>2839.95</v>
      </c>
      <c r="F545" t="s">
        <v>814</v>
      </c>
      <c r="G545" t="s">
        <v>821</v>
      </c>
      <c r="H545" s="2">
        <v>45845</v>
      </c>
      <c r="I545" t="s">
        <v>822</v>
      </c>
    </row>
    <row r="546" spans="1:9" x14ac:dyDescent="0.35">
      <c r="A546" t="s">
        <v>553</v>
      </c>
      <c r="B546" t="s">
        <v>810</v>
      </c>
      <c r="C546" s="2">
        <v>45122</v>
      </c>
      <c r="D546" s="2">
        <v>45152</v>
      </c>
      <c r="E546">
        <v>2261.9499999999998</v>
      </c>
      <c r="F546" t="s">
        <v>816</v>
      </c>
      <c r="G546" t="s">
        <v>819</v>
      </c>
      <c r="I546" t="s">
        <v>822</v>
      </c>
    </row>
    <row r="547" spans="1:9" x14ac:dyDescent="0.35">
      <c r="A547" t="s">
        <v>554</v>
      </c>
      <c r="B547" t="s">
        <v>810</v>
      </c>
      <c r="C547" s="2">
        <v>45686</v>
      </c>
      <c r="D547" s="2">
        <v>45716</v>
      </c>
      <c r="E547">
        <v>104.02</v>
      </c>
      <c r="F547" t="s">
        <v>814</v>
      </c>
      <c r="G547" t="s">
        <v>820</v>
      </c>
      <c r="I547" t="s">
        <v>822</v>
      </c>
    </row>
    <row r="548" spans="1:9" x14ac:dyDescent="0.35">
      <c r="A548" t="s">
        <v>555</v>
      </c>
      <c r="B548" t="s">
        <v>813</v>
      </c>
      <c r="C548" s="2">
        <v>45818</v>
      </c>
      <c r="D548" s="2">
        <v>45848</v>
      </c>
      <c r="E548">
        <v>3899.93</v>
      </c>
      <c r="F548" t="s">
        <v>816</v>
      </c>
      <c r="G548" t="s">
        <v>820</v>
      </c>
      <c r="I548" t="s">
        <v>822</v>
      </c>
    </row>
    <row r="549" spans="1:9" x14ac:dyDescent="0.35">
      <c r="A549" t="s">
        <v>556</v>
      </c>
      <c r="B549" t="s">
        <v>812</v>
      </c>
      <c r="C549" s="2">
        <v>45476</v>
      </c>
      <c r="D549" s="2">
        <v>45506</v>
      </c>
      <c r="E549">
        <v>276.7</v>
      </c>
      <c r="F549" t="s">
        <v>814</v>
      </c>
      <c r="G549" t="s">
        <v>819</v>
      </c>
      <c r="I549" t="s">
        <v>822</v>
      </c>
    </row>
    <row r="550" spans="1:9" x14ac:dyDescent="0.35">
      <c r="A550" t="s">
        <v>557</v>
      </c>
      <c r="B550" t="s">
        <v>809</v>
      </c>
      <c r="C550" s="2">
        <v>45096</v>
      </c>
      <c r="D550" s="2">
        <v>45126</v>
      </c>
      <c r="E550">
        <v>4610.3100000000004</v>
      </c>
      <c r="F550" t="s">
        <v>817</v>
      </c>
      <c r="G550" t="s">
        <v>820</v>
      </c>
      <c r="I550" t="s">
        <v>822</v>
      </c>
    </row>
    <row r="551" spans="1:9" x14ac:dyDescent="0.35">
      <c r="A551" t="s">
        <v>558</v>
      </c>
      <c r="B551" t="s">
        <v>811</v>
      </c>
      <c r="C551" s="2">
        <v>45812</v>
      </c>
      <c r="D551" s="2">
        <v>45842</v>
      </c>
      <c r="E551">
        <v>1285.1300000000001</v>
      </c>
      <c r="F551" t="s">
        <v>816</v>
      </c>
      <c r="G551" t="s">
        <v>821</v>
      </c>
      <c r="H551" s="2">
        <v>45842</v>
      </c>
      <c r="I551" t="s">
        <v>822</v>
      </c>
    </row>
    <row r="552" spans="1:9" x14ac:dyDescent="0.35">
      <c r="A552" t="s">
        <v>559</v>
      </c>
      <c r="B552" t="s">
        <v>813</v>
      </c>
      <c r="C552" s="2">
        <v>45069</v>
      </c>
      <c r="D552" s="2">
        <v>45099</v>
      </c>
      <c r="E552">
        <v>3752.28</v>
      </c>
      <c r="F552" t="s">
        <v>816</v>
      </c>
      <c r="G552" t="s">
        <v>820</v>
      </c>
      <c r="I552" t="s">
        <v>822</v>
      </c>
    </row>
    <row r="553" spans="1:9" x14ac:dyDescent="0.35">
      <c r="A553" t="s">
        <v>560</v>
      </c>
      <c r="B553" t="s">
        <v>810</v>
      </c>
      <c r="C553" s="2">
        <v>45234</v>
      </c>
      <c r="D553" s="2">
        <v>45264</v>
      </c>
      <c r="E553">
        <v>3746.16</v>
      </c>
      <c r="F553" t="s">
        <v>816</v>
      </c>
      <c r="G553" t="s">
        <v>819</v>
      </c>
      <c r="I553" t="s">
        <v>822</v>
      </c>
    </row>
    <row r="554" spans="1:9" x14ac:dyDescent="0.35">
      <c r="A554" t="s">
        <v>561</v>
      </c>
      <c r="B554" t="s">
        <v>809</v>
      </c>
      <c r="C554" s="2">
        <v>45644</v>
      </c>
      <c r="D554" s="2">
        <v>45674</v>
      </c>
      <c r="E554">
        <v>4464.8999999999996</v>
      </c>
      <c r="F554" t="s">
        <v>817</v>
      </c>
      <c r="G554" t="s">
        <v>821</v>
      </c>
      <c r="H554" s="2">
        <v>45674</v>
      </c>
      <c r="I554" t="s">
        <v>822</v>
      </c>
    </row>
    <row r="555" spans="1:9" x14ac:dyDescent="0.35">
      <c r="A555" t="s">
        <v>562</v>
      </c>
      <c r="B555" t="s">
        <v>813</v>
      </c>
      <c r="C555" s="2">
        <v>45471</v>
      </c>
      <c r="D555" s="2">
        <v>45501</v>
      </c>
      <c r="E555">
        <v>4957.1499999999996</v>
      </c>
      <c r="F555" t="s">
        <v>817</v>
      </c>
      <c r="G555" t="s">
        <v>819</v>
      </c>
      <c r="I555" t="s">
        <v>822</v>
      </c>
    </row>
    <row r="556" spans="1:9" x14ac:dyDescent="0.35">
      <c r="A556" t="s">
        <v>563</v>
      </c>
      <c r="B556" t="s">
        <v>812</v>
      </c>
      <c r="C556" s="2">
        <v>45503</v>
      </c>
      <c r="D556" s="2">
        <v>45533</v>
      </c>
      <c r="E556">
        <v>129.91</v>
      </c>
      <c r="F556" t="s">
        <v>816</v>
      </c>
      <c r="G556" t="s">
        <v>819</v>
      </c>
      <c r="I556" t="s">
        <v>822</v>
      </c>
    </row>
    <row r="557" spans="1:9" x14ac:dyDescent="0.35">
      <c r="A557" t="s">
        <v>564</v>
      </c>
      <c r="B557" t="s">
        <v>810</v>
      </c>
      <c r="C557" s="2">
        <v>45080</v>
      </c>
      <c r="D557" s="2">
        <v>45110</v>
      </c>
      <c r="E557">
        <v>4151.46</v>
      </c>
      <c r="F557" t="s">
        <v>818</v>
      </c>
      <c r="G557" t="s">
        <v>821</v>
      </c>
      <c r="H557" s="2">
        <v>45110</v>
      </c>
      <c r="I557" t="s">
        <v>822</v>
      </c>
    </row>
    <row r="558" spans="1:9" x14ac:dyDescent="0.35">
      <c r="A558" t="s">
        <v>565</v>
      </c>
      <c r="B558" t="s">
        <v>813</v>
      </c>
      <c r="C558" s="2">
        <v>45345</v>
      </c>
      <c r="D558" s="2">
        <v>45375</v>
      </c>
      <c r="E558">
        <v>4386</v>
      </c>
      <c r="F558" t="s">
        <v>818</v>
      </c>
      <c r="G558" t="s">
        <v>819</v>
      </c>
      <c r="I558" t="s">
        <v>822</v>
      </c>
    </row>
    <row r="559" spans="1:9" x14ac:dyDescent="0.35">
      <c r="A559" t="s">
        <v>566</v>
      </c>
      <c r="B559" t="s">
        <v>812</v>
      </c>
      <c r="C559" s="2">
        <v>45452</v>
      </c>
      <c r="D559" s="2">
        <v>45482</v>
      </c>
      <c r="E559">
        <v>2792.29</v>
      </c>
      <c r="F559" t="s">
        <v>818</v>
      </c>
      <c r="G559" t="s">
        <v>821</v>
      </c>
      <c r="H559" s="2">
        <v>45482</v>
      </c>
      <c r="I559" t="s">
        <v>822</v>
      </c>
    </row>
    <row r="560" spans="1:9" x14ac:dyDescent="0.35">
      <c r="A560" t="s">
        <v>567</v>
      </c>
      <c r="B560" t="s">
        <v>813</v>
      </c>
      <c r="C560" s="2">
        <v>45738</v>
      </c>
      <c r="D560" s="2">
        <v>45768</v>
      </c>
      <c r="E560">
        <v>2307.9</v>
      </c>
      <c r="F560" t="s">
        <v>816</v>
      </c>
      <c r="G560" t="s">
        <v>819</v>
      </c>
      <c r="I560" t="s">
        <v>822</v>
      </c>
    </row>
    <row r="561" spans="1:9" x14ac:dyDescent="0.35">
      <c r="A561" t="s">
        <v>568</v>
      </c>
      <c r="B561" t="s">
        <v>809</v>
      </c>
      <c r="C561" s="2">
        <v>45537</v>
      </c>
      <c r="D561" s="2">
        <v>45567</v>
      </c>
      <c r="E561">
        <v>1432.07</v>
      </c>
      <c r="F561" t="s">
        <v>818</v>
      </c>
      <c r="G561" t="s">
        <v>821</v>
      </c>
      <c r="H561" s="2">
        <v>45567</v>
      </c>
      <c r="I561" t="s">
        <v>822</v>
      </c>
    </row>
    <row r="562" spans="1:9" x14ac:dyDescent="0.35">
      <c r="A562" t="s">
        <v>569</v>
      </c>
      <c r="B562" t="s">
        <v>812</v>
      </c>
      <c r="C562" s="2">
        <v>45472</v>
      </c>
      <c r="D562" s="2">
        <v>45502</v>
      </c>
      <c r="E562">
        <v>2127.41</v>
      </c>
      <c r="F562" t="s">
        <v>817</v>
      </c>
      <c r="G562" t="s">
        <v>819</v>
      </c>
      <c r="I562" t="s">
        <v>822</v>
      </c>
    </row>
    <row r="563" spans="1:9" x14ac:dyDescent="0.35">
      <c r="A563" t="s">
        <v>570</v>
      </c>
      <c r="B563" t="s">
        <v>811</v>
      </c>
      <c r="C563" s="2">
        <v>45623</v>
      </c>
      <c r="D563" s="2">
        <v>45653</v>
      </c>
      <c r="E563">
        <v>254.96</v>
      </c>
      <c r="F563" t="s">
        <v>816</v>
      </c>
      <c r="G563" t="s">
        <v>821</v>
      </c>
      <c r="H563" s="2">
        <v>45653</v>
      </c>
      <c r="I563" t="s">
        <v>822</v>
      </c>
    </row>
    <row r="564" spans="1:9" x14ac:dyDescent="0.35">
      <c r="A564" t="s">
        <v>571</v>
      </c>
      <c r="B564" t="s">
        <v>812</v>
      </c>
      <c r="C564" s="2">
        <v>45160</v>
      </c>
      <c r="D564" s="2">
        <v>45190</v>
      </c>
      <c r="E564">
        <v>2704.91</v>
      </c>
      <c r="F564" t="s">
        <v>818</v>
      </c>
      <c r="G564" t="s">
        <v>819</v>
      </c>
      <c r="I564" t="s">
        <v>822</v>
      </c>
    </row>
    <row r="565" spans="1:9" x14ac:dyDescent="0.35">
      <c r="A565" t="s">
        <v>572</v>
      </c>
      <c r="B565" t="s">
        <v>811</v>
      </c>
      <c r="C565" s="2">
        <v>45438</v>
      </c>
      <c r="D565" s="2">
        <v>45468</v>
      </c>
      <c r="E565">
        <v>1222.6300000000001</v>
      </c>
      <c r="F565" t="s">
        <v>815</v>
      </c>
      <c r="G565" t="s">
        <v>821</v>
      </c>
      <c r="H565" s="2">
        <v>45468</v>
      </c>
      <c r="I565" t="s">
        <v>822</v>
      </c>
    </row>
    <row r="566" spans="1:9" x14ac:dyDescent="0.35">
      <c r="A566" t="s">
        <v>573</v>
      </c>
      <c r="B566" t="s">
        <v>810</v>
      </c>
      <c r="C566" s="2">
        <v>44951</v>
      </c>
      <c r="D566" s="2">
        <v>44981</v>
      </c>
      <c r="E566">
        <v>2660.77</v>
      </c>
      <c r="F566" t="s">
        <v>817</v>
      </c>
      <c r="G566" t="s">
        <v>820</v>
      </c>
      <c r="I566" t="s">
        <v>822</v>
      </c>
    </row>
    <row r="567" spans="1:9" x14ac:dyDescent="0.35">
      <c r="A567" t="s">
        <v>574</v>
      </c>
      <c r="B567" t="s">
        <v>812</v>
      </c>
      <c r="C567" s="2">
        <v>45120</v>
      </c>
      <c r="D567" s="2">
        <v>45150</v>
      </c>
      <c r="E567">
        <v>1359</v>
      </c>
      <c r="F567" t="s">
        <v>814</v>
      </c>
      <c r="G567" t="s">
        <v>819</v>
      </c>
      <c r="I567" t="s">
        <v>822</v>
      </c>
    </row>
    <row r="568" spans="1:9" x14ac:dyDescent="0.35">
      <c r="A568" t="s">
        <v>575</v>
      </c>
      <c r="B568" t="s">
        <v>812</v>
      </c>
      <c r="C568" s="2">
        <v>45182</v>
      </c>
      <c r="D568" s="2">
        <v>45212</v>
      </c>
      <c r="E568">
        <v>1597.59</v>
      </c>
      <c r="F568" t="s">
        <v>814</v>
      </c>
      <c r="G568" t="s">
        <v>821</v>
      </c>
      <c r="H568" s="2">
        <v>45212</v>
      </c>
      <c r="I568" t="s">
        <v>822</v>
      </c>
    </row>
    <row r="569" spans="1:9" x14ac:dyDescent="0.35">
      <c r="A569" t="s">
        <v>576</v>
      </c>
      <c r="B569" t="s">
        <v>809</v>
      </c>
      <c r="C569" s="2">
        <v>44997</v>
      </c>
      <c r="D569" s="2">
        <v>45027</v>
      </c>
      <c r="E569">
        <v>4456.2</v>
      </c>
      <c r="F569" t="s">
        <v>815</v>
      </c>
      <c r="G569" t="s">
        <v>820</v>
      </c>
      <c r="I569" t="s">
        <v>822</v>
      </c>
    </row>
    <row r="570" spans="1:9" x14ac:dyDescent="0.35">
      <c r="A570" t="s">
        <v>577</v>
      </c>
      <c r="B570" t="s">
        <v>813</v>
      </c>
      <c r="C570" s="2">
        <v>45587</v>
      </c>
      <c r="D570" s="2">
        <v>45617</v>
      </c>
      <c r="E570">
        <v>583.61</v>
      </c>
      <c r="F570" t="s">
        <v>816</v>
      </c>
      <c r="G570" t="s">
        <v>820</v>
      </c>
      <c r="I570" t="s">
        <v>822</v>
      </c>
    </row>
    <row r="571" spans="1:9" x14ac:dyDescent="0.35">
      <c r="A571" t="s">
        <v>578</v>
      </c>
      <c r="B571" t="s">
        <v>813</v>
      </c>
      <c r="C571" s="2">
        <v>45511</v>
      </c>
      <c r="D571" s="2">
        <v>45541</v>
      </c>
      <c r="E571">
        <v>3912.65</v>
      </c>
      <c r="F571" t="s">
        <v>817</v>
      </c>
      <c r="G571" t="s">
        <v>820</v>
      </c>
      <c r="I571" t="s">
        <v>822</v>
      </c>
    </row>
    <row r="572" spans="1:9" x14ac:dyDescent="0.35">
      <c r="A572" t="s">
        <v>579</v>
      </c>
      <c r="B572" t="s">
        <v>812</v>
      </c>
      <c r="C572" s="2">
        <v>45070</v>
      </c>
      <c r="D572" s="2">
        <v>45100</v>
      </c>
      <c r="E572">
        <v>2835.21</v>
      </c>
      <c r="F572" t="s">
        <v>817</v>
      </c>
      <c r="G572" t="s">
        <v>821</v>
      </c>
      <c r="H572" s="2">
        <v>45100</v>
      </c>
      <c r="I572" t="s">
        <v>822</v>
      </c>
    </row>
    <row r="573" spans="1:9" x14ac:dyDescent="0.35">
      <c r="A573" t="s">
        <v>580</v>
      </c>
      <c r="B573" t="s">
        <v>812</v>
      </c>
      <c r="C573" s="2">
        <v>45461</v>
      </c>
      <c r="D573" s="2">
        <v>45491</v>
      </c>
      <c r="E573">
        <v>865.54</v>
      </c>
      <c r="F573" t="s">
        <v>814</v>
      </c>
      <c r="G573" t="s">
        <v>820</v>
      </c>
      <c r="I573" t="s">
        <v>822</v>
      </c>
    </row>
    <row r="574" spans="1:9" x14ac:dyDescent="0.35">
      <c r="A574" t="s">
        <v>581</v>
      </c>
      <c r="B574" t="s">
        <v>812</v>
      </c>
      <c r="C574" s="2">
        <v>45455</v>
      </c>
      <c r="D574" s="2">
        <v>45485</v>
      </c>
      <c r="E574">
        <v>3671.15</v>
      </c>
      <c r="F574" t="s">
        <v>816</v>
      </c>
      <c r="G574" t="s">
        <v>820</v>
      </c>
      <c r="I574" t="s">
        <v>822</v>
      </c>
    </row>
    <row r="575" spans="1:9" x14ac:dyDescent="0.35">
      <c r="A575" t="s">
        <v>582</v>
      </c>
      <c r="B575" t="s">
        <v>811</v>
      </c>
      <c r="C575" s="2">
        <v>45775</v>
      </c>
      <c r="D575" s="2">
        <v>45805</v>
      </c>
      <c r="E575">
        <v>2131.81</v>
      </c>
      <c r="F575" t="s">
        <v>817</v>
      </c>
      <c r="G575" t="s">
        <v>821</v>
      </c>
      <c r="H575" s="2">
        <v>45805</v>
      </c>
      <c r="I575" t="s">
        <v>822</v>
      </c>
    </row>
    <row r="576" spans="1:9" x14ac:dyDescent="0.35">
      <c r="A576" t="s">
        <v>583</v>
      </c>
      <c r="B576" t="s">
        <v>810</v>
      </c>
      <c r="C576" s="2">
        <v>45616</v>
      </c>
      <c r="D576" s="2">
        <v>45646</v>
      </c>
      <c r="E576">
        <v>4512.54</v>
      </c>
      <c r="F576" t="s">
        <v>818</v>
      </c>
      <c r="G576" t="s">
        <v>820</v>
      </c>
      <c r="I576" t="s">
        <v>822</v>
      </c>
    </row>
    <row r="577" spans="1:9" x14ac:dyDescent="0.35">
      <c r="A577" t="s">
        <v>584</v>
      </c>
      <c r="B577" t="s">
        <v>809</v>
      </c>
      <c r="C577" s="2">
        <v>45491</v>
      </c>
      <c r="D577" s="2">
        <v>45521</v>
      </c>
      <c r="E577">
        <v>4516.3100000000004</v>
      </c>
      <c r="F577" t="s">
        <v>817</v>
      </c>
      <c r="G577" t="s">
        <v>819</v>
      </c>
      <c r="I577" t="s">
        <v>822</v>
      </c>
    </row>
    <row r="578" spans="1:9" x14ac:dyDescent="0.35">
      <c r="A578" t="s">
        <v>585</v>
      </c>
      <c r="B578" t="s">
        <v>810</v>
      </c>
      <c r="C578" s="2">
        <v>45554</v>
      </c>
      <c r="D578" s="2">
        <v>45584</v>
      </c>
      <c r="E578">
        <v>1978.27</v>
      </c>
      <c r="F578" t="s">
        <v>817</v>
      </c>
      <c r="G578" t="s">
        <v>821</v>
      </c>
      <c r="H578" s="2">
        <v>45584</v>
      </c>
      <c r="I578" t="s">
        <v>822</v>
      </c>
    </row>
    <row r="579" spans="1:9" x14ac:dyDescent="0.35">
      <c r="A579" t="s">
        <v>586</v>
      </c>
      <c r="B579" t="s">
        <v>811</v>
      </c>
      <c r="C579" s="2">
        <v>45417</v>
      </c>
      <c r="D579" s="2">
        <v>45447</v>
      </c>
      <c r="E579">
        <v>1703.15</v>
      </c>
      <c r="F579" t="s">
        <v>816</v>
      </c>
      <c r="G579" t="s">
        <v>821</v>
      </c>
      <c r="H579" s="2">
        <v>45447</v>
      </c>
      <c r="I579" t="s">
        <v>822</v>
      </c>
    </row>
    <row r="580" spans="1:9" x14ac:dyDescent="0.35">
      <c r="A580" t="s">
        <v>587</v>
      </c>
      <c r="B580" t="s">
        <v>809</v>
      </c>
      <c r="C580" s="2">
        <v>45287</v>
      </c>
      <c r="D580" s="2">
        <v>45317</v>
      </c>
      <c r="E580">
        <v>765.18</v>
      </c>
      <c r="F580" t="s">
        <v>817</v>
      </c>
      <c r="G580" t="s">
        <v>819</v>
      </c>
      <c r="I580" t="s">
        <v>822</v>
      </c>
    </row>
    <row r="581" spans="1:9" x14ac:dyDescent="0.35">
      <c r="A581" t="s">
        <v>588</v>
      </c>
      <c r="B581" t="s">
        <v>810</v>
      </c>
      <c r="C581" s="2">
        <v>44992</v>
      </c>
      <c r="D581" s="2">
        <v>45022</v>
      </c>
      <c r="E581">
        <v>4823.6099999999997</v>
      </c>
      <c r="F581" t="s">
        <v>818</v>
      </c>
      <c r="G581" t="s">
        <v>819</v>
      </c>
      <c r="I581" t="s">
        <v>822</v>
      </c>
    </row>
    <row r="582" spans="1:9" x14ac:dyDescent="0.35">
      <c r="A582" t="s">
        <v>589</v>
      </c>
      <c r="B582" t="s">
        <v>813</v>
      </c>
      <c r="C582" s="2">
        <v>45813</v>
      </c>
      <c r="D582" s="2">
        <v>45843</v>
      </c>
      <c r="E582">
        <v>929.8</v>
      </c>
      <c r="F582" t="s">
        <v>817</v>
      </c>
      <c r="G582" t="s">
        <v>821</v>
      </c>
      <c r="H582" s="2">
        <v>45843</v>
      </c>
      <c r="I582" t="s">
        <v>822</v>
      </c>
    </row>
    <row r="583" spans="1:9" x14ac:dyDescent="0.35">
      <c r="A583" t="s">
        <v>590</v>
      </c>
      <c r="B583" t="s">
        <v>812</v>
      </c>
      <c r="C583" s="2">
        <v>45349</v>
      </c>
      <c r="D583" s="2">
        <v>45379</v>
      </c>
      <c r="E583">
        <v>4543.1099999999997</v>
      </c>
      <c r="F583" t="s">
        <v>817</v>
      </c>
      <c r="G583" t="s">
        <v>821</v>
      </c>
      <c r="H583" s="2">
        <v>45379</v>
      </c>
      <c r="I583" t="s">
        <v>822</v>
      </c>
    </row>
    <row r="584" spans="1:9" x14ac:dyDescent="0.35">
      <c r="A584" t="s">
        <v>591</v>
      </c>
      <c r="B584" t="s">
        <v>809</v>
      </c>
      <c r="C584" s="2">
        <v>45354</v>
      </c>
      <c r="D584" s="2">
        <v>45384</v>
      </c>
      <c r="E584">
        <v>3165.91</v>
      </c>
      <c r="F584" t="s">
        <v>818</v>
      </c>
      <c r="G584" t="s">
        <v>820</v>
      </c>
      <c r="I584" t="s">
        <v>822</v>
      </c>
    </row>
    <row r="585" spans="1:9" x14ac:dyDescent="0.35">
      <c r="A585" t="s">
        <v>592</v>
      </c>
      <c r="B585" t="s">
        <v>813</v>
      </c>
      <c r="C585" s="2">
        <v>45749</v>
      </c>
      <c r="D585" s="2">
        <v>45779</v>
      </c>
      <c r="E585">
        <v>674.53</v>
      </c>
      <c r="F585" t="s">
        <v>817</v>
      </c>
      <c r="G585" t="s">
        <v>820</v>
      </c>
      <c r="I585" t="s">
        <v>822</v>
      </c>
    </row>
    <row r="586" spans="1:9" x14ac:dyDescent="0.35">
      <c r="A586" t="s">
        <v>593</v>
      </c>
      <c r="B586" t="s">
        <v>809</v>
      </c>
      <c r="C586" s="2">
        <v>45342</v>
      </c>
      <c r="D586" s="2">
        <v>45372</v>
      </c>
      <c r="E586">
        <v>860.37</v>
      </c>
      <c r="F586" t="s">
        <v>814</v>
      </c>
      <c r="G586" t="s">
        <v>821</v>
      </c>
      <c r="H586" s="2">
        <v>45372</v>
      </c>
      <c r="I586" t="s">
        <v>822</v>
      </c>
    </row>
    <row r="587" spans="1:9" x14ac:dyDescent="0.35">
      <c r="A587" t="s">
        <v>594</v>
      </c>
      <c r="B587" t="s">
        <v>809</v>
      </c>
      <c r="C587" s="2">
        <v>44953</v>
      </c>
      <c r="D587" s="2">
        <v>44983</v>
      </c>
      <c r="E587">
        <v>1506.08</v>
      </c>
      <c r="F587" t="s">
        <v>814</v>
      </c>
      <c r="G587" t="s">
        <v>820</v>
      </c>
      <c r="I587" t="s">
        <v>822</v>
      </c>
    </row>
    <row r="588" spans="1:9" x14ac:dyDescent="0.35">
      <c r="A588" t="s">
        <v>595</v>
      </c>
      <c r="B588" t="s">
        <v>812</v>
      </c>
      <c r="C588" s="2">
        <v>45163</v>
      </c>
      <c r="D588" s="2">
        <v>45193</v>
      </c>
      <c r="E588">
        <v>1413.73</v>
      </c>
      <c r="F588" t="s">
        <v>818</v>
      </c>
      <c r="G588" t="s">
        <v>819</v>
      </c>
      <c r="I588" t="s">
        <v>822</v>
      </c>
    </row>
    <row r="589" spans="1:9" x14ac:dyDescent="0.35">
      <c r="A589" t="s">
        <v>596</v>
      </c>
      <c r="B589" t="s">
        <v>811</v>
      </c>
      <c r="C589" s="2">
        <v>45230</v>
      </c>
      <c r="D589" s="2">
        <v>45260</v>
      </c>
      <c r="E589">
        <v>3386.32</v>
      </c>
      <c r="F589" t="s">
        <v>814</v>
      </c>
      <c r="G589" t="s">
        <v>821</v>
      </c>
      <c r="H589" s="2">
        <v>45260</v>
      </c>
      <c r="I589" t="s">
        <v>822</v>
      </c>
    </row>
    <row r="590" spans="1:9" x14ac:dyDescent="0.35">
      <c r="A590" t="s">
        <v>597</v>
      </c>
      <c r="B590" t="s">
        <v>809</v>
      </c>
      <c r="C590" s="2">
        <v>45633</v>
      </c>
      <c r="D590" s="2">
        <v>45663</v>
      </c>
      <c r="E590">
        <v>3632.78</v>
      </c>
      <c r="F590" t="s">
        <v>817</v>
      </c>
      <c r="G590" t="s">
        <v>821</v>
      </c>
      <c r="H590" s="2">
        <v>45663</v>
      </c>
      <c r="I590" t="s">
        <v>822</v>
      </c>
    </row>
    <row r="591" spans="1:9" x14ac:dyDescent="0.35">
      <c r="A591" t="s">
        <v>598</v>
      </c>
      <c r="B591" t="s">
        <v>813</v>
      </c>
      <c r="C591" s="2">
        <v>45474</v>
      </c>
      <c r="D591" s="2">
        <v>45504</v>
      </c>
      <c r="E591">
        <v>994.97</v>
      </c>
      <c r="F591" t="s">
        <v>815</v>
      </c>
      <c r="G591" t="s">
        <v>821</v>
      </c>
      <c r="H591" s="2">
        <v>45504</v>
      </c>
      <c r="I591" t="s">
        <v>822</v>
      </c>
    </row>
    <row r="592" spans="1:9" x14ac:dyDescent="0.35">
      <c r="A592" t="s">
        <v>599</v>
      </c>
      <c r="B592" t="s">
        <v>813</v>
      </c>
      <c r="C592" s="2">
        <v>45282</v>
      </c>
      <c r="D592" s="2">
        <v>45312</v>
      </c>
      <c r="E592">
        <v>2164.98</v>
      </c>
      <c r="F592" t="s">
        <v>818</v>
      </c>
      <c r="G592" t="s">
        <v>821</v>
      </c>
      <c r="H592" s="2">
        <v>45312</v>
      </c>
      <c r="I592" t="s">
        <v>822</v>
      </c>
    </row>
    <row r="593" spans="1:9" x14ac:dyDescent="0.35">
      <c r="A593" t="s">
        <v>600</v>
      </c>
      <c r="B593" t="s">
        <v>812</v>
      </c>
      <c r="C593" s="2">
        <v>45510</v>
      </c>
      <c r="D593" s="2">
        <v>45540</v>
      </c>
      <c r="E593">
        <v>3042.89</v>
      </c>
      <c r="F593" t="s">
        <v>818</v>
      </c>
      <c r="G593" t="s">
        <v>821</v>
      </c>
      <c r="H593" s="2">
        <v>45540</v>
      </c>
      <c r="I593" t="s">
        <v>822</v>
      </c>
    </row>
    <row r="594" spans="1:9" x14ac:dyDescent="0.35">
      <c r="A594" t="s">
        <v>601</v>
      </c>
      <c r="B594" t="s">
        <v>809</v>
      </c>
      <c r="C594" s="2">
        <v>45245</v>
      </c>
      <c r="D594" s="2">
        <v>45275</v>
      </c>
      <c r="E594">
        <v>4101.79</v>
      </c>
      <c r="F594" t="s">
        <v>818</v>
      </c>
      <c r="G594" t="s">
        <v>821</v>
      </c>
      <c r="H594" s="2">
        <v>45275</v>
      </c>
      <c r="I594" t="s">
        <v>822</v>
      </c>
    </row>
    <row r="595" spans="1:9" x14ac:dyDescent="0.35">
      <c r="A595" t="s">
        <v>602</v>
      </c>
      <c r="B595" t="s">
        <v>813</v>
      </c>
      <c r="C595" s="2">
        <v>45190</v>
      </c>
      <c r="D595" s="2">
        <v>45220</v>
      </c>
      <c r="E595">
        <v>3506.57</v>
      </c>
      <c r="F595" t="s">
        <v>816</v>
      </c>
      <c r="G595" t="s">
        <v>821</v>
      </c>
      <c r="H595" s="2">
        <v>45220</v>
      </c>
      <c r="I595" t="s">
        <v>822</v>
      </c>
    </row>
    <row r="596" spans="1:9" x14ac:dyDescent="0.35">
      <c r="A596" t="s">
        <v>603</v>
      </c>
      <c r="B596" t="s">
        <v>813</v>
      </c>
      <c r="C596" s="2">
        <v>45797</v>
      </c>
      <c r="D596" s="2">
        <v>45827</v>
      </c>
      <c r="E596">
        <v>3352.25</v>
      </c>
      <c r="F596" t="s">
        <v>814</v>
      </c>
      <c r="G596" t="s">
        <v>820</v>
      </c>
      <c r="I596" t="s">
        <v>822</v>
      </c>
    </row>
    <row r="597" spans="1:9" x14ac:dyDescent="0.35">
      <c r="A597" t="s">
        <v>604</v>
      </c>
      <c r="B597" t="s">
        <v>813</v>
      </c>
      <c r="C597" s="2">
        <v>45220</v>
      </c>
      <c r="D597" s="2">
        <v>45250</v>
      </c>
      <c r="E597">
        <v>940.15</v>
      </c>
      <c r="F597" t="s">
        <v>817</v>
      </c>
      <c r="G597" t="s">
        <v>819</v>
      </c>
      <c r="I597" t="s">
        <v>822</v>
      </c>
    </row>
    <row r="598" spans="1:9" x14ac:dyDescent="0.35">
      <c r="A598" t="s">
        <v>605</v>
      </c>
      <c r="B598" t="s">
        <v>809</v>
      </c>
      <c r="C598" s="2">
        <v>45162</v>
      </c>
      <c r="D598" s="2">
        <v>45192</v>
      </c>
      <c r="E598">
        <v>3505.16</v>
      </c>
      <c r="F598" t="s">
        <v>817</v>
      </c>
      <c r="G598" t="s">
        <v>819</v>
      </c>
      <c r="I598" t="s">
        <v>822</v>
      </c>
    </row>
    <row r="599" spans="1:9" x14ac:dyDescent="0.35">
      <c r="A599" t="s">
        <v>606</v>
      </c>
      <c r="B599" t="s">
        <v>812</v>
      </c>
      <c r="C599" s="2">
        <v>45420</v>
      </c>
      <c r="D599" s="2">
        <v>45450</v>
      </c>
      <c r="E599">
        <v>319.55</v>
      </c>
      <c r="F599" t="s">
        <v>814</v>
      </c>
      <c r="G599" t="s">
        <v>820</v>
      </c>
      <c r="I599" t="s">
        <v>822</v>
      </c>
    </row>
    <row r="600" spans="1:9" x14ac:dyDescent="0.35">
      <c r="A600" t="s">
        <v>607</v>
      </c>
      <c r="B600" t="s">
        <v>811</v>
      </c>
      <c r="C600" s="2">
        <v>45223</v>
      </c>
      <c r="D600" s="2">
        <v>45253</v>
      </c>
      <c r="E600">
        <v>1360.57</v>
      </c>
      <c r="F600" t="s">
        <v>815</v>
      </c>
      <c r="G600" t="s">
        <v>821</v>
      </c>
      <c r="H600" s="2">
        <v>45253</v>
      </c>
      <c r="I600" t="s">
        <v>822</v>
      </c>
    </row>
    <row r="601" spans="1:9" x14ac:dyDescent="0.35">
      <c r="A601" t="s">
        <v>608</v>
      </c>
      <c r="B601" t="s">
        <v>811</v>
      </c>
      <c r="C601" s="2">
        <v>45277</v>
      </c>
      <c r="D601" s="2">
        <v>45307</v>
      </c>
      <c r="E601">
        <v>2177.67</v>
      </c>
      <c r="F601" t="s">
        <v>817</v>
      </c>
      <c r="G601" t="s">
        <v>821</v>
      </c>
      <c r="H601" s="2">
        <v>45307</v>
      </c>
      <c r="I601" t="s">
        <v>822</v>
      </c>
    </row>
    <row r="602" spans="1:9" x14ac:dyDescent="0.35">
      <c r="A602" t="s">
        <v>609</v>
      </c>
      <c r="B602" t="s">
        <v>812</v>
      </c>
      <c r="C602" s="2">
        <v>45004</v>
      </c>
      <c r="D602" s="2">
        <v>45034</v>
      </c>
      <c r="E602">
        <v>203.9</v>
      </c>
      <c r="F602" t="s">
        <v>815</v>
      </c>
      <c r="G602" t="s">
        <v>819</v>
      </c>
      <c r="I602" t="s">
        <v>822</v>
      </c>
    </row>
    <row r="603" spans="1:9" x14ac:dyDescent="0.35">
      <c r="A603" t="s">
        <v>610</v>
      </c>
      <c r="B603" t="s">
        <v>809</v>
      </c>
      <c r="C603" s="2">
        <v>45227</v>
      </c>
      <c r="D603" s="2">
        <v>45257</v>
      </c>
      <c r="E603">
        <v>868.73</v>
      </c>
      <c r="F603" t="s">
        <v>818</v>
      </c>
      <c r="G603" t="s">
        <v>821</v>
      </c>
      <c r="H603" s="2">
        <v>45257</v>
      </c>
      <c r="I603" t="s">
        <v>822</v>
      </c>
    </row>
    <row r="604" spans="1:9" x14ac:dyDescent="0.35">
      <c r="A604" t="s">
        <v>611</v>
      </c>
      <c r="B604" t="s">
        <v>813</v>
      </c>
      <c r="C604" s="2">
        <v>45082</v>
      </c>
      <c r="D604" s="2">
        <v>45112</v>
      </c>
      <c r="E604">
        <v>283.51</v>
      </c>
      <c r="F604" t="s">
        <v>818</v>
      </c>
      <c r="G604" t="s">
        <v>819</v>
      </c>
      <c r="I604" t="s">
        <v>822</v>
      </c>
    </row>
    <row r="605" spans="1:9" x14ac:dyDescent="0.35">
      <c r="A605" t="s">
        <v>612</v>
      </c>
      <c r="B605" t="s">
        <v>810</v>
      </c>
      <c r="C605" s="2">
        <v>45625</v>
      </c>
      <c r="D605" s="2">
        <v>45655</v>
      </c>
      <c r="E605">
        <v>1373.89</v>
      </c>
      <c r="F605" t="s">
        <v>817</v>
      </c>
      <c r="G605" t="s">
        <v>820</v>
      </c>
      <c r="I605" t="s">
        <v>822</v>
      </c>
    </row>
    <row r="606" spans="1:9" x14ac:dyDescent="0.35">
      <c r="A606" t="s">
        <v>613</v>
      </c>
      <c r="B606" t="s">
        <v>809</v>
      </c>
      <c r="C606" s="2">
        <v>45794</v>
      </c>
      <c r="D606" s="2">
        <v>45824</v>
      </c>
      <c r="E606">
        <v>1032.8399999999999</v>
      </c>
      <c r="F606" t="s">
        <v>817</v>
      </c>
      <c r="G606" t="s">
        <v>820</v>
      </c>
      <c r="I606" t="s">
        <v>822</v>
      </c>
    </row>
    <row r="607" spans="1:9" x14ac:dyDescent="0.35">
      <c r="A607" t="s">
        <v>614</v>
      </c>
      <c r="B607" t="s">
        <v>811</v>
      </c>
      <c r="C607" s="2">
        <v>45623</v>
      </c>
      <c r="D607" s="2">
        <v>45653</v>
      </c>
      <c r="E607">
        <v>389.67</v>
      </c>
      <c r="F607" t="s">
        <v>816</v>
      </c>
      <c r="G607" t="s">
        <v>820</v>
      </c>
      <c r="I607" t="s">
        <v>822</v>
      </c>
    </row>
    <row r="608" spans="1:9" x14ac:dyDescent="0.35">
      <c r="A608" t="s">
        <v>615</v>
      </c>
      <c r="B608" t="s">
        <v>809</v>
      </c>
      <c r="C608" s="2">
        <v>44988</v>
      </c>
      <c r="D608" s="2">
        <v>45018</v>
      </c>
      <c r="E608">
        <v>3748.86</v>
      </c>
      <c r="F608" t="s">
        <v>814</v>
      </c>
      <c r="G608" t="s">
        <v>820</v>
      </c>
      <c r="I608" t="s">
        <v>822</v>
      </c>
    </row>
    <row r="609" spans="1:9" x14ac:dyDescent="0.35">
      <c r="A609" t="s">
        <v>616</v>
      </c>
      <c r="B609" t="s">
        <v>813</v>
      </c>
      <c r="C609" s="2">
        <v>45635</v>
      </c>
      <c r="D609" s="2">
        <v>45665</v>
      </c>
      <c r="E609">
        <v>4546.88</v>
      </c>
      <c r="F609" t="s">
        <v>817</v>
      </c>
      <c r="G609" t="s">
        <v>819</v>
      </c>
      <c r="I609" t="s">
        <v>822</v>
      </c>
    </row>
    <row r="610" spans="1:9" x14ac:dyDescent="0.35">
      <c r="A610" t="s">
        <v>617</v>
      </c>
      <c r="B610" t="s">
        <v>812</v>
      </c>
      <c r="C610" s="2">
        <v>45299</v>
      </c>
      <c r="D610" s="2">
        <v>45329</v>
      </c>
      <c r="E610">
        <v>3439.51</v>
      </c>
      <c r="F610" t="s">
        <v>818</v>
      </c>
      <c r="G610" t="s">
        <v>820</v>
      </c>
      <c r="I610" t="s">
        <v>822</v>
      </c>
    </row>
    <row r="611" spans="1:9" x14ac:dyDescent="0.35">
      <c r="A611" t="s">
        <v>618</v>
      </c>
      <c r="B611" t="s">
        <v>813</v>
      </c>
      <c r="C611" s="2">
        <v>44976</v>
      </c>
      <c r="D611" s="2">
        <v>45006</v>
      </c>
      <c r="E611">
        <v>3319.57</v>
      </c>
      <c r="F611" t="s">
        <v>816</v>
      </c>
      <c r="G611" t="s">
        <v>819</v>
      </c>
      <c r="I611" t="s">
        <v>822</v>
      </c>
    </row>
    <row r="612" spans="1:9" x14ac:dyDescent="0.35">
      <c r="A612" t="s">
        <v>619</v>
      </c>
      <c r="B612" t="s">
        <v>812</v>
      </c>
      <c r="C612" s="2">
        <v>44929</v>
      </c>
      <c r="D612" s="2">
        <v>44959</v>
      </c>
      <c r="E612">
        <v>3057.93</v>
      </c>
      <c r="F612" t="s">
        <v>815</v>
      </c>
      <c r="G612" t="s">
        <v>821</v>
      </c>
      <c r="H612" s="2">
        <v>44959</v>
      </c>
      <c r="I612" t="s">
        <v>822</v>
      </c>
    </row>
    <row r="613" spans="1:9" x14ac:dyDescent="0.35">
      <c r="A613" t="s">
        <v>620</v>
      </c>
      <c r="B613" t="s">
        <v>811</v>
      </c>
      <c r="C613" s="2">
        <v>45495</v>
      </c>
      <c r="D613" s="2">
        <v>45525</v>
      </c>
      <c r="E613">
        <v>1043.05</v>
      </c>
      <c r="F613" t="s">
        <v>818</v>
      </c>
      <c r="G613" t="s">
        <v>820</v>
      </c>
      <c r="I613" t="s">
        <v>822</v>
      </c>
    </row>
    <row r="614" spans="1:9" x14ac:dyDescent="0.35">
      <c r="A614" t="s">
        <v>621</v>
      </c>
      <c r="B614" t="s">
        <v>812</v>
      </c>
      <c r="C614" s="2">
        <v>45401</v>
      </c>
      <c r="D614" s="2">
        <v>45431</v>
      </c>
      <c r="E614">
        <v>1216.7</v>
      </c>
      <c r="F614" t="s">
        <v>816</v>
      </c>
      <c r="G614" t="s">
        <v>819</v>
      </c>
      <c r="I614" t="s">
        <v>822</v>
      </c>
    </row>
    <row r="615" spans="1:9" x14ac:dyDescent="0.35">
      <c r="A615" t="s">
        <v>622</v>
      </c>
      <c r="B615" t="s">
        <v>813</v>
      </c>
      <c r="C615" s="2">
        <v>45085</v>
      </c>
      <c r="D615" s="2">
        <v>45115</v>
      </c>
      <c r="E615">
        <v>1242.77</v>
      </c>
      <c r="F615" t="s">
        <v>818</v>
      </c>
      <c r="G615" t="s">
        <v>819</v>
      </c>
      <c r="I615" t="s">
        <v>822</v>
      </c>
    </row>
    <row r="616" spans="1:9" x14ac:dyDescent="0.35">
      <c r="A616" t="s">
        <v>623</v>
      </c>
      <c r="B616" t="s">
        <v>812</v>
      </c>
      <c r="C616" s="2">
        <v>44943</v>
      </c>
      <c r="D616" s="2">
        <v>44973</v>
      </c>
      <c r="E616">
        <v>1253.18</v>
      </c>
      <c r="F616" t="s">
        <v>814</v>
      </c>
      <c r="G616" t="s">
        <v>819</v>
      </c>
      <c r="I616" t="s">
        <v>822</v>
      </c>
    </row>
    <row r="617" spans="1:9" x14ac:dyDescent="0.35">
      <c r="A617" t="s">
        <v>624</v>
      </c>
      <c r="B617" t="s">
        <v>811</v>
      </c>
      <c r="C617" s="2">
        <v>45278</v>
      </c>
      <c r="D617" s="2">
        <v>45308</v>
      </c>
      <c r="E617">
        <v>1423.03</v>
      </c>
      <c r="F617" t="s">
        <v>816</v>
      </c>
      <c r="G617" t="s">
        <v>819</v>
      </c>
      <c r="I617" t="s">
        <v>822</v>
      </c>
    </row>
    <row r="618" spans="1:9" x14ac:dyDescent="0.35">
      <c r="A618" t="s">
        <v>625</v>
      </c>
      <c r="B618" t="s">
        <v>812</v>
      </c>
      <c r="C618" s="2">
        <v>44940</v>
      </c>
      <c r="D618" s="2">
        <v>44970</v>
      </c>
      <c r="E618">
        <v>908.37</v>
      </c>
      <c r="F618" t="s">
        <v>814</v>
      </c>
      <c r="G618" t="s">
        <v>821</v>
      </c>
      <c r="H618" s="2">
        <v>44970</v>
      </c>
      <c r="I618" t="s">
        <v>822</v>
      </c>
    </row>
    <row r="619" spans="1:9" x14ac:dyDescent="0.35">
      <c r="A619" t="s">
        <v>626</v>
      </c>
      <c r="B619" t="s">
        <v>809</v>
      </c>
      <c r="C619" s="2">
        <v>45607</v>
      </c>
      <c r="D619" s="2">
        <v>45637</v>
      </c>
      <c r="E619">
        <v>4103.24</v>
      </c>
      <c r="F619" t="s">
        <v>816</v>
      </c>
      <c r="G619" t="s">
        <v>819</v>
      </c>
      <c r="I619" t="s">
        <v>822</v>
      </c>
    </row>
    <row r="620" spans="1:9" x14ac:dyDescent="0.35">
      <c r="A620" t="s">
        <v>627</v>
      </c>
      <c r="B620" t="s">
        <v>812</v>
      </c>
      <c r="C620" s="2">
        <v>45591</v>
      </c>
      <c r="D620" s="2">
        <v>45621</v>
      </c>
      <c r="E620">
        <v>2557.84</v>
      </c>
      <c r="F620" t="s">
        <v>816</v>
      </c>
      <c r="G620" t="s">
        <v>820</v>
      </c>
      <c r="I620" t="s">
        <v>822</v>
      </c>
    </row>
    <row r="621" spans="1:9" x14ac:dyDescent="0.35">
      <c r="A621" t="s">
        <v>628</v>
      </c>
      <c r="B621" t="s">
        <v>810</v>
      </c>
      <c r="C621" s="2">
        <v>44927</v>
      </c>
      <c r="D621" s="2">
        <v>44957</v>
      </c>
      <c r="E621">
        <v>4192.79</v>
      </c>
      <c r="F621" t="s">
        <v>818</v>
      </c>
      <c r="G621" t="s">
        <v>820</v>
      </c>
      <c r="I621" t="s">
        <v>822</v>
      </c>
    </row>
    <row r="622" spans="1:9" x14ac:dyDescent="0.35">
      <c r="A622" t="s">
        <v>629</v>
      </c>
      <c r="B622" t="s">
        <v>811</v>
      </c>
      <c r="C622" s="2">
        <v>45605</v>
      </c>
      <c r="D622" s="2">
        <v>45635</v>
      </c>
      <c r="E622">
        <v>2144.7199999999998</v>
      </c>
      <c r="F622" t="s">
        <v>818</v>
      </c>
      <c r="G622" t="s">
        <v>820</v>
      </c>
      <c r="I622" t="s">
        <v>822</v>
      </c>
    </row>
    <row r="623" spans="1:9" x14ac:dyDescent="0.35">
      <c r="A623" t="s">
        <v>630</v>
      </c>
      <c r="B623" t="s">
        <v>811</v>
      </c>
      <c r="C623" s="2">
        <v>45604</v>
      </c>
      <c r="D623" s="2">
        <v>45634</v>
      </c>
      <c r="E623">
        <v>669.43</v>
      </c>
      <c r="F623" t="s">
        <v>817</v>
      </c>
      <c r="G623" t="s">
        <v>819</v>
      </c>
      <c r="I623" t="s">
        <v>822</v>
      </c>
    </row>
    <row r="624" spans="1:9" x14ac:dyDescent="0.35">
      <c r="A624" t="s">
        <v>631</v>
      </c>
      <c r="B624" t="s">
        <v>809</v>
      </c>
      <c r="C624" s="2">
        <v>45717</v>
      </c>
      <c r="D624" s="2">
        <v>45747</v>
      </c>
      <c r="E624">
        <v>2583.87</v>
      </c>
      <c r="F624" t="s">
        <v>818</v>
      </c>
      <c r="G624" t="s">
        <v>821</v>
      </c>
      <c r="H624" s="2">
        <v>45747</v>
      </c>
      <c r="I624" t="s">
        <v>822</v>
      </c>
    </row>
    <row r="625" spans="1:9" x14ac:dyDescent="0.35">
      <c r="A625" t="s">
        <v>632</v>
      </c>
      <c r="B625" t="s">
        <v>810</v>
      </c>
      <c r="C625" s="2">
        <v>45683</v>
      </c>
      <c r="D625" s="2">
        <v>45713</v>
      </c>
      <c r="E625">
        <v>2870.13</v>
      </c>
      <c r="F625" t="s">
        <v>816</v>
      </c>
      <c r="G625" t="s">
        <v>819</v>
      </c>
      <c r="I625" t="s">
        <v>822</v>
      </c>
    </row>
    <row r="626" spans="1:9" x14ac:dyDescent="0.35">
      <c r="A626" t="s">
        <v>633</v>
      </c>
      <c r="B626" t="s">
        <v>812</v>
      </c>
      <c r="C626" s="2">
        <v>45748</v>
      </c>
      <c r="D626" s="2">
        <v>45778</v>
      </c>
      <c r="E626">
        <v>308.64</v>
      </c>
      <c r="F626" t="s">
        <v>815</v>
      </c>
      <c r="G626" t="s">
        <v>819</v>
      </c>
      <c r="I626" t="s">
        <v>822</v>
      </c>
    </row>
    <row r="627" spans="1:9" x14ac:dyDescent="0.35">
      <c r="A627" t="s">
        <v>634</v>
      </c>
      <c r="B627" t="s">
        <v>810</v>
      </c>
      <c r="C627" s="2">
        <v>45542</v>
      </c>
      <c r="D627" s="2">
        <v>45572</v>
      </c>
      <c r="E627">
        <v>754.61</v>
      </c>
      <c r="F627" t="s">
        <v>817</v>
      </c>
      <c r="G627" t="s">
        <v>821</v>
      </c>
      <c r="H627" s="2">
        <v>45572</v>
      </c>
      <c r="I627" t="s">
        <v>822</v>
      </c>
    </row>
    <row r="628" spans="1:9" x14ac:dyDescent="0.35">
      <c r="A628" t="s">
        <v>635</v>
      </c>
      <c r="B628" t="s">
        <v>812</v>
      </c>
      <c r="C628" s="2">
        <v>45799</v>
      </c>
      <c r="D628" s="2">
        <v>45829</v>
      </c>
      <c r="E628">
        <v>1564.86</v>
      </c>
      <c r="F628" t="s">
        <v>814</v>
      </c>
      <c r="G628" t="s">
        <v>819</v>
      </c>
      <c r="I628" t="s">
        <v>822</v>
      </c>
    </row>
    <row r="629" spans="1:9" x14ac:dyDescent="0.35">
      <c r="A629" t="s">
        <v>636</v>
      </c>
      <c r="B629" t="s">
        <v>810</v>
      </c>
      <c r="C629" s="2">
        <v>44941</v>
      </c>
      <c r="D629" s="2">
        <v>44971</v>
      </c>
      <c r="E629">
        <v>2205.11</v>
      </c>
      <c r="F629" t="s">
        <v>816</v>
      </c>
      <c r="G629" t="s">
        <v>820</v>
      </c>
      <c r="I629" t="s">
        <v>822</v>
      </c>
    </row>
    <row r="630" spans="1:9" x14ac:dyDescent="0.35">
      <c r="A630" t="s">
        <v>637</v>
      </c>
      <c r="B630" t="s">
        <v>812</v>
      </c>
      <c r="C630" s="2">
        <v>45421</v>
      </c>
      <c r="D630" s="2">
        <v>45451</v>
      </c>
      <c r="E630">
        <v>562.79999999999995</v>
      </c>
      <c r="F630" t="s">
        <v>816</v>
      </c>
      <c r="G630" t="s">
        <v>820</v>
      </c>
      <c r="I630" t="s">
        <v>822</v>
      </c>
    </row>
    <row r="631" spans="1:9" x14ac:dyDescent="0.35">
      <c r="A631" t="s">
        <v>638</v>
      </c>
      <c r="B631" t="s">
        <v>809</v>
      </c>
      <c r="C631" s="2">
        <v>44987</v>
      </c>
      <c r="D631" s="2">
        <v>45017</v>
      </c>
      <c r="E631">
        <v>3911.54</v>
      </c>
      <c r="F631" t="s">
        <v>817</v>
      </c>
      <c r="G631" t="s">
        <v>820</v>
      </c>
      <c r="I631" t="s">
        <v>822</v>
      </c>
    </row>
    <row r="632" spans="1:9" x14ac:dyDescent="0.35">
      <c r="A632" t="s">
        <v>639</v>
      </c>
      <c r="B632" t="s">
        <v>813</v>
      </c>
      <c r="C632" s="2">
        <v>45836</v>
      </c>
      <c r="D632" s="2">
        <v>45866</v>
      </c>
      <c r="E632">
        <v>3891.61</v>
      </c>
      <c r="F632" t="s">
        <v>815</v>
      </c>
      <c r="G632" t="s">
        <v>820</v>
      </c>
      <c r="I632" t="s">
        <v>822</v>
      </c>
    </row>
    <row r="633" spans="1:9" x14ac:dyDescent="0.35">
      <c r="A633" t="s">
        <v>640</v>
      </c>
      <c r="B633" t="s">
        <v>811</v>
      </c>
      <c r="C633" s="2">
        <v>44972</v>
      </c>
      <c r="D633" s="2">
        <v>45002</v>
      </c>
      <c r="E633">
        <v>2302.46</v>
      </c>
      <c r="F633" t="s">
        <v>816</v>
      </c>
      <c r="G633" t="s">
        <v>819</v>
      </c>
      <c r="I633" t="s">
        <v>822</v>
      </c>
    </row>
    <row r="634" spans="1:9" x14ac:dyDescent="0.35">
      <c r="A634" t="s">
        <v>641</v>
      </c>
      <c r="B634" t="s">
        <v>812</v>
      </c>
      <c r="C634" s="2">
        <v>45388</v>
      </c>
      <c r="D634" s="2">
        <v>45418</v>
      </c>
      <c r="E634">
        <v>3723.61</v>
      </c>
      <c r="F634" t="s">
        <v>817</v>
      </c>
      <c r="G634" t="s">
        <v>819</v>
      </c>
      <c r="I634" t="s">
        <v>822</v>
      </c>
    </row>
    <row r="635" spans="1:9" x14ac:dyDescent="0.35">
      <c r="A635" t="s">
        <v>642</v>
      </c>
      <c r="B635" t="s">
        <v>809</v>
      </c>
      <c r="C635" s="2">
        <v>45348</v>
      </c>
      <c r="D635" s="2">
        <v>45378</v>
      </c>
      <c r="E635">
        <v>2892.87</v>
      </c>
      <c r="F635" t="s">
        <v>814</v>
      </c>
      <c r="G635" t="s">
        <v>819</v>
      </c>
      <c r="I635" t="s">
        <v>822</v>
      </c>
    </row>
    <row r="636" spans="1:9" x14ac:dyDescent="0.35">
      <c r="A636" t="s">
        <v>643</v>
      </c>
      <c r="B636" t="s">
        <v>811</v>
      </c>
      <c r="C636" s="2">
        <v>45650</v>
      </c>
      <c r="D636" s="2">
        <v>45680</v>
      </c>
      <c r="E636">
        <v>2261.7399999999998</v>
      </c>
      <c r="F636" t="s">
        <v>816</v>
      </c>
      <c r="G636" t="s">
        <v>819</v>
      </c>
      <c r="I636" t="s">
        <v>822</v>
      </c>
    </row>
    <row r="637" spans="1:9" x14ac:dyDescent="0.35">
      <c r="A637" t="s">
        <v>644</v>
      </c>
      <c r="B637" t="s">
        <v>812</v>
      </c>
      <c r="C637" s="2">
        <v>45361</v>
      </c>
      <c r="D637" s="2">
        <v>45391</v>
      </c>
      <c r="E637">
        <v>3900.62</v>
      </c>
      <c r="F637" t="s">
        <v>818</v>
      </c>
      <c r="G637" t="s">
        <v>820</v>
      </c>
      <c r="I637" t="s">
        <v>822</v>
      </c>
    </row>
    <row r="638" spans="1:9" x14ac:dyDescent="0.35">
      <c r="A638" t="s">
        <v>645</v>
      </c>
      <c r="B638" t="s">
        <v>812</v>
      </c>
      <c r="C638" s="2">
        <v>45419</v>
      </c>
      <c r="D638" s="2">
        <v>45449</v>
      </c>
      <c r="E638">
        <v>4377.2</v>
      </c>
      <c r="F638" t="s">
        <v>816</v>
      </c>
      <c r="G638" t="s">
        <v>819</v>
      </c>
      <c r="I638" t="s">
        <v>822</v>
      </c>
    </row>
    <row r="639" spans="1:9" x14ac:dyDescent="0.35">
      <c r="A639" t="s">
        <v>646</v>
      </c>
      <c r="B639" t="s">
        <v>813</v>
      </c>
      <c r="C639" s="2">
        <v>45670</v>
      </c>
      <c r="D639" s="2">
        <v>45700</v>
      </c>
      <c r="E639">
        <v>4656.51</v>
      </c>
      <c r="F639" t="s">
        <v>818</v>
      </c>
      <c r="G639" t="s">
        <v>821</v>
      </c>
      <c r="H639" s="2">
        <v>45700</v>
      </c>
      <c r="I639" t="s">
        <v>822</v>
      </c>
    </row>
    <row r="640" spans="1:9" x14ac:dyDescent="0.35">
      <c r="A640" t="s">
        <v>647</v>
      </c>
      <c r="B640" t="s">
        <v>811</v>
      </c>
      <c r="C640" s="2">
        <v>45704</v>
      </c>
      <c r="D640" s="2">
        <v>45734</v>
      </c>
      <c r="E640">
        <v>4576.1099999999997</v>
      </c>
      <c r="F640" t="s">
        <v>817</v>
      </c>
      <c r="G640" t="s">
        <v>819</v>
      </c>
      <c r="I640" t="s">
        <v>822</v>
      </c>
    </row>
    <row r="641" spans="1:9" x14ac:dyDescent="0.35">
      <c r="A641" t="s">
        <v>648</v>
      </c>
      <c r="B641" t="s">
        <v>812</v>
      </c>
      <c r="C641" s="2">
        <v>45781</v>
      </c>
      <c r="D641" s="2">
        <v>45811</v>
      </c>
      <c r="E641">
        <v>1039.52</v>
      </c>
      <c r="F641" t="s">
        <v>814</v>
      </c>
      <c r="G641" t="s">
        <v>820</v>
      </c>
      <c r="I641" t="s">
        <v>822</v>
      </c>
    </row>
    <row r="642" spans="1:9" x14ac:dyDescent="0.35">
      <c r="A642" t="s">
        <v>649</v>
      </c>
      <c r="B642" t="s">
        <v>813</v>
      </c>
      <c r="C642" s="2">
        <v>45171</v>
      </c>
      <c r="D642" s="2">
        <v>45201</v>
      </c>
      <c r="E642">
        <v>179.18</v>
      </c>
      <c r="F642" t="s">
        <v>816</v>
      </c>
      <c r="G642" t="s">
        <v>821</v>
      </c>
      <c r="H642" s="2">
        <v>45201</v>
      </c>
      <c r="I642" t="s">
        <v>822</v>
      </c>
    </row>
    <row r="643" spans="1:9" x14ac:dyDescent="0.35">
      <c r="A643" t="s">
        <v>650</v>
      </c>
      <c r="B643" t="s">
        <v>811</v>
      </c>
      <c r="C643" s="2">
        <v>45235</v>
      </c>
      <c r="D643" s="2">
        <v>45265</v>
      </c>
      <c r="E643">
        <v>2198.02</v>
      </c>
      <c r="F643" t="s">
        <v>818</v>
      </c>
      <c r="G643" t="s">
        <v>821</v>
      </c>
      <c r="H643" s="2">
        <v>45265</v>
      </c>
      <c r="I643" t="s">
        <v>822</v>
      </c>
    </row>
    <row r="644" spans="1:9" x14ac:dyDescent="0.35">
      <c r="A644" t="s">
        <v>651</v>
      </c>
      <c r="B644" t="s">
        <v>810</v>
      </c>
      <c r="C644" s="2">
        <v>45362</v>
      </c>
      <c r="D644" s="2">
        <v>45392</v>
      </c>
      <c r="E644">
        <v>3150.23</v>
      </c>
      <c r="F644" t="s">
        <v>818</v>
      </c>
      <c r="G644" t="s">
        <v>820</v>
      </c>
      <c r="I644" t="s">
        <v>822</v>
      </c>
    </row>
    <row r="645" spans="1:9" x14ac:dyDescent="0.35">
      <c r="A645" t="s">
        <v>652</v>
      </c>
      <c r="B645" t="s">
        <v>810</v>
      </c>
      <c r="C645" s="2">
        <v>45236</v>
      </c>
      <c r="D645" s="2">
        <v>45266</v>
      </c>
      <c r="E645">
        <v>4973.37</v>
      </c>
      <c r="F645" t="s">
        <v>818</v>
      </c>
      <c r="G645" t="s">
        <v>820</v>
      </c>
      <c r="I645" t="s">
        <v>822</v>
      </c>
    </row>
    <row r="646" spans="1:9" x14ac:dyDescent="0.35">
      <c r="A646" t="s">
        <v>653</v>
      </c>
      <c r="B646" t="s">
        <v>811</v>
      </c>
      <c r="C646" s="2">
        <v>45757</v>
      </c>
      <c r="D646" s="2">
        <v>45787</v>
      </c>
      <c r="E646">
        <v>4507.3999999999996</v>
      </c>
      <c r="F646" t="s">
        <v>815</v>
      </c>
      <c r="G646" t="s">
        <v>821</v>
      </c>
      <c r="H646" s="2">
        <v>45787</v>
      </c>
      <c r="I646" t="s">
        <v>822</v>
      </c>
    </row>
    <row r="647" spans="1:9" x14ac:dyDescent="0.35">
      <c r="A647" t="s">
        <v>654</v>
      </c>
      <c r="B647" t="s">
        <v>809</v>
      </c>
      <c r="C647" s="2">
        <v>45125</v>
      </c>
      <c r="D647" s="2">
        <v>45155</v>
      </c>
      <c r="E647">
        <v>2432.37</v>
      </c>
      <c r="F647" t="s">
        <v>816</v>
      </c>
      <c r="G647" t="s">
        <v>820</v>
      </c>
      <c r="I647" t="s">
        <v>822</v>
      </c>
    </row>
    <row r="648" spans="1:9" x14ac:dyDescent="0.35">
      <c r="A648" t="s">
        <v>655</v>
      </c>
      <c r="B648" t="s">
        <v>812</v>
      </c>
      <c r="C648" s="2">
        <v>45171</v>
      </c>
      <c r="D648" s="2">
        <v>45201</v>
      </c>
      <c r="E648">
        <v>3421.02</v>
      </c>
      <c r="F648" t="s">
        <v>818</v>
      </c>
      <c r="G648" t="s">
        <v>819</v>
      </c>
      <c r="I648" t="s">
        <v>822</v>
      </c>
    </row>
    <row r="649" spans="1:9" x14ac:dyDescent="0.35">
      <c r="A649" t="s">
        <v>656</v>
      </c>
      <c r="B649" t="s">
        <v>812</v>
      </c>
      <c r="C649" s="2">
        <v>45146</v>
      </c>
      <c r="D649" s="2">
        <v>45176</v>
      </c>
      <c r="E649">
        <v>223.05</v>
      </c>
      <c r="F649" t="s">
        <v>816</v>
      </c>
      <c r="G649" t="s">
        <v>821</v>
      </c>
      <c r="H649" s="2">
        <v>45176</v>
      </c>
      <c r="I649" t="s">
        <v>822</v>
      </c>
    </row>
    <row r="650" spans="1:9" x14ac:dyDescent="0.35">
      <c r="A650" t="s">
        <v>657</v>
      </c>
      <c r="B650" t="s">
        <v>809</v>
      </c>
      <c r="C650" s="2">
        <v>45455</v>
      </c>
      <c r="D650" s="2">
        <v>45485</v>
      </c>
      <c r="E650">
        <v>599.71</v>
      </c>
      <c r="F650" t="s">
        <v>817</v>
      </c>
      <c r="G650" t="s">
        <v>819</v>
      </c>
      <c r="I650" t="s">
        <v>822</v>
      </c>
    </row>
    <row r="651" spans="1:9" x14ac:dyDescent="0.35">
      <c r="A651" t="s">
        <v>658</v>
      </c>
      <c r="B651" t="s">
        <v>809</v>
      </c>
      <c r="C651" s="2">
        <v>45029</v>
      </c>
      <c r="D651" s="2">
        <v>45059</v>
      </c>
      <c r="E651">
        <v>4739.08</v>
      </c>
      <c r="F651" t="s">
        <v>814</v>
      </c>
      <c r="G651" t="s">
        <v>820</v>
      </c>
      <c r="I651" t="s">
        <v>822</v>
      </c>
    </row>
    <row r="652" spans="1:9" x14ac:dyDescent="0.35">
      <c r="A652" t="s">
        <v>659</v>
      </c>
      <c r="B652" t="s">
        <v>811</v>
      </c>
      <c r="C652" s="2">
        <v>45609</v>
      </c>
      <c r="D652" s="2">
        <v>45639</v>
      </c>
      <c r="E652">
        <v>332.35</v>
      </c>
      <c r="F652" t="s">
        <v>818</v>
      </c>
      <c r="G652" t="s">
        <v>820</v>
      </c>
      <c r="I652" t="s">
        <v>822</v>
      </c>
    </row>
    <row r="653" spans="1:9" x14ac:dyDescent="0.35">
      <c r="A653" t="s">
        <v>660</v>
      </c>
      <c r="B653" t="s">
        <v>809</v>
      </c>
      <c r="C653" s="2">
        <v>45475</v>
      </c>
      <c r="D653" s="2">
        <v>45505</v>
      </c>
      <c r="E653">
        <v>4746.3999999999996</v>
      </c>
      <c r="F653" t="s">
        <v>817</v>
      </c>
      <c r="G653" t="s">
        <v>821</v>
      </c>
      <c r="H653" s="2">
        <v>45505</v>
      </c>
      <c r="I653" t="s">
        <v>822</v>
      </c>
    </row>
    <row r="654" spans="1:9" x14ac:dyDescent="0.35">
      <c r="A654" t="s">
        <v>661</v>
      </c>
      <c r="B654" t="s">
        <v>811</v>
      </c>
      <c r="C654" s="2">
        <v>45113</v>
      </c>
      <c r="D654" s="2">
        <v>45143</v>
      </c>
      <c r="E654">
        <v>4124.6000000000004</v>
      </c>
      <c r="F654" t="s">
        <v>816</v>
      </c>
      <c r="G654" t="s">
        <v>819</v>
      </c>
      <c r="I654" t="s">
        <v>822</v>
      </c>
    </row>
    <row r="655" spans="1:9" x14ac:dyDescent="0.35">
      <c r="A655" t="s">
        <v>662</v>
      </c>
      <c r="B655" t="s">
        <v>813</v>
      </c>
      <c r="C655" s="2">
        <v>45083</v>
      </c>
      <c r="D655" s="2">
        <v>45113</v>
      </c>
      <c r="E655">
        <v>1630.69</v>
      </c>
      <c r="F655" t="s">
        <v>816</v>
      </c>
      <c r="G655" t="s">
        <v>821</v>
      </c>
      <c r="H655" s="2">
        <v>45113</v>
      </c>
      <c r="I655" t="s">
        <v>822</v>
      </c>
    </row>
    <row r="656" spans="1:9" x14ac:dyDescent="0.35">
      <c r="A656" t="s">
        <v>663</v>
      </c>
      <c r="B656" t="s">
        <v>812</v>
      </c>
      <c r="C656" s="2">
        <v>45549</v>
      </c>
      <c r="D656" s="2">
        <v>45579</v>
      </c>
      <c r="E656">
        <v>4643.99</v>
      </c>
      <c r="F656" t="s">
        <v>816</v>
      </c>
      <c r="G656" t="s">
        <v>820</v>
      </c>
      <c r="I656" t="s">
        <v>822</v>
      </c>
    </row>
    <row r="657" spans="1:9" x14ac:dyDescent="0.35">
      <c r="A657" t="s">
        <v>664</v>
      </c>
      <c r="B657" t="s">
        <v>810</v>
      </c>
      <c r="C657" s="2">
        <v>45198</v>
      </c>
      <c r="D657" s="2">
        <v>45228</v>
      </c>
      <c r="E657">
        <v>121.66</v>
      </c>
      <c r="F657" t="s">
        <v>815</v>
      </c>
      <c r="G657" t="s">
        <v>819</v>
      </c>
      <c r="I657" t="s">
        <v>822</v>
      </c>
    </row>
    <row r="658" spans="1:9" x14ac:dyDescent="0.35">
      <c r="A658" t="s">
        <v>665</v>
      </c>
      <c r="B658" t="s">
        <v>811</v>
      </c>
      <c r="C658" s="2">
        <v>45111</v>
      </c>
      <c r="D658" s="2">
        <v>45141</v>
      </c>
      <c r="E658">
        <v>2464.2399999999998</v>
      </c>
      <c r="F658" t="s">
        <v>817</v>
      </c>
      <c r="G658" t="s">
        <v>820</v>
      </c>
      <c r="I658" t="s">
        <v>822</v>
      </c>
    </row>
    <row r="659" spans="1:9" x14ac:dyDescent="0.35">
      <c r="A659" t="s">
        <v>666</v>
      </c>
      <c r="B659" t="s">
        <v>813</v>
      </c>
      <c r="C659" s="2">
        <v>45271</v>
      </c>
      <c r="D659" s="2">
        <v>45301</v>
      </c>
      <c r="E659">
        <v>4354.51</v>
      </c>
      <c r="F659" t="s">
        <v>816</v>
      </c>
      <c r="G659" t="s">
        <v>820</v>
      </c>
      <c r="I659" t="s">
        <v>822</v>
      </c>
    </row>
    <row r="660" spans="1:9" x14ac:dyDescent="0.35">
      <c r="A660" t="s">
        <v>667</v>
      </c>
      <c r="B660" t="s">
        <v>813</v>
      </c>
      <c r="C660" s="2">
        <v>45273</v>
      </c>
      <c r="D660" s="2">
        <v>45303</v>
      </c>
      <c r="E660">
        <v>1809.68</v>
      </c>
      <c r="F660" t="s">
        <v>817</v>
      </c>
      <c r="G660" t="s">
        <v>820</v>
      </c>
      <c r="I660" t="s">
        <v>822</v>
      </c>
    </row>
    <row r="661" spans="1:9" x14ac:dyDescent="0.35">
      <c r="A661" t="s">
        <v>668</v>
      </c>
      <c r="B661" t="s">
        <v>813</v>
      </c>
      <c r="C661" s="2">
        <v>45588</v>
      </c>
      <c r="D661" s="2">
        <v>45618</v>
      </c>
      <c r="E661">
        <v>4448.67</v>
      </c>
      <c r="F661" t="s">
        <v>817</v>
      </c>
      <c r="G661" t="s">
        <v>819</v>
      </c>
      <c r="I661" t="s">
        <v>822</v>
      </c>
    </row>
    <row r="662" spans="1:9" x14ac:dyDescent="0.35">
      <c r="A662" t="s">
        <v>669</v>
      </c>
      <c r="B662" t="s">
        <v>810</v>
      </c>
      <c r="C662" s="2">
        <v>45810</v>
      </c>
      <c r="D662" s="2">
        <v>45840</v>
      </c>
      <c r="E662">
        <v>3810.59</v>
      </c>
      <c r="F662" t="s">
        <v>815</v>
      </c>
      <c r="G662" t="s">
        <v>821</v>
      </c>
      <c r="H662" s="2">
        <v>45840</v>
      </c>
      <c r="I662" t="s">
        <v>822</v>
      </c>
    </row>
    <row r="663" spans="1:9" x14ac:dyDescent="0.35">
      <c r="A663" t="s">
        <v>670</v>
      </c>
      <c r="B663" t="s">
        <v>813</v>
      </c>
      <c r="C663" s="2">
        <v>45433</v>
      </c>
      <c r="D663" s="2">
        <v>45463</v>
      </c>
      <c r="E663">
        <v>4234.42</v>
      </c>
      <c r="F663" t="s">
        <v>818</v>
      </c>
      <c r="G663" t="s">
        <v>819</v>
      </c>
      <c r="I663" t="s">
        <v>822</v>
      </c>
    </row>
    <row r="664" spans="1:9" x14ac:dyDescent="0.35">
      <c r="A664" t="s">
        <v>671</v>
      </c>
      <c r="B664" t="s">
        <v>809</v>
      </c>
      <c r="C664" s="2">
        <v>45321</v>
      </c>
      <c r="D664" s="2">
        <v>45351</v>
      </c>
      <c r="E664">
        <v>2754.86</v>
      </c>
      <c r="F664" t="s">
        <v>816</v>
      </c>
      <c r="G664" t="s">
        <v>820</v>
      </c>
      <c r="I664" t="s">
        <v>822</v>
      </c>
    </row>
    <row r="665" spans="1:9" x14ac:dyDescent="0.35">
      <c r="A665" t="s">
        <v>672</v>
      </c>
      <c r="B665" t="s">
        <v>813</v>
      </c>
      <c r="C665" s="2">
        <v>45711</v>
      </c>
      <c r="D665" s="2">
        <v>45741</v>
      </c>
      <c r="E665">
        <v>3198.07</v>
      </c>
      <c r="F665" t="s">
        <v>816</v>
      </c>
      <c r="G665" t="s">
        <v>820</v>
      </c>
      <c r="I665" t="s">
        <v>822</v>
      </c>
    </row>
    <row r="666" spans="1:9" x14ac:dyDescent="0.35">
      <c r="A666" t="s">
        <v>673</v>
      </c>
      <c r="B666" t="s">
        <v>809</v>
      </c>
      <c r="C666" s="2">
        <v>45201</v>
      </c>
      <c r="D666" s="2">
        <v>45231</v>
      </c>
      <c r="E666">
        <v>3984.98</v>
      </c>
      <c r="F666" t="s">
        <v>814</v>
      </c>
      <c r="G666" t="s">
        <v>820</v>
      </c>
      <c r="I666" t="s">
        <v>822</v>
      </c>
    </row>
    <row r="667" spans="1:9" x14ac:dyDescent="0.35">
      <c r="A667" t="s">
        <v>674</v>
      </c>
      <c r="B667" t="s">
        <v>812</v>
      </c>
      <c r="C667" s="2">
        <v>45096</v>
      </c>
      <c r="D667" s="2">
        <v>45126</v>
      </c>
      <c r="E667">
        <v>4810.12</v>
      </c>
      <c r="F667" t="s">
        <v>817</v>
      </c>
      <c r="G667" t="s">
        <v>819</v>
      </c>
      <c r="I667" t="s">
        <v>822</v>
      </c>
    </row>
    <row r="668" spans="1:9" x14ac:dyDescent="0.35">
      <c r="A668" t="s">
        <v>675</v>
      </c>
      <c r="B668" t="s">
        <v>811</v>
      </c>
      <c r="C668" s="2">
        <v>45311</v>
      </c>
      <c r="D668" s="2">
        <v>45341</v>
      </c>
      <c r="E668">
        <v>4712.91</v>
      </c>
      <c r="F668" t="s">
        <v>814</v>
      </c>
      <c r="G668" t="s">
        <v>819</v>
      </c>
      <c r="I668" t="s">
        <v>822</v>
      </c>
    </row>
    <row r="669" spans="1:9" x14ac:dyDescent="0.35">
      <c r="A669" t="s">
        <v>676</v>
      </c>
      <c r="B669" t="s">
        <v>809</v>
      </c>
      <c r="C669" s="2">
        <v>45692</v>
      </c>
      <c r="D669" s="2">
        <v>45722</v>
      </c>
      <c r="E669">
        <v>4624.82</v>
      </c>
      <c r="F669" t="s">
        <v>818</v>
      </c>
      <c r="G669" t="s">
        <v>821</v>
      </c>
      <c r="H669" s="2">
        <v>45722</v>
      </c>
      <c r="I669" t="s">
        <v>822</v>
      </c>
    </row>
    <row r="670" spans="1:9" x14ac:dyDescent="0.35">
      <c r="A670" t="s">
        <v>677</v>
      </c>
      <c r="B670" t="s">
        <v>813</v>
      </c>
      <c r="C670" s="2">
        <v>45522</v>
      </c>
      <c r="D670" s="2">
        <v>45552</v>
      </c>
      <c r="E670">
        <v>3779.89</v>
      </c>
      <c r="F670" t="s">
        <v>815</v>
      </c>
      <c r="G670" t="s">
        <v>819</v>
      </c>
      <c r="I670" t="s">
        <v>822</v>
      </c>
    </row>
    <row r="671" spans="1:9" x14ac:dyDescent="0.35">
      <c r="A671" t="s">
        <v>678</v>
      </c>
      <c r="B671" t="s">
        <v>812</v>
      </c>
      <c r="C671" s="2">
        <v>45118</v>
      </c>
      <c r="D671" s="2">
        <v>45148</v>
      </c>
      <c r="E671">
        <v>528.42999999999995</v>
      </c>
      <c r="F671" t="s">
        <v>816</v>
      </c>
      <c r="G671" t="s">
        <v>820</v>
      </c>
      <c r="I671" t="s">
        <v>822</v>
      </c>
    </row>
    <row r="672" spans="1:9" x14ac:dyDescent="0.35">
      <c r="A672" t="s">
        <v>679</v>
      </c>
      <c r="B672" t="s">
        <v>811</v>
      </c>
      <c r="C672" s="2">
        <v>45305</v>
      </c>
      <c r="D672" s="2">
        <v>45335</v>
      </c>
      <c r="E672">
        <v>3542.71</v>
      </c>
      <c r="F672" t="s">
        <v>818</v>
      </c>
      <c r="G672" t="s">
        <v>821</v>
      </c>
      <c r="H672" s="2">
        <v>45335</v>
      </c>
      <c r="I672" t="s">
        <v>822</v>
      </c>
    </row>
    <row r="673" spans="1:9" x14ac:dyDescent="0.35">
      <c r="A673" t="s">
        <v>680</v>
      </c>
      <c r="B673" t="s">
        <v>811</v>
      </c>
      <c r="C673" s="2">
        <v>45824</v>
      </c>
      <c r="D673" s="2">
        <v>45854</v>
      </c>
      <c r="E673">
        <v>1625.04</v>
      </c>
      <c r="F673" t="s">
        <v>816</v>
      </c>
      <c r="G673" t="s">
        <v>821</v>
      </c>
      <c r="H673" s="2">
        <v>45854</v>
      </c>
      <c r="I673" t="s">
        <v>822</v>
      </c>
    </row>
    <row r="674" spans="1:9" x14ac:dyDescent="0.35">
      <c r="A674" t="s">
        <v>681</v>
      </c>
      <c r="B674" t="s">
        <v>810</v>
      </c>
      <c r="C674" s="2">
        <v>45213</v>
      </c>
      <c r="D674" s="2">
        <v>45243</v>
      </c>
      <c r="E674">
        <v>3513.91</v>
      </c>
      <c r="F674" t="s">
        <v>818</v>
      </c>
      <c r="G674" t="s">
        <v>820</v>
      </c>
      <c r="I674" t="s">
        <v>822</v>
      </c>
    </row>
    <row r="675" spans="1:9" x14ac:dyDescent="0.35">
      <c r="A675" t="s">
        <v>682</v>
      </c>
      <c r="B675" t="s">
        <v>813</v>
      </c>
      <c r="C675" s="2">
        <v>45079</v>
      </c>
      <c r="D675" s="2">
        <v>45109</v>
      </c>
      <c r="E675">
        <v>1005.78</v>
      </c>
      <c r="F675" t="s">
        <v>816</v>
      </c>
      <c r="G675" t="s">
        <v>821</v>
      </c>
      <c r="H675" s="2">
        <v>45109</v>
      </c>
      <c r="I675" t="s">
        <v>822</v>
      </c>
    </row>
    <row r="676" spans="1:9" x14ac:dyDescent="0.35">
      <c r="A676" t="s">
        <v>683</v>
      </c>
      <c r="B676" t="s">
        <v>813</v>
      </c>
      <c r="C676" s="2">
        <v>45821</v>
      </c>
      <c r="D676" s="2">
        <v>45851</v>
      </c>
      <c r="E676">
        <v>4800.13</v>
      </c>
      <c r="F676" t="s">
        <v>818</v>
      </c>
      <c r="G676" t="s">
        <v>820</v>
      </c>
      <c r="I676" t="s">
        <v>822</v>
      </c>
    </row>
    <row r="677" spans="1:9" x14ac:dyDescent="0.35">
      <c r="A677" t="s">
        <v>684</v>
      </c>
      <c r="B677" t="s">
        <v>811</v>
      </c>
      <c r="C677" s="2">
        <v>45760</v>
      </c>
      <c r="D677" s="2">
        <v>45790</v>
      </c>
      <c r="E677">
        <v>2790.67</v>
      </c>
      <c r="F677" t="s">
        <v>818</v>
      </c>
      <c r="G677" t="s">
        <v>820</v>
      </c>
      <c r="I677" t="s">
        <v>822</v>
      </c>
    </row>
    <row r="678" spans="1:9" x14ac:dyDescent="0.35">
      <c r="A678" t="s">
        <v>685</v>
      </c>
      <c r="B678" t="s">
        <v>813</v>
      </c>
      <c r="C678" s="2">
        <v>44988</v>
      </c>
      <c r="D678" s="2">
        <v>45018</v>
      </c>
      <c r="E678">
        <v>3677.45</v>
      </c>
      <c r="F678" t="s">
        <v>816</v>
      </c>
      <c r="G678" t="s">
        <v>819</v>
      </c>
      <c r="I678" t="s">
        <v>822</v>
      </c>
    </row>
    <row r="679" spans="1:9" x14ac:dyDescent="0.35">
      <c r="A679" t="s">
        <v>686</v>
      </c>
      <c r="B679" t="s">
        <v>810</v>
      </c>
      <c r="C679" s="2">
        <v>44955</v>
      </c>
      <c r="D679" s="2">
        <v>44985</v>
      </c>
      <c r="E679">
        <v>2795.97</v>
      </c>
      <c r="F679" t="s">
        <v>818</v>
      </c>
      <c r="G679" t="s">
        <v>820</v>
      </c>
      <c r="I679" t="s">
        <v>822</v>
      </c>
    </row>
    <row r="680" spans="1:9" x14ac:dyDescent="0.35">
      <c r="A680" t="s">
        <v>687</v>
      </c>
      <c r="B680" t="s">
        <v>810</v>
      </c>
      <c r="C680" s="2">
        <v>45152</v>
      </c>
      <c r="D680" s="2">
        <v>45182</v>
      </c>
      <c r="E680">
        <v>3609.91</v>
      </c>
      <c r="F680" t="s">
        <v>814</v>
      </c>
      <c r="G680" t="s">
        <v>819</v>
      </c>
      <c r="I680" t="s">
        <v>822</v>
      </c>
    </row>
    <row r="681" spans="1:9" x14ac:dyDescent="0.35">
      <c r="A681" t="s">
        <v>688</v>
      </c>
      <c r="B681" t="s">
        <v>811</v>
      </c>
      <c r="C681" s="2">
        <v>45467</v>
      </c>
      <c r="D681" s="2">
        <v>45497</v>
      </c>
      <c r="E681">
        <v>415.41</v>
      </c>
      <c r="F681" t="s">
        <v>815</v>
      </c>
      <c r="G681" t="s">
        <v>819</v>
      </c>
      <c r="I681" t="s">
        <v>822</v>
      </c>
    </row>
    <row r="682" spans="1:9" x14ac:dyDescent="0.35">
      <c r="A682" t="s">
        <v>689</v>
      </c>
      <c r="B682" t="s">
        <v>809</v>
      </c>
      <c r="C682" s="2">
        <v>45441</v>
      </c>
      <c r="D682" s="2">
        <v>45471</v>
      </c>
      <c r="E682">
        <v>3262.02</v>
      </c>
      <c r="F682" t="s">
        <v>814</v>
      </c>
      <c r="G682" t="s">
        <v>820</v>
      </c>
      <c r="I682" t="s">
        <v>822</v>
      </c>
    </row>
    <row r="683" spans="1:9" x14ac:dyDescent="0.35">
      <c r="A683" t="s">
        <v>690</v>
      </c>
      <c r="B683" t="s">
        <v>810</v>
      </c>
      <c r="C683" s="2">
        <v>45514</v>
      </c>
      <c r="D683" s="2">
        <v>45544</v>
      </c>
      <c r="E683">
        <v>386.52</v>
      </c>
      <c r="F683" t="s">
        <v>814</v>
      </c>
      <c r="G683" t="s">
        <v>819</v>
      </c>
      <c r="I683" t="s">
        <v>822</v>
      </c>
    </row>
    <row r="684" spans="1:9" x14ac:dyDescent="0.35">
      <c r="A684" t="s">
        <v>691</v>
      </c>
      <c r="B684" t="s">
        <v>813</v>
      </c>
      <c r="C684" s="2">
        <v>45150</v>
      </c>
      <c r="D684" s="2">
        <v>45180</v>
      </c>
      <c r="E684">
        <v>3339.93</v>
      </c>
      <c r="F684" t="s">
        <v>816</v>
      </c>
      <c r="G684" t="s">
        <v>820</v>
      </c>
      <c r="I684" t="s">
        <v>822</v>
      </c>
    </row>
    <row r="685" spans="1:9" x14ac:dyDescent="0.35">
      <c r="A685" t="s">
        <v>692</v>
      </c>
      <c r="B685" t="s">
        <v>811</v>
      </c>
      <c r="C685" s="2">
        <v>45065</v>
      </c>
      <c r="D685" s="2">
        <v>45095</v>
      </c>
      <c r="E685">
        <v>4195.2</v>
      </c>
      <c r="F685" t="s">
        <v>814</v>
      </c>
      <c r="G685" t="s">
        <v>820</v>
      </c>
      <c r="I685" t="s">
        <v>822</v>
      </c>
    </row>
    <row r="686" spans="1:9" x14ac:dyDescent="0.35">
      <c r="A686" t="s">
        <v>693</v>
      </c>
      <c r="B686" t="s">
        <v>811</v>
      </c>
      <c r="C686" s="2">
        <v>45065</v>
      </c>
      <c r="D686" s="2">
        <v>45095</v>
      </c>
      <c r="E686">
        <v>2911.89</v>
      </c>
      <c r="F686" t="s">
        <v>814</v>
      </c>
      <c r="G686" t="s">
        <v>819</v>
      </c>
      <c r="I686" t="s">
        <v>822</v>
      </c>
    </row>
    <row r="687" spans="1:9" x14ac:dyDescent="0.35">
      <c r="A687" t="s">
        <v>694</v>
      </c>
      <c r="B687" t="s">
        <v>813</v>
      </c>
      <c r="C687" s="2">
        <v>45746</v>
      </c>
      <c r="D687" s="2">
        <v>45776</v>
      </c>
      <c r="E687">
        <v>1595.21</v>
      </c>
      <c r="F687" t="s">
        <v>815</v>
      </c>
      <c r="G687" t="s">
        <v>819</v>
      </c>
      <c r="I687" t="s">
        <v>822</v>
      </c>
    </row>
    <row r="688" spans="1:9" x14ac:dyDescent="0.35">
      <c r="A688" t="s">
        <v>695</v>
      </c>
      <c r="B688" t="s">
        <v>811</v>
      </c>
      <c r="C688" s="2">
        <v>45023</v>
      </c>
      <c r="D688" s="2">
        <v>45053</v>
      </c>
      <c r="E688">
        <v>2246.04</v>
      </c>
      <c r="F688" t="s">
        <v>814</v>
      </c>
      <c r="G688" t="s">
        <v>819</v>
      </c>
      <c r="I688" t="s">
        <v>822</v>
      </c>
    </row>
    <row r="689" spans="1:9" x14ac:dyDescent="0.35">
      <c r="A689" t="s">
        <v>696</v>
      </c>
      <c r="B689" t="s">
        <v>813</v>
      </c>
      <c r="C689" s="2">
        <v>45292</v>
      </c>
      <c r="D689" s="2">
        <v>45322</v>
      </c>
      <c r="E689">
        <v>560.41999999999996</v>
      </c>
      <c r="F689" t="s">
        <v>814</v>
      </c>
      <c r="G689" t="s">
        <v>821</v>
      </c>
      <c r="H689" s="2">
        <v>45322</v>
      </c>
      <c r="I689" t="s">
        <v>822</v>
      </c>
    </row>
    <row r="690" spans="1:9" x14ac:dyDescent="0.35">
      <c r="A690" t="s">
        <v>697</v>
      </c>
      <c r="B690" t="s">
        <v>812</v>
      </c>
      <c r="C690" s="2">
        <v>45259</v>
      </c>
      <c r="D690" s="2">
        <v>45289</v>
      </c>
      <c r="E690">
        <v>1796.7</v>
      </c>
      <c r="F690" t="s">
        <v>814</v>
      </c>
      <c r="G690" t="s">
        <v>819</v>
      </c>
      <c r="I690" t="s">
        <v>822</v>
      </c>
    </row>
    <row r="691" spans="1:9" x14ac:dyDescent="0.35">
      <c r="A691" t="s">
        <v>698</v>
      </c>
      <c r="B691" t="s">
        <v>810</v>
      </c>
      <c r="C691" s="2">
        <v>45444</v>
      </c>
      <c r="D691" s="2">
        <v>45474</v>
      </c>
      <c r="E691">
        <v>1049.54</v>
      </c>
      <c r="F691" t="s">
        <v>814</v>
      </c>
      <c r="G691" t="s">
        <v>820</v>
      </c>
      <c r="I691" t="s">
        <v>822</v>
      </c>
    </row>
    <row r="692" spans="1:9" x14ac:dyDescent="0.35">
      <c r="A692" t="s">
        <v>699</v>
      </c>
      <c r="B692" t="s">
        <v>811</v>
      </c>
      <c r="C692" s="2">
        <v>45178</v>
      </c>
      <c r="D692" s="2">
        <v>45208</v>
      </c>
      <c r="E692">
        <v>2858.31</v>
      </c>
      <c r="F692" t="s">
        <v>814</v>
      </c>
      <c r="G692" t="s">
        <v>819</v>
      </c>
      <c r="I692" t="s">
        <v>822</v>
      </c>
    </row>
    <row r="693" spans="1:9" x14ac:dyDescent="0.35">
      <c r="A693" t="s">
        <v>700</v>
      </c>
      <c r="B693" t="s">
        <v>811</v>
      </c>
      <c r="C693" s="2">
        <v>45279</v>
      </c>
      <c r="D693" s="2">
        <v>45309</v>
      </c>
      <c r="E693">
        <v>2144.37</v>
      </c>
      <c r="F693" t="s">
        <v>815</v>
      </c>
      <c r="G693" t="s">
        <v>819</v>
      </c>
      <c r="I693" t="s">
        <v>822</v>
      </c>
    </row>
    <row r="694" spans="1:9" x14ac:dyDescent="0.35">
      <c r="A694" t="s">
        <v>701</v>
      </c>
      <c r="B694" t="s">
        <v>812</v>
      </c>
      <c r="C694" s="2">
        <v>45815</v>
      </c>
      <c r="D694" s="2">
        <v>45845</v>
      </c>
      <c r="E694">
        <v>1051.29</v>
      </c>
      <c r="F694" t="s">
        <v>814</v>
      </c>
      <c r="G694" t="s">
        <v>821</v>
      </c>
      <c r="H694" s="2">
        <v>45845</v>
      </c>
      <c r="I694" t="s">
        <v>822</v>
      </c>
    </row>
    <row r="695" spans="1:9" x14ac:dyDescent="0.35">
      <c r="A695" t="s">
        <v>702</v>
      </c>
      <c r="B695" t="s">
        <v>812</v>
      </c>
      <c r="C695" s="2">
        <v>45006</v>
      </c>
      <c r="D695" s="2">
        <v>45036</v>
      </c>
      <c r="E695">
        <v>212.66</v>
      </c>
      <c r="F695" t="s">
        <v>817</v>
      </c>
      <c r="G695" t="s">
        <v>820</v>
      </c>
      <c r="I695" t="s">
        <v>822</v>
      </c>
    </row>
    <row r="696" spans="1:9" x14ac:dyDescent="0.35">
      <c r="A696" t="s">
        <v>703</v>
      </c>
      <c r="B696" t="s">
        <v>810</v>
      </c>
      <c r="C696" s="2">
        <v>45271</v>
      </c>
      <c r="D696" s="2">
        <v>45301</v>
      </c>
      <c r="E696">
        <v>2649.88</v>
      </c>
      <c r="F696" t="s">
        <v>814</v>
      </c>
      <c r="G696" t="s">
        <v>821</v>
      </c>
      <c r="H696" s="2">
        <v>45301</v>
      </c>
      <c r="I696" t="s">
        <v>822</v>
      </c>
    </row>
    <row r="697" spans="1:9" x14ac:dyDescent="0.35">
      <c r="A697" t="s">
        <v>704</v>
      </c>
      <c r="B697" t="s">
        <v>809</v>
      </c>
      <c r="C697" s="2">
        <v>45074</v>
      </c>
      <c r="D697" s="2">
        <v>45104</v>
      </c>
      <c r="E697">
        <v>2025.22</v>
      </c>
      <c r="F697" t="s">
        <v>816</v>
      </c>
      <c r="G697" t="s">
        <v>819</v>
      </c>
      <c r="I697" t="s">
        <v>822</v>
      </c>
    </row>
    <row r="698" spans="1:9" x14ac:dyDescent="0.35">
      <c r="A698" t="s">
        <v>705</v>
      </c>
      <c r="B698" t="s">
        <v>810</v>
      </c>
      <c r="C698" s="2">
        <v>45779</v>
      </c>
      <c r="D698" s="2">
        <v>45809</v>
      </c>
      <c r="E698">
        <v>2110.4899999999998</v>
      </c>
      <c r="F698" t="s">
        <v>816</v>
      </c>
      <c r="G698" t="s">
        <v>821</v>
      </c>
      <c r="H698" s="2">
        <v>45809</v>
      </c>
      <c r="I698" t="s">
        <v>822</v>
      </c>
    </row>
    <row r="699" spans="1:9" x14ac:dyDescent="0.35">
      <c r="A699" t="s">
        <v>706</v>
      </c>
      <c r="B699" t="s">
        <v>810</v>
      </c>
      <c r="C699" s="2">
        <v>45624</v>
      </c>
      <c r="D699" s="2">
        <v>45654</v>
      </c>
      <c r="E699">
        <v>4740.3</v>
      </c>
      <c r="F699" t="s">
        <v>815</v>
      </c>
      <c r="G699" t="s">
        <v>821</v>
      </c>
      <c r="H699" s="2">
        <v>45654</v>
      </c>
      <c r="I699" t="s">
        <v>822</v>
      </c>
    </row>
    <row r="700" spans="1:9" x14ac:dyDescent="0.35">
      <c r="A700" t="s">
        <v>707</v>
      </c>
      <c r="B700" t="s">
        <v>813</v>
      </c>
      <c r="C700" s="2">
        <v>45571</v>
      </c>
      <c r="D700" s="2">
        <v>45601</v>
      </c>
      <c r="E700">
        <v>2511.0500000000002</v>
      </c>
      <c r="F700" t="s">
        <v>815</v>
      </c>
      <c r="G700" t="s">
        <v>820</v>
      </c>
      <c r="I700" t="s">
        <v>822</v>
      </c>
    </row>
    <row r="701" spans="1:9" x14ac:dyDescent="0.35">
      <c r="A701" t="s">
        <v>708</v>
      </c>
      <c r="B701" t="s">
        <v>810</v>
      </c>
      <c r="C701" s="2">
        <v>45459</v>
      </c>
      <c r="D701" s="2">
        <v>45489</v>
      </c>
      <c r="E701">
        <v>1198.06</v>
      </c>
      <c r="F701" t="s">
        <v>817</v>
      </c>
      <c r="G701" t="s">
        <v>819</v>
      </c>
      <c r="I701" t="s">
        <v>822</v>
      </c>
    </row>
    <row r="702" spans="1:9" x14ac:dyDescent="0.35">
      <c r="A702" t="s">
        <v>709</v>
      </c>
      <c r="B702" t="s">
        <v>811</v>
      </c>
      <c r="C702" s="2">
        <v>45627</v>
      </c>
      <c r="D702" s="2">
        <v>45657</v>
      </c>
      <c r="E702">
        <v>4648.54</v>
      </c>
      <c r="F702" t="s">
        <v>817</v>
      </c>
      <c r="G702" t="s">
        <v>820</v>
      </c>
      <c r="I702" t="s">
        <v>822</v>
      </c>
    </row>
    <row r="703" spans="1:9" x14ac:dyDescent="0.35">
      <c r="A703" t="s">
        <v>710</v>
      </c>
      <c r="B703" t="s">
        <v>812</v>
      </c>
      <c r="C703" s="2">
        <v>45391</v>
      </c>
      <c r="D703" s="2">
        <v>45421</v>
      </c>
      <c r="E703">
        <v>1123.9000000000001</v>
      </c>
      <c r="F703" t="s">
        <v>817</v>
      </c>
      <c r="G703" t="s">
        <v>819</v>
      </c>
      <c r="I703" t="s">
        <v>822</v>
      </c>
    </row>
    <row r="704" spans="1:9" x14ac:dyDescent="0.35">
      <c r="A704" t="s">
        <v>711</v>
      </c>
      <c r="B704" t="s">
        <v>809</v>
      </c>
      <c r="C704" s="2">
        <v>45271</v>
      </c>
      <c r="D704" s="2">
        <v>45301</v>
      </c>
      <c r="E704">
        <v>137.11000000000001</v>
      </c>
      <c r="F704" t="s">
        <v>817</v>
      </c>
      <c r="G704" t="s">
        <v>820</v>
      </c>
      <c r="I704" t="s">
        <v>822</v>
      </c>
    </row>
    <row r="705" spans="1:9" x14ac:dyDescent="0.35">
      <c r="A705" t="s">
        <v>712</v>
      </c>
      <c r="B705" t="s">
        <v>809</v>
      </c>
      <c r="C705" s="2">
        <v>45445</v>
      </c>
      <c r="D705" s="2">
        <v>45475</v>
      </c>
      <c r="E705">
        <v>1824.99</v>
      </c>
      <c r="F705" t="s">
        <v>814</v>
      </c>
      <c r="G705" t="s">
        <v>821</v>
      </c>
      <c r="H705" s="2">
        <v>45475</v>
      </c>
      <c r="I705" t="s">
        <v>822</v>
      </c>
    </row>
    <row r="706" spans="1:9" x14ac:dyDescent="0.35">
      <c r="A706" t="s">
        <v>713</v>
      </c>
      <c r="B706" t="s">
        <v>812</v>
      </c>
      <c r="C706" s="2">
        <v>45079</v>
      </c>
      <c r="D706" s="2">
        <v>45109</v>
      </c>
      <c r="E706">
        <v>3916.78</v>
      </c>
      <c r="F706" t="s">
        <v>816</v>
      </c>
      <c r="G706" t="s">
        <v>820</v>
      </c>
      <c r="I706" t="s">
        <v>822</v>
      </c>
    </row>
    <row r="707" spans="1:9" x14ac:dyDescent="0.35">
      <c r="A707" t="s">
        <v>714</v>
      </c>
      <c r="B707" t="s">
        <v>811</v>
      </c>
      <c r="C707" s="2">
        <v>45091</v>
      </c>
      <c r="D707" s="2">
        <v>45121</v>
      </c>
      <c r="E707">
        <v>4748.8999999999996</v>
      </c>
      <c r="F707" t="s">
        <v>818</v>
      </c>
      <c r="G707" t="s">
        <v>820</v>
      </c>
      <c r="I707" t="s">
        <v>822</v>
      </c>
    </row>
    <row r="708" spans="1:9" x14ac:dyDescent="0.35">
      <c r="A708" t="s">
        <v>715</v>
      </c>
      <c r="B708" t="s">
        <v>813</v>
      </c>
      <c r="C708" s="2">
        <v>45770</v>
      </c>
      <c r="D708" s="2">
        <v>45800</v>
      </c>
      <c r="E708">
        <v>2620.19</v>
      </c>
      <c r="F708" t="s">
        <v>814</v>
      </c>
      <c r="G708" t="s">
        <v>819</v>
      </c>
      <c r="I708" t="s">
        <v>822</v>
      </c>
    </row>
    <row r="709" spans="1:9" x14ac:dyDescent="0.35">
      <c r="A709" t="s">
        <v>716</v>
      </c>
      <c r="B709" t="s">
        <v>810</v>
      </c>
      <c r="C709" s="2">
        <v>44990</v>
      </c>
      <c r="D709" s="2">
        <v>45020</v>
      </c>
      <c r="E709">
        <v>3038.06</v>
      </c>
      <c r="F709" t="s">
        <v>818</v>
      </c>
      <c r="G709" t="s">
        <v>819</v>
      </c>
      <c r="I709" t="s">
        <v>822</v>
      </c>
    </row>
    <row r="710" spans="1:9" x14ac:dyDescent="0.35">
      <c r="A710" t="s">
        <v>717</v>
      </c>
      <c r="B710" t="s">
        <v>810</v>
      </c>
      <c r="C710" s="2">
        <v>45275</v>
      </c>
      <c r="D710" s="2">
        <v>45305</v>
      </c>
      <c r="E710">
        <v>1309.8800000000001</v>
      </c>
      <c r="F710" t="s">
        <v>814</v>
      </c>
      <c r="G710" t="s">
        <v>821</v>
      </c>
      <c r="H710" s="2">
        <v>45305</v>
      </c>
      <c r="I710" t="s">
        <v>822</v>
      </c>
    </row>
    <row r="711" spans="1:9" x14ac:dyDescent="0.35">
      <c r="A711" t="s">
        <v>718</v>
      </c>
      <c r="B711" t="s">
        <v>811</v>
      </c>
      <c r="C711" s="2">
        <v>45028</v>
      </c>
      <c r="D711" s="2">
        <v>45058</v>
      </c>
      <c r="E711">
        <v>3542.51</v>
      </c>
      <c r="F711" t="s">
        <v>816</v>
      </c>
      <c r="G711" t="s">
        <v>821</v>
      </c>
      <c r="H711" s="2">
        <v>45058</v>
      </c>
      <c r="I711" t="s">
        <v>822</v>
      </c>
    </row>
    <row r="712" spans="1:9" x14ac:dyDescent="0.35">
      <c r="A712" t="s">
        <v>719</v>
      </c>
      <c r="B712" t="s">
        <v>809</v>
      </c>
      <c r="C712" s="2">
        <v>44986</v>
      </c>
      <c r="D712" s="2">
        <v>45016</v>
      </c>
      <c r="E712">
        <v>1785.99</v>
      </c>
      <c r="F712" t="s">
        <v>818</v>
      </c>
      <c r="G712" t="s">
        <v>820</v>
      </c>
      <c r="I712" t="s">
        <v>822</v>
      </c>
    </row>
    <row r="713" spans="1:9" x14ac:dyDescent="0.35">
      <c r="A713" t="s">
        <v>720</v>
      </c>
      <c r="B713" t="s">
        <v>810</v>
      </c>
      <c r="C713" s="2">
        <v>45158</v>
      </c>
      <c r="D713" s="2">
        <v>45188</v>
      </c>
      <c r="E713">
        <v>2979.86</v>
      </c>
      <c r="F713" t="s">
        <v>815</v>
      </c>
      <c r="G713" t="s">
        <v>821</v>
      </c>
      <c r="H713" s="2">
        <v>45188</v>
      </c>
      <c r="I713" t="s">
        <v>822</v>
      </c>
    </row>
    <row r="714" spans="1:9" x14ac:dyDescent="0.35">
      <c r="A714" t="s">
        <v>721</v>
      </c>
      <c r="B714" t="s">
        <v>812</v>
      </c>
      <c r="C714" s="2">
        <v>45154</v>
      </c>
      <c r="D714" s="2">
        <v>45184</v>
      </c>
      <c r="E714">
        <v>3891.24</v>
      </c>
      <c r="F714" t="s">
        <v>816</v>
      </c>
      <c r="G714" t="s">
        <v>820</v>
      </c>
      <c r="I714" t="s">
        <v>822</v>
      </c>
    </row>
    <row r="715" spans="1:9" x14ac:dyDescent="0.35">
      <c r="A715" t="s">
        <v>722</v>
      </c>
      <c r="B715" t="s">
        <v>810</v>
      </c>
      <c r="C715" s="2">
        <v>45698</v>
      </c>
      <c r="D715" s="2">
        <v>45728</v>
      </c>
      <c r="E715">
        <v>4674.42</v>
      </c>
      <c r="F715" t="s">
        <v>817</v>
      </c>
      <c r="G715" t="s">
        <v>821</v>
      </c>
      <c r="H715" s="2">
        <v>45728</v>
      </c>
      <c r="I715" t="s">
        <v>822</v>
      </c>
    </row>
    <row r="716" spans="1:9" x14ac:dyDescent="0.35">
      <c r="A716" t="s">
        <v>723</v>
      </c>
      <c r="B716" t="s">
        <v>809</v>
      </c>
      <c r="C716" s="2">
        <v>45464</v>
      </c>
      <c r="D716" s="2">
        <v>45494</v>
      </c>
      <c r="E716">
        <v>2370.71</v>
      </c>
      <c r="F716" t="s">
        <v>816</v>
      </c>
      <c r="G716" t="s">
        <v>820</v>
      </c>
      <c r="I716" t="s">
        <v>822</v>
      </c>
    </row>
    <row r="717" spans="1:9" x14ac:dyDescent="0.35">
      <c r="A717" t="s">
        <v>724</v>
      </c>
      <c r="B717" t="s">
        <v>809</v>
      </c>
      <c r="C717" s="2">
        <v>45168</v>
      </c>
      <c r="D717" s="2">
        <v>45198</v>
      </c>
      <c r="E717">
        <v>2872.68</v>
      </c>
      <c r="F717" t="s">
        <v>818</v>
      </c>
      <c r="G717" t="s">
        <v>820</v>
      </c>
      <c r="I717" t="s">
        <v>822</v>
      </c>
    </row>
    <row r="718" spans="1:9" x14ac:dyDescent="0.35">
      <c r="A718" t="s">
        <v>725</v>
      </c>
      <c r="B718" t="s">
        <v>813</v>
      </c>
      <c r="C718" s="2">
        <v>45246</v>
      </c>
      <c r="D718" s="2">
        <v>45276</v>
      </c>
      <c r="E718">
        <v>1865.16</v>
      </c>
      <c r="F718" t="s">
        <v>815</v>
      </c>
      <c r="G718" t="s">
        <v>820</v>
      </c>
      <c r="I718" t="s">
        <v>822</v>
      </c>
    </row>
    <row r="719" spans="1:9" x14ac:dyDescent="0.35">
      <c r="A719" t="s">
        <v>726</v>
      </c>
      <c r="B719" t="s">
        <v>810</v>
      </c>
      <c r="C719" s="2">
        <v>45005</v>
      </c>
      <c r="D719" s="2">
        <v>45035</v>
      </c>
      <c r="E719">
        <v>2554.81</v>
      </c>
      <c r="F719" t="s">
        <v>818</v>
      </c>
      <c r="G719" t="s">
        <v>821</v>
      </c>
      <c r="H719" s="2">
        <v>45035</v>
      </c>
      <c r="I719" t="s">
        <v>822</v>
      </c>
    </row>
    <row r="720" spans="1:9" x14ac:dyDescent="0.35">
      <c r="A720" t="s">
        <v>727</v>
      </c>
      <c r="B720" t="s">
        <v>809</v>
      </c>
      <c r="C720" s="2">
        <v>45615</v>
      </c>
      <c r="D720" s="2">
        <v>45645</v>
      </c>
      <c r="E720">
        <v>4346.0600000000004</v>
      </c>
      <c r="F720" t="s">
        <v>816</v>
      </c>
      <c r="G720" t="s">
        <v>821</v>
      </c>
      <c r="H720" s="2">
        <v>45645</v>
      </c>
      <c r="I720" t="s">
        <v>822</v>
      </c>
    </row>
    <row r="721" spans="1:9" x14ac:dyDescent="0.35">
      <c r="A721" t="s">
        <v>728</v>
      </c>
      <c r="B721" t="s">
        <v>809</v>
      </c>
      <c r="C721" s="2">
        <v>45336</v>
      </c>
      <c r="D721" s="2">
        <v>45366</v>
      </c>
      <c r="E721">
        <v>3898.42</v>
      </c>
      <c r="F721" t="s">
        <v>816</v>
      </c>
      <c r="G721" t="s">
        <v>821</v>
      </c>
      <c r="H721" s="2">
        <v>45366</v>
      </c>
      <c r="I721" t="s">
        <v>822</v>
      </c>
    </row>
    <row r="722" spans="1:9" x14ac:dyDescent="0.35">
      <c r="A722" t="s">
        <v>729</v>
      </c>
      <c r="B722" t="s">
        <v>813</v>
      </c>
      <c r="C722" s="2">
        <v>45484</v>
      </c>
      <c r="D722" s="2">
        <v>45514</v>
      </c>
      <c r="E722">
        <v>4765.16</v>
      </c>
      <c r="F722" t="s">
        <v>814</v>
      </c>
      <c r="G722" t="s">
        <v>819</v>
      </c>
      <c r="I722" t="s">
        <v>822</v>
      </c>
    </row>
    <row r="723" spans="1:9" x14ac:dyDescent="0.35">
      <c r="A723" t="s">
        <v>730</v>
      </c>
      <c r="B723" t="s">
        <v>811</v>
      </c>
      <c r="C723" s="2">
        <v>45487</v>
      </c>
      <c r="D723" s="2">
        <v>45517</v>
      </c>
      <c r="E723">
        <v>1994.49</v>
      </c>
      <c r="F723" t="s">
        <v>814</v>
      </c>
      <c r="G723" t="s">
        <v>819</v>
      </c>
      <c r="I723" t="s">
        <v>822</v>
      </c>
    </row>
    <row r="724" spans="1:9" x14ac:dyDescent="0.35">
      <c r="A724" t="s">
        <v>731</v>
      </c>
      <c r="B724" t="s">
        <v>810</v>
      </c>
      <c r="C724" s="2">
        <v>44989</v>
      </c>
      <c r="D724" s="2">
        <v>45019</v>
      </c>
      <c r="E724">
        <v>4230.24</v>
      </c>
      <c r="F724" t="s">
        <v>816</v>
      </c>
      <c r="G724" t="s">
        <v>819</v>
      </c>
      <c r="I724" t="s">
        <v>822</v>
      </c>
    </row>
    <row r="725" spans="1:9" x14ac:dyDescent="0.35">
      <c r="A725" t="s">
        <v>732</v>
      </c>
      <c r="B725" t="s">
        <v>811</v>
      </c>
      <c r="C725" s="2">
        <v>45556</v>
      </c>
      <c r="D725" s="2">
        <v>45586</v>
      </c>
      <c r="E725">
        <v>1606.15</v>
      </c>
      <c r="F725" t="s">
        <v>815</v>
      </c>
      <c r="G725" t="s">
        <v>820</v>
      </c>
      <c r="I725" t="s">
        <v>822</v>
      </c>
    </row>
    <row r="726" spans="1:9" x14ac:dyDescent="0.35">
      <c r="A726" t="s">
        <v>733</v>
      </c>
      <c r="B726" t="s">
        <v>812</v>
      </c>
      <c r="C726" s="2">
        <v>45562</v>
      </c>
      <c r="D726" s="2">
        <v>45592</v>
      </c>
      <c r="E726">
        <v>158.24</v>
      </c>
      <c r="F726" t="s">
        <v>818</v>
      </c>
      <c r="G726" t="s">
        <v>819</v>
      </c>
      <c r="I726" t="s">
        <v>822</v>
      </c>
    </row>
    <row r="727" spans="1:9" x14ac:dyDescent="0.35">
      <c r="A727" t="s">
        <v>734</v>
      </c>
      <c r="B727" t="s">
        <v>810</v>
      </c>
      <c r="C727" s="2">
        <v>45130</v>
      </c>
      <c r="D727" s="2">
        <v>45160</v>
      </c>
      <c r="E727">
        <v>4538.8900000000003</v>
      </c>
      <c r="F727" t="s">
        <v>815</v>
      </c>
      <c r="G727" t="s">
        <v>821</v>
      </c>
      <c r="H727" s="2">
        <v>45160</v>
      </c>
      <c r="I727" t="s">
        <v>822</v>
      </c>
    </row>
    <row r="728" spans="1:9" x14ac:dyDescent="0.35">
      <c r="A728" t="s">
        <v>735</v>
      </c>
      <c r="B728" t="s">
        <v>813</v>
      </c>
      <c r="C728" s="2">
        <v>45603</v>
      </c>
      <c r="D728" s="2">
        <v>45633</v>
      </c>
      <c r="E728">
        <v>204.27</v>
      </c>
      <c r="F728" t="s">
        <v>814</v>
      </c>
      <c r="G728" t="s">
        <v>819</v>
      </c>
      <c r="I728" t="s">
        <v>822</v>
      </c>
    </row>
    <row r="729" spans="1:9" x14ac:dyDescent="0.35">
      <c r="A729" t="s">
        <v>736</v>
      </c>
      <c r="B729" t="s">
        <v>811</v>
      </c>
      <c r="C729" s="2">
        <v>45127</v>
      </c>
      <c r="D729" s="2">
        <v>45157</v>
      </c>
      <c r="E729">
        <v>3257.13</v>
      </c>
      <c r="F729" t="s">
        <v>816</v>
      </c>
      <c r="G729" t="s">
        <v>820</v>
      </c>
      <c r="I729" t="s">
        <v>822</v>
      </c>
    </row>
    <row r="730" spans="1:9" x14ac:dyDescent="0.35">
      <c r="A730" t="s">
        <v>737</v>
      </c>
      <c r="B730" t="s">
        <v>809</v>
      </c>
      <c r="C730" s="2">
        <v>45575</v>
      </c>
      <c r="D730" s="2">
        <v>45605</v>
      </c>
      <c r="E730">
        <v>488.64</v>
      </c>
      <c r="F730" t="s">
        <v>818</v>
      </c>
      <c r="G730" t="s">
        <v>821</v>
      </c>
      <c r="H730" s="2">
        <v>45605</v>
      </c>
      <c r="I730" t="s">
        <v>822</v>
      </c>
    </row>
    <row r="731" spans="1:9" x14ac:dyDescent="0.35">
      <c r="A731" t="s">
        <v>738</v>
      </c>
      <c r="B731" t="s">
        <v>811</v>
      </c>
      <c r="C731" s="2">
        <v>45239</v>
      </c>
      <c r="D731" s="2">
        <v>45269</v>
      </c>
      <c r="E731">
        <v>2790.33</v>
      </c>
      <c r="F731" t="s">
        <v>816</v>
      </c>
      <c r="G731" t="s">
        <v>820</v>
      </c>
      <c r="I731" t="s">
        <v>822</v>
      </c>
    </row>
    <row r="732" spans="1:9" x14ac:dyDescent="0.35">
      <c r="A732" t="s">
        <v>739</v>
      </c>
      <c r="B732" t="s">
        <v>809</v>
      </c>
      <c r="C732" s="2">
        <v>45187</v>
      </c>
      <c r="D732" s="2">
        <v>45217</v>
      </c>
      <c r="E732">
        <v>1246.1199999999999</v>
      </c>
      <c r="F732" t="s">
        <v>815</v>
      </c>
      <c r="G732" t="s">
        <v>820</v>
      </c>
      <c r="I732" t="s">
        <v>822</v>
      </c>
    </row>
    <row r="733" spans="1:9" x14ac:dyDescent="0.35">
      <c r="A733" t="s">
        <v>740</v>
      </c>
      <c r="B733" t="s">
        <v>810</v>
      </c>
      <c r="C733" s="2">
        <v>45471</v>
      </c>
      <c r="D733" s="2">
        <v>45501</v>
      </c>
      <c r="E733">
        <v>2390.31</v>
      </c>
      <c r="F733" t="s">
        <v>817</v>
      </c>
      <c r="G733" t="s">
        <v>819</v>
      </c>
      <c r="I733" t="s">
        <v>822</v>
      </c>
    </row>
    <row r="734" spans="1:9" x14ac:dyDescent="0.35">
      <c r="A734" t="s">
        <v>741</v>
      </c>
      <c r="B734" t="s">
        <v>811</v>
      </c>
      <c r="C734" s="2">
        <v>45303</v>
      </c>
      <c r="D734" s="2">
        <v>45333</v>
      </c>
      <c r="E734">
        <v>3697.86</v>
      </c>
      <c r="F734" t="s">
        <v>814</v>
      </c>
      <c r="G734" t="s">
        <v>820</v>
      </c>
      <c r="I734" t="s">
        <v>822</v>
      </c>
    </row>
    <row r="735" spans="1:9" x14ac:dyDescent="0.35">
      <c r="A735" t="s">
        <v>742</v>
      </c>
      <c r="B735" t="s">
        <v>809</v>
      </c>
      <c r="C735" s="2">
        <v>45804</v>
      </c>
      <c r="D735" s="2">
        <v>45834</v>
      </c>
      <c r="E735">
        <v>3404.52</v>
      </c>
      <c r="F735" t="s">
        <v>816</v>
      </c>
      <c r="G735" t="s">
        <v>819</v>
      </c>
      <c r="I735" t="s">
        <v>822</v>
      </c>
    </row>
    <row r="736" spans="1:9" x14ac:dyDescent="0.35">
      <c r="A736" t="s">
        <v>743</v>
      </c>
      <c r="B736" t="s">
        <v>811</v>
      </c>
      <c r="C736" s="2">
        <v>45709</v>
      </c>
      <c r="D736" s="2">
        <v>45739</v>
      </c>
      <c r="E736">
        <v>3730.17</v>
      </c>
      <c r="F736" t="s">
        <v>816</v>
      </c>
      <c r="G736" t="s">
        <v>819</v>
      </c>
      <c r="I736" t="s">
        <v>822</v>
      </c>
    </row>
    <row r="737" spans="1:9" x14ac:dyDescent="0.35">
      <c r="A737" t="s">
        <v>744</v>
      </c>
      <c r="B737" t="s">
        <v>813</v>
      </c>
      <c r="C737" s="2">
        <v>45772</v>
      </c>
      <c r="D737" s="2">
        <v>45802</v>
      </c>
      <c r="E737">
        <v>199.45</v>
      </c>
      <c r="F737" t="s">
        <v>818</v>
      </c>
      <c r="G737" t="s">
        <v>820</v>
      </c>
      <c r="I737" t="s">
        <v>822</v>
      </c>
    </row>
    <row r="738" spans="1:9" x14ac:dyDescent="0.35">
      <c r="A738" t="s">
        <v>745</v>
      </c>
      <c r="B738" t="s">
        <v>811</v>
      </c>
      <c r="C738" s="2">
        <v>45646</v>
      </c>
      <c r="D738" s="2">
        <v>45676</v>
      </c>
      <c r="E738">
        <v>4466.8</v>
      </c>
      <c r="F738" t="s">
        <v>818</v>
      </c>
      <c r="G738" t="s">
        <v>819</v>
      </c>
      <c r="I738" t="s">
        <v>822</v>
      </c>
    </row>
    <row r="739" spans="1:9" x14ac:dyDescent="0.35">
      <c r="A739" t="s">
        <v>746</v>
      </c>
      <c r="B739" t="s">
        <v>812</v>
      </c>
      <c r="C739" s="2">
        <v>45805</v>
      </c>
      <c r="D739" s="2">
        <v>45835</v>
      </c>
      <c r="E739">
        <v>4368.08</v>
      </c>
      <c r="F739" t="s">
        <v>816</v>
      </c>
      <c r="G739" t="s">
        <v>821</v>
      </c>
      <c r="H739" s="2">
        <v>45835</v>
      </c>
      <c r="I739" t="s">
        <v>822</v>
      </c>
    </row>
    <row r="740" spans="1:9" x14ac:dyDescent="0.35">
      <c r="A740" t="s">
        <v>747</v>
      </c>
      <c r="B740" t="s">
        <v>809</v>
      </c>
      <c r="C740" s="2">
        <v>45269</v>
      </c>
      <c r="D740" s="2">
        <v>45299</v>
      </c>
      <c r="E740">
        <v>2910.39</v>
      </c>
      <c r="F740" t="s">
        <v>814</v>
      </c>
      <c r="G740" t="s">
        <v>821</v>
      </c>
      <c r="H740" s="2">
        <v>45299</v>
      </c>
      <c r="I740" t="s">
        <v>822</v>
      </c>
    </row>
    <row r="741" spans="1:9" x14ac:dyDescent="0.35">
      <c r="A741" t="s">
        <v>748</v>
      </c>
      <c r="B741" t="s">
        <v>810</v>
      </c>
      <c r="C741" s="2">
        <v>45007</v>
      </c>
      <c r="D741" s="2">
        <v>45037</v>
      </c>
      <c r="E741">
        <v>3087.9</v>
      </c>
      <c r="F741" t="s">
        <v>815</v>
      </c>
      <c r="G741" t="s">
        <v>821</v>
      </c>
      <c r="H741" s="2">
        <v>45037</v>
      </c>
      <c r="I741" t="s">
        <v>822</v>
      </c>
    </row>
    <row r="742" spans="1:9" x14ac:dyDescent="0.35">
      <c r="A742" t="s">
        <v>749</v>
      </c>
      <c r="B742" t="s">
        <v>811</v>
      </c>
      <c r="C742" s="2">
        <v>45183</v>
      </c>
      <c r="D742" s="2">
        <v>45213</v>
      </c>
      <c r="E742">
        <v>3956.78</v>
      </c>
      <c r="F742" t="s">
        <v>815</v>
      </c>
      <c r="G742" t="s">
        <v>821</v>
      </c>
      <c r="H742" s="2">
        <v>45213</v>
      </c>
      <c r="I742" t="s">
        <v>822</v>
      </c>
    </row>
    <row r="743" spans="1:9" x14ac:dyDescent="0.35">
      <c r="A743" t="s">
        <v>750</v>
      </c>
      <c r="B743" t="s">
        <v>810</v>
      </c>
      <c r="C743" s="2">
        <v>45222</v>
      </c>
      <c r="D743" s="2">
        <v>45252</v>
      </c>
      <c r="E743">
        <v>1173.72</v>
      </c>
      <c r="F743" t="s">
        <v>815</v>
      </c>
      <c r="G743" t="s">
        <v>821</v>
      </c>
      <c r="H743" s="2">
        <v>45252</v>
      </c>
      <c r="I743" t="s">
        <v>822</v>
      </c>
    </row>
    <row r="744" spans="1:9" x14ac:dyDescent="0.35">
      <c r="A744" t="s">
        <v>751</v>
      </c>
      <c r="B744" t="s">
        <v>810</v>
      </c>
      <c r="C744" s="2">
        <v>45359</v>
      </c>
      <c r="D744" s="2">
        <v>45389</v>
      </c>
      <c r="E744">
        <v>3885.28</v>
      </c>
      <c r="F744" t="s">
        <v>816</v>
      </c>
      <c r="G744" t="s">
        <v>821</v>
      </c>
      <c r="H744" s="2">
        <v>45389</v>
      </c>
      <c r="I744" t="s">
        <v>822</v>
      </c>
    </row>
    <row r="745" spans="1:9" x14ac:dyDescent="0.35">
      <c r="A745" t="s">
        <v>752</v>
      </c>
      <c r="B745" t="s">
        <v>812</v>
      </c>
      <c r="C745" s="2">
        <v>45268</v>
      </c>
      <c r="D745" s="2">
        <v>45298</v>
      </c>
      <c r="E745">
        <v>211.34</v>
      </c>
      <c r="F745" t="s">
        <v>817</v>
      </c>
      <c r="G745" t="s">
        <v>819</v>
      </c>
      <c r="I745" t="s">
        <v>822</v>
      </c>
    </row>
    <row r="746" spans="1:9" x14ac:dyDescent="0.35">
      <c r="A746" t="s">
        <v>753</v>
      </c>
      <c r="B746" t="s">
        <v>813</v>
      </c>
      <c r="C746" s="2">
        <v>44983</v>
      </c>
      <c r="D746" s="2">
        <v>45013</v>
      </c>
      <c r="E746">
        <v>1345.89</v>
      </c>
      <c r="F746" t="s">
        <v>818</v>
      </c>
      <c r="G746" t="s">
        <v>821</v>
      </c>
      <c r="H746" s="2">
        <v>45013</v>
      </c>
      <c r="I746" t="s">
        <v>822</v>
      </c>
    </row>
    <row r="747" spans="1:9" x14ac:dyDescent="0.35">
      <c r="A747" t="s">
        <v>754</v>
      </c>
      <c r="B747" t="s">
        <v>811</v>
      </c>
      <c r="C747" s="2">
        <v>45283</v>
      </c>
      <c r="D747" s="2">
        <v>45313</v>
      </c>
      <c r="E747">
        <v>4777.7299999999996</v>
      </c>
      <c r="F747" t="s">
        <v>814</v>
      </c>
      <c r="G747" t="s">
        <v>820</v>
      </c>
      <c r="I747" t="s">
        <v>822</v>
      </c>
    </row>
    <row r="748" spans="1:9" x14ac:dyDescent="0.35">
      <c r="A748" t="s">
        <v>755</v>
      </c>
      <c r="B748" t="s">
        <v>809</v>
      </c>
      <c r="C748" s="2">
        <v>45194</v>
      </c>
      <c r="D748" s="2">
        <v>45224</v>
      </c>
      <c r="E748">
        <v>3137.33</v>
      </c>
      <c r="F748" t="s">
        <v>818</v>
      </c>
      <c r="G748" t="s">
        <v>819</v>
      </c>
      <c r="I748" t="s">
        <v>822</v>
      </c>
    </row>
    <row r="749" spans="1:9" x14ac:dyDescent="0.35">
      <c r="A749" t="s">
        <v>756</v>
      </c>
      <c r="B749" t="s">
        <v>812</v>
      </c>
      <c r="C749" s="2">
        <v>45488</v>
      </c>
      <c r="D749" s="2">
        <v>45518</v>
      </c>
      <c r="E749">
        <v>4831.5200000000004</v>
      </c>
      <c r="F749" t="s">
        <v>814</v>
      </c>
      <c r="G749" t="s">
        <v>820</v>
      </c>
      <c r="I749" t="s">
        <v>822</v>
      </c>
    </row>
    <row r="750" spans="1:9" x14ac:dyDescent="0.35">
      <c r="A750" t="s">
        <v>757</v>
      </c>
      <c r="B750" t="s">
        <v>809</v>
      </c>
      <c r="C750" s="2">
        <v>45321</v>
      </c>
      <c r="D750" s="2">
        <v>45351</v>
      </c>
      <c r="E750">
        <v>1343.46</v>
      </c>
      <c r="F750" t="s">
        <v>815</v>
      </c>
      <c r="G750" t="s">
        <v>820</v>
      </c>
      <c r="I750" t="s">
        <v>822</v>
      </c>
    </row>
    <row r="751" spans="1:9" x14ac:dyDescent="0.35">
      <c r="A751" t="s">
        <v>758</v>
      </c>
      <c r="B751" t="s">
        <v>809</v>
      </c>
      <c r="C751" s="2">
        <v>44993</v>
      </c>
      <c r="D751" s="2">
        <v>45023</v>
      </c>
      <c r="E751">
        <v>3815.88</v>
      </c>
      <c r="F751" t="s">
        <v>815</v>
      </c>
      <c r="G751" t="s">
        <v>820</v>
      </c>
      <c r="I751" t="s">
        <v>822</v>
      </c>
    </row>
    <row r="752" spans="1:9" x14ac:dyDescent="0.35">
      <c r="A752" t="s">
        <v>759</v>
      </c>
      <c r="B752" t="s">
        <v>811</v>
      </c>
      <c r="C752" s="2">
        <v>45054</v>
      </c>
      <c r="D752" s="2">
        <v>45084</v>
      </c>
      <c r="E752">
        <v>3428.98</v>
      </c>
      <c r="F752" t="s">
        <v>816</v>
      </c>
      <c r="G752" t="s">
        <v>821</v>
      </c>
      <c r="H752" s="2">
        <v>45084</v>
      </c>
      <c r="I752" t="s">
        <v>822</v>
      </c>
    </row>
    <row r="753" spans="1:9" x14ac:dyDescent="0.35">
      <c r="A753" t="s">
        <v>760</v>
      </c>
      <c r="B753" t="s">
        <v>809</v>
      </c>
      <c r="C753" s="2">
        <v>45395</v>
      </c>
      <c r="D753" s="2">
        <v>45425</v>
      </c>
      <c r="E753">
        <v>1265.55</v>
      </c>
      <c r="F753" t="s">
        <v>816</v>
      </c>
      <c r="G753" t="s">
        <v>820</v>
      </c>
      <c r="I753" t="s">
        <v>822</v>
      </c>
    </row>
    <row r="754" spans="1:9" x14ac:dyDescent="0.35">
      <c r="A754" t="s">
        <v>761</v>
      </c>
      <c r="B754" t="s">
        <v>812</v>
      </c>
      <c r="C754" s="2">
        <v>45262</v>
      </c>
      <c r="D754" s="2">
        <v>45292</v>
      </c>
      <c r="E754">
        <v>1377.49</v>
      </c>
      <c r="F754" t="s">
        <v>818</v>
      </c>
      <c r="G754" t="s">
        <v>821</v>
      </c>
      <c r="H754" s="2">
        <v>45292</v>
      </c>
      <c r="I754" t="s">
        <v>822</v>
      </c>
    </row>
    <row r="755" spans="1:9" x14ac:dyDescent="0.35">
      <c r="A755" t="s">
        <v>762</v>
      </c>
      <c r="B755" t="s">
        <v>809</v>
      </c>
      <c r="C755" s="2">
        <v>45535</v>
      </c>
      <c r="D755" s="2">
        <v>45565</v>
      </c>
      <c r="E755">
        <v>2125.3000000000002</v>
      </c>
      <c r="F755" t="s">
        <v>814</v>
      </c>
      <c r="G755" t="s">
        <v>820</v>
      </c>
      <c r="I755" t="s">
        <v>822</v>
      </c>
    </row>
    <row r="756" spans="1:9" x14ac:dyDescent="0.35">
      <c r="A756" t="s">
        <v>763</v>
      </c>
      <c r="B756" t="s">
        <v>810</v>
      </c>
      <c r="C756" s="2">
        <v>45408</v>
      </c>
      <c r="D756" s="2">
        <v>45438</v>
      </c>
      <c r="E756">
        <v>2582.08</v>
      </c>
      <c r="F756" t="s">
        <v>816</v>
      </c>
      <c r="G756" t="s">
        <v>821</v>
      </c>
      <c r="H756" s="2">
        <v>45438</v>
      </c>
      <c r="I756" t="s">
        <v>822</v>
      </c>
    </row>
    <row r="757" spans="1:9" x14ac:dyDescent="0.35">
      <c r="A757" t="s">
        <v>764</v>
      </c>
      <c r="B757" t="s">
        <v>813</v>
      </c>
      <c r="C757" s="2">
        <v>45707</v>
      </c>
      <c r="D757" s="2">
        <v>45737</v>
      </c>
      <c r="E757">
        <v>1722.33</v>
      </c>
      <c r="F757" t="s">
        <v>816</v>
      </c>
      <c r="G757" t="s">
        <v>821</v>
      </c>
      <c r="H757" s="2">
        <v>45737</v>
      </c>
      <c r="I757" t="s">
        <v>822</v>
      </c>
    </row>
    <row r="758" spans="1:9" x14ac:dyDescent="0.35">
      <c r="A758" t="s">
        <v>765</v>
      </c>
      <c r="B758" t="s">
        <v>813</v>
      </c>
      <c r="C758" s="2">
        <v>45613</v>
      </c>
      <c r="D758" s="2">
        <v>45643</v>
      </c>
      <c r="E758">
        <v>4374.09</v>
      </c>
      <c r="F758" t="s">
        <v>814</v>
      </c>
      <c r="G758" t="s">
        <v>820</v>
      </c>
      <c r="I758" t="s">
        <v>822</v>
      </c>
    </row>
    <row r="759" spans="1:9" x14ac:dyDescent="0.35">
      <c r="A759" t="s">
        <v>766</v>
      </c>
      <c r="B759" t="s">
        <v>809</v>
      </c>
      <c r="C759" s="2">
        <v>45162</v>
      </c>
      <c r="D759" s="2">
        <v>45192</v>
      </c>
      <c r="E759">
        <v>3289.59</v>
      </c>
      <c r="F759" t="s">
        <v>815</v>
      </c>
      <c r="G759" t="s">
        <v>819</v>
      </c>
      <c r="I759" t="s">
        <v>822</v>
      </c>
    </row>
    <row r="760" spans="1:9" x14ac:dyDescent="0.35">
      <c r="A760" t="s">
        <v>767</v>
      </c>
      <c r="B760" t="s">
        <v>811</v>
      </c>
      <c r="C760" s="2">
        <v>45301</v>
      </c>
      <c r="D760" s="2">
        <v>45331</v>
      </c>
      <c r="E760">
        <v>2204.2800000000002</v>
      </c>
      <c r="F760" t="s">
        <v>817</v>
      </c>
      <c r="G760" t="s">
        <v>821</v>
      </c>
      <c r="H760" s="2">
        <v>45331</v>
      </c>
      <c r="I760" t="s">
        <v>822</v>
      </c>
    </row>
    <row r="761" spans="1:9" x14ac:dyDescent="0.35">
      <c r="A761" t="s">
        <v>768</v>
      </c>
      <c r="B761" t="s">
        <v>811</v>
      </c>
      <c r="C761" s="2">
        <v>45340</v>
      </c>
      <c r="D761" s="2">
        <v>45370</v>
      </c>
      <c r="E761">
        <v>3457.45</v>
      </c>
      <c r="F761" t="s">
        <v>816</v>
      </c>
      <c r="G761" t="s">
        <v>819</v>
      </c>
      <c r="I761" t="s">
        <v>822</v>
      </c>
    </row>
    <row r="762" spans="1:9" x14ac:dyDescent="0.35">
      <c r="A762" t="s">
        <v>769</v>
      </c>
      <c r="B762" t="s">
        <v>813</v>
      </c>
      <c r="C762" s="2">
        <v>45054</v>
      </c>
      <c r="D762" s="2">
        <v>45084</v>
      </c>
      <c r="E762">
        <v>2571.9</v>
      </c>
      <c r="F762" t="s">
        <v>817</v>
      </c>
      <c r="G762" t="s">
        <v>821</v>
      </c>
      <c r="H762" s="2">
        <v>45084</v>
      </c>
      <c r="I762" t="s">
        <v>822</v>
      </c>
    </row>
    <row r="763" spans="1:9" x14ac:dyDescent="0.35">
      <c r="A763" t="s">
        <v>770</v>
      </c>
      <c r="B763" t="s">
        <v>809</v>
      </c>
      <c r="C763" s="2">
        <v>45618</v>
      </c>
      <c r="D763" s="2">
        <v>45648</v>
      </c>
      <c r="E763">
        <v>2573.94</v>
      </c>
      <c r="F763" t="s">
        <v>814</v>
      </c>
      <c r="G763" t="s">
        <v>821</v>
      </c>
      <c r="H763" s="2">
        <v>45648</v>
      </c>
      <c r="I763" t="s">
        <v>822</v>
      </c>
    </row>
    <row r="764" spans="1:9" x14ac:dyDescent="0.35">
      <c r="A764" t="s">
        <v>771</v>
      </c>
      <c r="B764" t="s">
        <v>809</v>
      </c>
      <c r="C764" s="2">
        <v>45679</v>
      </c>
      <c r="D764" s="2">
        <v>45709</v>
      </c>
      <c r="E764">
        <v>3760.26</v>
      </c>
      <c r="F764" t="s">
        <v>817</v>
      </c>
      <c r="G764" t="s">
        <v>819</v>
      </c>
      <c r="I764" t="s">
        <v>822</v>
      </c>
    </row>
    <row r="765" spans="1:9" x14ac:dyDescent="0.35">
      <c r="A765" t="s">
        <v>772</v>
      </c>
      <c r="B765" t="s">
        <v>813</v>
      </c>
      <c r="C765" s="2">
        <v>45385</v>
      </c>
      <c r="D765" s="2">
        <v>45415</v>
      </c>
      <c r="E765">
        <v>645.44000000000005</v>
      </c>
      <c r="F765" t="s">
        <v>817</v>
      </c>
      <c r="G765" t="s">
        <v>821</v>
      </c>
      <c r="H765" s="2">
        <v>45415</v>
      </c>
      <c r="I765" t="s">
        <v>822</v>
      </c>
    </row>
    <row r="766" spans="1:9" x14ac:dyDescent="0.35">
      <c r="A766" t="s">
        <v>773</v>
      </c>
      <c r="B766" t="s">
        <v>813</v>
      </c>
      <c r="C766" s="2">
        <v>45148</v>
      </c>
      <c r="D766" s="2">
        <v>45178</v>
      </c>
      <c r="E766">
        <v>948.66</v>
      </c>
      <c r="F766" t="s">
        <v>816</v>
      </c>
      <c r="G766" t="s">
        <v>821</v>
      </c>
      <c r="H766" s="2">
        <v>45178</v>
      </c>
      <c r="I766" t="s">
        <v>822</v>
      </c>
    </row>
    <row r="767" spans="1:9" x14ac:dyDescent="0.35">
      <c r="A767" t="s">
        <v>774</v>
      </c>
      <c r="B767" t="s">
        <v>813</v>
      </c>
      <c r="C767" s="2">
        <v>45070</v>
      </c>
      <c r="D767" s="2">
        <v>45100</v>
      </c>
      <c r="E767">
        <v>4936.8</v>
      </c>
      <c r="F767" t="s">
        <v>818</v>
      </c>
      <c r="G767" t="s">
        <v>821</v>
      </c>
      <c r="H767" s="2">
        <v>45100</v>
      </c>
      <c r="I767" t="s">
        <v>822</v>
      </c>
    </row>
    <row r="768" spans="1:9" x14ac:dyDescent="0.35">
      <c r="A768" t="s">
        <v>775</v>
      </c>
      <c r="B768" t="s">
        <v>811</v>
      </c>
      <c r="C768" s="2">
        <v>44988</v>
      </c>
      <c r="D768" s="2">
        <v>45018</v>
      </c>
      <c r="E768">
        <v>4286.67</v>
      </c>
      <c r="F768" t="s">
        <v>817</v>
      </c>
      <c r="G768" t="s">
        <v>821</v>
      </c>
      <c r="H768" s="2">
        <v>45018</v>
      </c>
      <c r="I768" t="s">
        <v>822</v>
      </c>
    </row>
    <row r="769" spans="1:9" x14ac:dyDescent="0.35">
      <c r="A769" t="s">
        <v>776</v>
      </c>
      <c r="B769" t="s">
        <v>810</v>
      </c>
      <c r="C769" s="2">
        <v>45263</v>
      </c>
      <c r="D769" s="2">
        <v>45293</v>
      </c>
      <c r="E769">
        <v>4346.29</v>
      </c>
      <c r="F769" t="s">
        <v>816</v>
      </c>
      <c r="G769" t="s">
        <v>820</v>
      </c>
      <c r="I769" t="s">
        <v>822</v>
      </c>
    </row>
    <row r="770" spans="1:9" x14ac:dyDescent="0.35">
      <c r="A770" t="s">
        <v>777</v>
      </c>
      <c r="B770" t="s">
        <v>810</v>
      </c>
      <c r="C770" s="2">
        <v>45659</v>
      </c>
      <c r="D770" s="2">
        <v>45689</v>
      </c>
      <c r="E770">
        <v>2978.71</v>
      </c>
      <c r="F770" t="s">
        <v>816</v>
      </c>
      <c r="G770" t="s">
        <v>820</v>
      </c>
      <c r="I770" t="s">
        <v>822</v>
      </c>
    </row>
    <row r="771" spans="1:9" x14ac:dyDescent="0.35">
      <c r="A771" t="s">
        <v>778</v>
      </c>
      <c r="B771" t="s">
        <v>811</v>
      </c>
      <c r="C771" s="2">
        <v>45752</v>
      </c>
      <c r="D771" s="2">
        <v>45782</v>
      </c>
      <c r="E771">
        <v>3489.97</v>
      </c>
      <c r="F771" t="s">
        <v>815</v>
      </c>
      <c r="G771" t="s">
        <v>819</v>
      </c>
      <c r="I771" t="s">
        <v>822</v>
      </c>
    </row>
    <row r="772" spans="1:9" x14ac:dyDescent="0.35">
      <c r="A772" t="s">
        <v>779</v>
      </c>
      <c r="B772" t="s">
        <v>812</v>
      </c>
      <c r="C772" s="2">
        <v>45648</v>
      </c>
      <c r="D772" s="2">
        <v>45678</v>
      </c>
      <c r="E772">
        <v>290.89999999999998</v>
      </c>
      <c r="F772" t="s">
        <v>814</v>
      </c>
      <c r="G772" t="s">
        <v>819</v>
      </c>
      <c r="I772" t="s">
        <v>822</v>
      </c>
    </row>
    <row r="773" spans="1:9" x14ac:dyDescent="0.35">
      <c r="A773" t="s">
        <v>780</v>
      </c>
      <c r="B773" t="s">
        <v>813</v>
      </c>
      <c r="C773" s="2">
        <v>45725</v>
      </c>
      <c r="D773" s="2">
        <v>45755</v>
      </c>
      <c r="E773">
        <v>2592.92</v>
      </c>
      <c r="F773" t="s">
        <v>816</v>
      </c>
      <c r="G773" t="s">
        <v>820</v>
      </c>
      <c r="I773" t="s">
        <v>822</v>
      </c>
    </row>
    <row r="774" spans="1:9" x14ac:dyDescent="0.35">
      <c r="A774" t="s">
        <v>781</v>
      </c>
      <c r="B774" t="s">
        <v>811</v>
      </c>
      <c r="C774" s="2">
        <v>45505</v>
      </c>
      <c r="D774" s="2">
        <v>45535</v>
      </c>
      <c r="E774">
        <v>4904.8599999999997</v>
      </c>
      <c r="F774" t="s">
        <v>815</v>
      </c>
      <c r="G774" t="s">
        <v>819</v>
      </c>
      <c r="I774" t="s">
        <v>822</v>
      </c>
    </row>
    <row r="775" spans="1:9" x14ac:dyDescent="0.35">
      <c r="A775" t="s">
        <v>782</v>
      </c>
      <c r="B775" t="s">
        <v>811</v>
      </c>
      <c r="C775" s="2">
        <v>45738</v>
      </c>
      <c r="D775" s="2">
        <v>45768</v>
      </c>
      <c r="E775">
        <v>2807.72</v>
      </c>
      <c r="F775" t="s">
        <v>816</v>
      </c>
      <c r="G775" t="s">
        <v>820</v>
      </c>
      <c r="I775" t="s">
        <v>822</v>
      </c>
    </row>
    <row r="776" spans="1:9" x14ac:dyDescent="0.35">
      <c r="A776" t="s">
        <v>783</v>
      </c>
      <c r="B776" t="s">
        <v>812</v>
      </c>
      <c r="C776" s="2">
        <v>45716</v>
      </c>
      <c r="D776" s="2">
        <v>45746</v>
      </c>
      <c r="E776">
        <v>3910.59</v>
      </c>
      <c r="F776" t="s">
        <v>814</v>
      </c>
      <c r="G776" t="s">
        <v>819</v>
      </c>
      <c r="I776" t="s">
        <v>822</v>
      </c>
    </row>
    <row r="777" spans="1:9" x14ac:dyDescent="0.35">
      <c r="A777" t="s">
        <v>784</v>
      </c>
      <c r="B777" t="s">
        <v>812</v>
      </c>
      <c r="C777" s="2">
        <v>45083</v>
      </c>
      <c r="D777" s="2">
        <v>45113</v>
      </c>
      <c r="E777">
        <v>1583.9</v>
      </c>
      <c r="F777" t="s">
        <v>814</v>
      </c>
      <c r="G777" t="s">
        <v>820</v>
      </c>
      <c r="I777" t="s">
        <v>822</v>
      </c>
    </row>
    <row r="778" spans="1:9" x14ac:dyDescent="0.35">
      <c r="A778" t="s">
        <v>785</v>
      </c>
      <c r="B778" t="s">
        <v>809</v>
      </c>
      <c r="C778" s="2">
        <v>45723</v>
      </c>
      <c r="D778" s="2">
        <v>45753</v>
      </c>
      <c r="E778">
        <v>734.99</v>
      </c>
      <c r="F778" t="s">
        <v>816</v>
      </c>
      <c r="G778" t="s">
        <v>820</v>
      </c>
      <c r="I778" t="s">
        <v>822</v>
      </c>
    </row>
    <row r="779" spans="1:9" x14ac:dyDescent="0.35">
      <c r="A779" t="s">
        <v>786</v>
      </c>
      <c r="B779" t="s">
        <v>811</v>
      </c>
      <c r="C779" s="2">
        <v>45315</v>
      </c>
      <c r="D779" s="2">
        <v>45345</v>
      </c>
      <c r="E779">
        <v>2547.7800000000002</v>
      </c>
      <c r="F779" t="s">
        <v>818</v>
      </c>
      <c r="G779" t="s">
        <v>819</v>
      </c>
      <c r="I779" t="s">
        <v>822</v>
      </c>
    </row>
    <row r="780" spans="1:9" x14ac:dyDescent="0.35">
      <c r="A780" t="s">
        <v>787</v>
      </c>
      <c r="B780" t="s">
        <v>811</v>
      </c>
      <c r="C780" s="2">
        <v>45608</v>
      </c>
      <c r="D780" s="2">
        <v>45638</v>
      </c>
      <c r="E780">
        <v>4777.6400000000003</v>
      </c>
      <c r="F780" t="s">
        <v>818</v>
      </c>
      <c r="G780" t="s">
        <v>820</v>
      </c>
      <c r="I780" t="s">
        <v>822</v>
      </c>
    </row>
    <row r="781" spans="1:9" x14ac:dyDescent="0.35">
      <c r="A781" t="s">
        <v>788</v>
      </c>
      <c r="B781" t="s">
        <v>810</v>
      </c>
      <c r="C781" s="2">
        <v>45231</v>
      </c>
      <c r="D781" s="2">
        <v>45261</v>
      </c>
      <c r="E781">
        <v>791.99</v>
      </c>
      <c r="F781" t="s">
        <v>816</v>
      </c>
      <c r="G781" t="s">
        <v>821</v>
      </c>
      <c r="H781" s="2">
        <v>45261</v>
      </c>
      <c r="I781" t="s">
        <v>822</v>
      </c>
    </row>
    <row r="782" spans="1:9" x14ac:dyDescent="0.35">
      <c r="A782" t="s">
        <v>789</v>
      </c>
      <c r="B782" t="s">
        <v>811</v>
      </c>
      <c r="C782" s="2">
        <v>45533</v>
      </c>
      <c r="D782" s="2">
        <v>45563</v>
      </c>
      <c r="E782">
        <v>4963.01</v>
      </c>
      <c r="F782" t="s">
        <v>817</v>
      </c>
      <c r="G782" t="s">
        <v>820</v>
      </c>
      <c r="I782" t="s">
        <v>822</v>
      </c>
    </row>
    <row r="783" spans="1:9" x14ac:dyDescent="0.35">
      <c r="A783" t="s">
        <v>790</v>
      </c>
      <c r="B783" t="s">
        <v>809</v>
      </c>
      <c r="C783" s="2">
        <v>45126</v>
      </c>
      <c r="D783" s="2">
        <v>45156</v>
      </c>
      <c r="E783">
        <v>4539.28</v>
      </c>
      <c r="F783" t="s">
        <v>816</v>
      </c>
      <c r="G783" t="s">
        <v>821</v>
      </c>
      <c r="H783" s="2">
        <v>45156</v>
      </c>
      <c r="I783" t="s">
        <v>822</v>
      </c>
    </row>
    <row r="784" spans="1:9" x14ac:dyDescent="0.35">
      <c r="A784" t="s">
        <v>791</v>
      </c>
      <c r="B784" t="s">
        <v>810</v>
      </c>
      <c r="C784" s="2">
        <v>45615</v>
      </c>
      <c r="D784" s="2">
        <v>45645</v>
      </c>
      <c r="E784">
        <v>3114.85</v>
      </c>
      <c r="F784" t="s">
        <v>814</v>
      </c>
      <c r="G784" t="s">
        <v>820</v>
      </c>
      <c r="I784" t="s">
        <v>822</v>
      </c>
    </row>
    <row r="785" spans="1:9" x14ac:dyDescent="0.35">
      <c r="A785" t="s">
        <v>792</v>
      </c>
      <c r="B785" t="s">
        <v>812</v>
      </c>
      <c r="C785" s="2">
        <v>45768</v>
      </c>
      <c r="D785" s="2">
        <v>45798</v>
      </c>
      <c r="E785">
        <v>3340.58</v>
      </c>
      <c r="F785" t="s">
        <v>818</v>
      </c>
      <c r="G785" t="s">
        <v>821</v>
      </c>
      <c r="H785" s="2">
        <v>45798</v>
      </c>
      <c r="I785" t="s">
        <v>822</v>
      </c>
    </row>
    <row r="786" spans="1:9" x14ac:dyDescent="0.35">
      <c r="A786" t="s">
        <v>793</v>
      </c>
      <c r="B786" t="s">
        <v>811</v>
      </c>
      <c r="C786" s="2">
        <v>45754</v>
      </c>
      <c r="D786" s="2">
        <v>45784</v>
      </c>
      <c r="E786">
        <v>4187.3</v>
      </c>
      <c r="F786" t="s">
        <v>818</v>
      </c>
      <c r="G786" t="s">
        <v>821</v>
      </c>
      <c r="H786" s="2">
        <v>45784</v>
      </c>
      <c r="I786" t="s">
        <v>822</v>
      </c>
    </row>
    <row r="787" spans="1:9" x14ac:dyDescent="0.35">
      <c r="A787" t="s">
        <v>794</v>
      </c>
      <c r="B787" t="s">
        <v>810</v>
      </c>
      <c r="C787" s="2">
        <v>45249</v>
      </c>
      <c r="D787" s="2">
        <v>45279</v>
      </c>
      <c r="E787">
        <v>4020.64</v>
      </c>
      <c r="F787" t="s">
        <v>815</v>
      </c>
      <c r="G787" t="s">
        <v>821</v>
      </c>
      <c r="H787" s="2">
        <v>45279</v>
      </c>
      <c r="I787" t="s">
        <v>822</v>
      </c>
    </row>
    <row r="788" spans="1:9" x14ac:dyDescent="0.35">
      <c r="A788" t="s">
        <v>795</v>
      </c>
      <c r="B788" t="s">
        <v>813</v>
      </c>
      <c r="C788" s="2">
        <v>45687</v>
      </c>
      <c r="D788" s="2">
        <v>45717</v>
      </c>
      <c r="E788">
        <v>755.89</v>
      </c>
      <c r="F788" t="s">
        <v>816</v>
      </c>
      <c r="G788" t="s">
        <v>820</v>
      </c>
      <c r="I788" t="s">
        <v>822</v>
      </c>
    </row>
    <row r="789" spans="1:9" x14ac:dyDescent="0.35">
      <c r="A789" t="s">
        <v>796</v>
      </c>
      <c r="B789" t="s">
        <v>811</v>
      </c>
      <c r="C789" s="2">
        <v>45115</v>
      </c>
      <c r="D789" s="2">
        <v>45145</v>
      </c>
      <c r="E789">
        <v>1670.28</v>
      </c>
      <c r="F789" t="s">
        <v>815</v>
      </c>
      <c r="G789" t="s">
        <v>821</v>
      </c>
      <c r="H789" s="2">
        <v>45145</v>
      </c>
      <c r="I789" t="s">
        <v>822</v>
      </c>
    </row>
    <row r="790" spans="1:9" x14ac:dyDescent="0.35">
      <c r="A790" t="s">
        <v>797</v>
      </c>
      <c r="B790" t="s">
        <v>809</v>
      </c>
      <c r="C790" s="2">
        <v>45551</v>
      </c>
      <c r="D790" s="2">
        <v>45581</v>
      </c>
      <c r="E790">
        <v>4064.87</v>
      </c>
      <c r="F790" t="s">
        <v>814</v>
      </c>
      <c r="G790" t="s">
        <v>820</v>
      </c>
      <c r="I790" t="s">
        <v>822</v>
      </c>
    </row>
    <row r="791" spans="1:9" x14ac:dyDescent="0.35">
      <c r="A791" t="s">
        <v>798</v>
      </c>
      <c r="B791" t="s">
        <v>810</v>
      </c>
      <c r="C791" s="2">
        <v>44975</v>
      </c>
      <c r="D791" s="2">
        <v>45005</v>
      </c>
      <c r="E791">
        <v>4071.09</v>
      </c>
      <c r="F791" t="s">
        <v>817</v>
      </c>
      <c r="G791" t="s">
        <v>820</v>
      </c>
      <c r="I791" t="s">
        <v>822</v>
      </c>
    </row>
    <row r="792" spans="1:9" x14ac:dyDescent="0.35">
      <c r="A792" t="s">
        <v>799</v>
      </c>
      <c r="B792" t="s">
        <v>809</v>
      </c>
      <c r="C792" s="2">
        <v>45682</v>
      </c>
      <c r="D792" s="2">
        <v>45712</v>
      </c>
      <c r="E792">
        <v>311.52</v>
      </c>
      <c r="F792" t="s">
        <v>816</v>
      </c>
      <c r="G792" t="s">
        <v>819</v>
      </c>
      <c r="I792" t="s">
        <v>822</v>
      </c>
    </row>
    <row r="793" spans="1:9" x14ac:dyDescent="0.35">
      <c r="A793" t="s">
        <v>800</v>
      </c>
      <c r="B793" t="s">
        <v>810</v>
      </c>
      <c r="C793" s="2">
        <v>45467</v>
      </c>
      <c r="D793" s="2">
        <v>45497</v>
      </c>
      <c r="E793">
        <v>4351.8</v>
      </c>
      <c r="F793" t="s">
        <v>818</v>
      </c>
      <c r="G793" t="s">
        <v>821</v>
      </c>
      <c r="H793" s="2">
        <v>45497</v>
      </c>
      <c r="I793" t="s">
        <v>822</v>
      </c>
    </row>
    <row r="794" spans="1:9" x14ac:dyDescent="0.35">
      <c r="A794" t="s">
        <v>801</v>
      </c>
      <c r="B794" t="s">
        <v>809</v>
      </c>
      <c r="C794" s="2">
        <v>45354</v>
      </c>
      <c r="D794" s="2">
        <v>45384</v>
      </c>
      <c r="E794">
        <v>3524.51</v>
      </c>
      <c r="F794" t="s">
        <v>816</v>
      </c>
      <c r="G794" t="s">
        <v>819</v>
      </c>
      <c r="I794" t="s">
        <v>822</v>
      </c>
    </row>
    <row r="795" spans="1:9" x14ac:dyDescent="0.35">
      <c r="A795" t="s">
        <v>802</v>
      </c>
      <c r="B795" t="s">
        <v>809</v>
      </c>
      <c r="C795" s="2">
        <v>44978</v>
      </c>
      <c r="D795" s="2">
        <v>45008</v>
      </c>
      <c r="E795">
        <v>2999.23</v>
      </c>
      <c r="F795" t="s">
        <v>818</v>
      </c>
      <c r="G795" t="s">
        <v>821</v>
      </c>
      <c r="H795" s="2">
        <v>45008</v>
      </c>
      <c r="I795" t="s">
        <v>822</v>
      </c>
    </row>
    <row r="796" spans="1:9" x14ac:dyDescent="0.35">
      <c r="A796" t="s">
        <v>803</v>
      </c>
      <c r="B796" t="s">
        <v>810</v>
      </c>
      <c r="C796" s="2">
        <v>45543</v>
      </c>
      <c r="D796" s="2">
        <v>45573</v>
      </c>
      <c r="E796">
        <v>754.06</v>
      </c>
      <c r="F796" t="s">
        <v>814</v>
      </c>
      <c r="G796" t="s">
        <v>820</v>
      </c>
      <c r="I796" t="s">
        <v>822</v>
      </c>
    </row>
    <row r="797" spans="1:9" x14ac:dyDescent="0.35">
      <c r="A797" t="s">
        <v>804</v>
      </c>
      <c r="B797" t="s">
        <v>810</v>
      </c>
      <c r="C797" s="2">
        <v>44961</v>
      </c>
      <c r="D797" s="2">
        <v>44991</v>
      </c>
      <c r="E797">
        <v>4250.7</v>
      </c>
      <c r="F797" t="s">
        <v>818</v>
      </c>
      <c r="G797" t="s">
        <v>821</v>
      </c>
      <c r="H797" s="2">
        <v>44991</v>
      </c>
      <c r="I797" t="s">
        <v>822</v>
      </c>
    </row>
    <row r="798" spans="1:9" x14ac:dyDescent="0.35">
      <c r="A798" t="s">
        <v>805</v>
      </c>
      <c r="B798" t="s">
        <v>809</v>
      </c>
      <c r="C798" s="2">
        <v>45384</v>
      </c>
      <c r="D798" s="2">
        <v>45414</v>
      </c>
      <c r="E798">
        <v>613.6</v>
      </c>
      <c r="F798" t="s">
        <v>816</v>
      </c>
      <c r="G798" t="s">
        <v>819</v>
      </c>
      <c r="I798" t="s">
        <v>822</v>
      </c>
    </row>
    <row r="799" spans="1:9" x14ac:dyDescent="0.35">
      <c r="A799" t="s">
        <v>806</v>
      </c>
      <c r="B799" t="s">
        <v>812</v>
      </c>
      <c r="C799" s="2">
        <v>45732</v>
      </c>
      <c r="D799" s="2">
        <v>45762</v>
      </c>
      <c r="E799">
        <v>1012.88</v>
      </c>
      <c r="F799" t="s">
        <v>814</v>
      </c>
      <c r="G799" t="s">
        <v>820</v>
      </c>
      <c r="I799" t="s">
        <v>822</v>
      </c>
    </row>
    <row r="800" spans="1:9" x14ac:dyDescent="0.35">
      <c r="A800" t="s">
        <v>807</v>
      </c>
      <c r="B800" t="s">
        <v>811</v>
      </c>
      <c r="C800" s="2">
        <v>45827</v>
      </c>
      <c r="D800" s="2">
        <v>45857</v>
      </c>
      <c r="E800">
        <v>290.27</v>
      </c>
      <c r="F800" t="s">
        <v>816</v>
      </c>
      <c r="G800" t="s">
        <v>820</v>
      </c>
      <c r="I800" t="s">
        <v>822</v>
      </c>
    </row>
    <row r="801" spans="1:9" x14ac:dyDescent="0.35">
      <c r="A801" t="s">
        <v>808</v>
      </c>
      <c r="B801" t="s">
        <v>812</v>
      </c>
      <c r="C801" s="2">
        <v>45648</v>
      </c>
      <c r="D801" s="2">
        <v>45678</v>
      </c>
      <c r="E801">
        <v>4608.55</v>
      </c>
      <c r="F801" t="s">
        <v>818</v>
      </c>
      <c r="G801" t="s">
        <v>820</v>
      </c>
      <c r="I801" t="s">
        <v>822</v>
      </c>
    </row>
  </sheetData>
  <autoFilter ref="A1:I1" xr:uid="{7A230636-0812-4D41-BD3E-D7C9818A61AB}"/>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Financial Overview</vt:lpstr>
      <vt:lpstr>Payment Performance</vt:lpstr>
      <vt:lpstr>Pivot Tables</vt:lpstr>
      <vt:lpstr>Analysis</vt:lpstr>
      <vt:lpstr>Raw Data</vt:lpstr>
      <vt:lpstr>Raw Data bck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Subashini Gunawardana</cp:lastModifiedBy>
  <dcterms:created xsi:type="dcterms:W3CDTF">2025-06-28T04:56:09Z</dcterms:created>
  <dcterms:modified xsi:type="dcterms:W3CDTF">2026-09-12T05:43:20Z</dcterms:modified>
</cp:coreProperties>
</file>